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0976\Desktop\領用料總表\"/>
    </mc:Choice>
  </mc:AlternateContent>
  <xr:revisionPtr revIDLastSave="0" documentId="13_ncr:1_{AFD151EA-5BC8-4244-BDDF-5B41C3DC9F5A}" xr6:coauthVersionLast="47" xr6:coauthVersionMax="47" xr10:uidLastSave="{00000000-0000-0000-0000-000000000000}"/>
  <bookViews>
    <workbookView xWindow="28680" yWindow="-120" windowWidth="29040" windowHeight="15840" xr2:uid="{937752CA-1CC7-4FBE-9D56-B4718260DC17}"/>
  </bookViews>
  <sheets>
    <sheet name="領料表" sheetId="2" r:id="rId1"/>
    <sheet name="工作表1" sheetId="3" r:id="rId2"/>
    <sheet name="工作表2" sheetId="4" r:id="rId3"/>
    <sheet name="testing" sheetId="5" r:id="rId4"/>
    <sheet name="tocl" sheetId="6" r:id="rId5"/>
  </sheets>
  <definedNames>
    <definedName name="_xlnm._FilterDatabase" localSheetId="0" hidden="1">領料表!$A$6:$BV$889</definedName>
    <definedName name="_xlnm.Print_Area" localSheetId="0">領料表!$A$5:$BQ$888</definedName>
    <definedName name="_xlnm.Print_Titles" localSheetId="0">領料表!$6:$6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P889" i="2" l="1"/>
  <c r="AG889" i="2" s="1"/>
  <c r="AO889" i="2"/>
  <c r="AF889" i="2" s="1"/>
  <c r="AN889" i="2"/>
  <c r="AM889" i="2"/>
  <c r="AD889" i="2" s="1"/>
  <c r="AL889" i="2"/>
  <c r="AQ889" i="2" s="1"/>
  <c r="AJ889" i="2"/>
  <c r="AE889" i="2"/>
  <c r="BQ888" i="2"/>
  <c r="AQ888" i="2"/>
  <c r="AH888" i="2" s="1"/>
  <c r="AP888" i="2"/>
  <c r="AG888" i="2" s="1"/>
  <c r="AO888" i="2"/>
  <c r="AN888" i="2"/>
  <c r="AM888" i="2"/>
  <c r="AD888" i="2" s="1"/>
  <c r="AL888" i="2"/>
  <c r="AC888" i="2" s="1"/>
  <c r="AJ888" i="2"/>
  <c r="AF888" i="2"/>
  <c r="AE888" i="2"/>
  <c r="AB888" i="2"/>
  <c r="V888" i="2"/>
  <c r="BQ887" i="2"/>
  <c r="AP887" i="2"/>
  <c r="AG887" i="2" s="1"/>
  <c r="AO887" i="2"/>
  <c r="AN887" i="2"/>
  <c r="AM887" i="2"/>
  <c r="AD887" i="2" s="1"/>
  <c r="AL887" i="2"/>
  <c r="AC887" i="2" s="1"/>
  <c r="AJ887" i="2"/>
  <c r="AF887" i="2"/>
  <c r="AE887" i="2"/>
  <c r="AB887" i="2"/>
  <c r="V887" i="2"/>
  <c r="BQ886" i="2"/>
  <c r="AQ886" i="2"/>
  <c r="AH886" i="2" s="1"/>
  <c r="AP886" i="2"/>
  <c r="AG886" i="2" s="1"/>
  <c r="AO886" i="2"/>
  <c r="AN886" i="2"/>
  <c r="AM886" i="2"/>
  <c r="AD886" i="2" s="1"/>
  <c r="AL886" i="2"/>
  <c r="AC886" i="2" s="1"/>
  <c r="AJ886" i="2"/>
  <c r="AF886" i="2"/>
  <c r="AE886" i="2"/>
  <c r="AB886" i="2"/>
  <c r="V886" i="2"/>
  <c r="BQ885" i="2"/>
  <c r="AP885" i="2"/>
  <c r="AG885" i="2" s="1"/>
  <c r="AO885" i="2"/>
  <c r="AN885" i="2"/>
  <c r="AM885" i="2"/>
  <c r="AD885" i="2" s="1"/>
  <c r="AL885" i="2"/>
  <c r="AC885" i="2" s="1"/>
  <c r="AJ885" i="2"/>
  <c r="AF885" i="2"/>
  <c r="AE885" i="2"/>
  <c r="AB885" i="2"/>
  <c r="V885" i="2"/>
  <c r="BQ884" i="2"/>
  <c r="AQ884" i="2"/>
  <c r="AH884" i="2" s="1"/>
  <c r="AP884" i="2"/>
  <c r="AG884" i="2" s="1"/>
  <c r="AO884" i="2"/>
  <c r="AN884" i="2"/>
  <c r="AM884" i="2"/>
  <c r="AD884" i="2" s="1"/>
  <c r="AL884" i="2"/>
  <c r="AC884" i="2" s="1"/>
  <c r="AJ884" i="2"/>
  <c r="AF884" i="2"/>
  <c r="AE884" i="2"/>
  <c r="AB884" i="2"/>
  <c r="V884" i="2"/>
  <c r="BQ883" i="2"/>
  <c r="AP883" i="2"/>
  <c r="AQ883" i="2" s="1"/>
  <c r="AH883" i="2" s="1"/>
  <c r="AO883" i="2"/>
  <c r="AN883" i="2"/>
  <c r="AM883" i="2"/>
  <c r="AD883" i="2" s="1"/>
  <c r="AL883" i="2"/>
  <c r="AC883" i="2" s="1"/>
  <c r="AJ883" i="2"/>
  <c r="AF883" i="2"/>
  <c r="AE883" i="2"/>
  <c r="AB883" i="2"/>
  <c r="V883" i="2"/>
  <c r="BQ882" i="2"/>
  <c r="AP882" i="2"/>
  <c r="AG882" i="2" s="1"/>
  <c r="AO882" i="2"/>
  <c r="AN882" i="2"/>
  <c r="AM882" i="2"/>
  <c r="AD882" i="2" s="1"/>
  <c r="AL882" i="2"/>
  <c r="AC882" i="2" s="1"/>
  <c r="AJ882" i="2"/>
  <c r="AF882" i="2"/>
  <c r="AE882" i="2"/>
  <c r="AB882" i="2"/>
  <c r="V882" i="2"/>
  <c r="BQ881" i="2"/>
  <c r="AP881" i="2"/>
  <c r="AO881" i="2"/>
  <c r="AN881" i="2"/>
  <c r="AM881" i="2"/>
  <c r="AD881" i="2" s="1"/>
  <c r="AL881" i="2"/>
  <c r="AC881" i="2" s="1"/>
  <c r="AJ881" i="2"/>
  <c r="AF881" i="2"/>
  <c r="AE881" i="2"/>
  <c r="AB881" i="2"/>
  <c r="V881" i="2"/>
  <c r="BQ880" i="2"/>
  <c r="AP880" i="2"/>
  <c r="AO880" i="2"/>
  <c r="AN880" i="2"/>
  <c r="AM880" i="2"/>
  <c r="AD880" i="2" s="1"/>
  <c r="AL880" i="2"/>
  <c r="AC880" i="2" s="1"/>
  <c r="AJ880" i="2"/>
  <c r="AG880" i="2"/>
  <c r="AF880" i="2"/>
  <c r="AE880" i="2"/>
  <c r="AB880" i="2"/>
  <c r="V880" i="2"/>
  <c r="BQ879" i="2"/>
  <c r="AP879" i="2"/>
  <c r="AO879" i="2"/>
  <c r="AF879" i="2" s="1"/>
  <c r="AN879" i="2"/>
  <c r="AM879" i="2"/>
  <c r="AD879" i="2" s="1"/>
  <c r="AL879" i="2"/>
  <c r="AC879" i="2" s="1"/>
  <c r="AJ879" i="2"/>
  <c r="AG879" i="2"/>
  <c r="AE879" i="2"/>
  <c r="AB879" i="2"/>
  <c r="V879" i="2"/>
  <c r="BQ878" i="2"/>
  <c r="AP878" i="2"/>
  <c r="AG878" i="2" s="1"/>
  <c r="AO878" i="2"/>
  <c r="AF878" i="2" s="1"/>
  <c r="AN878" i="2"/>
  <c r="AM878" i="2"/>
  <c r="AD878" i="2" s="1"/>
  <c r="AL878" i="2"/>
  <c r="AC878" i="2" s="1"/>
  <c r="AJ878" i="2"/>
  <c r="AE878" i="2"/>
  <c r="AB878" i="2"/>
  <c r="V878" i="2"/>
  <c r="BQ877" i="2"/>
  <c r="AQ877" i="2"/>
  <c r="AH877" i="2" s="1"/>
  <c r="AP877" i="2"/>
  <c r="AG877" i="2" s="1"/>
  <c r="AO877" i="2"/>
  <c r="AN877" i="2"/>
  <c r="AM877" i="2"/>
  <c r="AD877" i="2" s="1"/>
  <c r="AL877" i="2"/>
  <c r="AC877" i="2" s="1"/>
  <c r="AJ877" i="2"/>
  <c r="AF877" i="2"/>
  <c r="AE877" i="2"/>
  <c r="AB877" i="2"/>
  <c r="V877" i="2"/>
  <c r="BQ876" i="2"/>
  <c r="AQ876" i="2"/>
  <c r="AH876" i="2" s="1"/>
  <c r="AP876" i="2"/>
  <c r="AO876" i="2"/>
  <c r="AN876" i="2"/>
  <c r="AM876" i="2"/>
  <c r="AD876" i="2" s="1"/>
  <c r="AL876" i="2"/>
  <c r="AC876" i="2" s="1"/>
  <c r="AJ876" i="2"/>
  <c r="AG876" i="2"/>
  <c r="AF876" i="2"/>
  <c r="AE876" i="2"/>
  <c r="AB876" i="2"/>
  <c r="V876" i="2"/>
  <c r="BQ875" i="2"/>
  <c r="AP875" i="2"/>
  <c r="AG875" i="2" s="1"/>
  <c r="AO875" i="2"/>
  <c r="AF875" i="2" s="1"/>
  <c r="AN875" i="2"/>
  <c r="AM875" i="2"/>
  <c r="AD875" i="2" s="1"/>
  <c r="AL875" i="2"/>
  <c r="AC875" i="2" s="1"/>
  <c r="AJ875" i="2"/>
  <c r="AE875" i="2"/>
  <c r="AB875" i="2"/>
  <c r="V875" i="2"/>
  <c r="BQ874" i="2"/>
  <c r="AP874" i="2"/>
  <c r="AG874" i="2" s="1"/>
  <c r="AO874" i="2"/>
  <c r="AN874" i="2"/>
  <c r="AM874" i="2"/>
  <c r="AD874" i="2" s="1"/>
  <c r="AL874" i="2"/>
  <c r="AC874" i="2" s="1"/>
  <c r="AJ874" i="2"/>
  <c r="AF874" i="2"/>
  <c r="AE874" i="2"/>
  <c r="AB874" i="2"/>
  <c r="V874" i="2"/>
  <c r="BQ873" i="2"/>
  <c r="AP873" i="2"/>
  <c r="AQ873" i="2" s="1"/>
  <c r="AH873" i="2" s="1"/>
  <c r="AO873" i="2"/>
  <c r="AN873" i="2"/>
  <c r="AM873" i="2"/>
  <c r="AD873" i="2" s="1"/>
  <c r="AL873" i="2"/>
  <c r="AC873" i="2" s="1"/>
  <c r="AJ873" i="2"/>
  <c r="AF873" i="2"/>
  <c r="AE873" i="2"/>
  <c r="AB873" i="2"/>
  <c r="V873" i="2"/>
  <c r="BQ872" i="2"/>
  <c r="AP872" i="2"/>
  <c r="AO872" i="2"/>
  <c r="AN872" i="2"/>
  <c r="AM872" i="2"/>
  <c r="AD872" i="2" s="1"/>
  <c r="AL872" i="2"/>
  <c r="AC872" i="2" s="1"/>
  <c r="AJ872" i="2"/>
  <c r="AG872" i="2"/>
  <c r="AF872" i="2"/>
  <c r="AE872" i="2"/>
  <c r="AB872" i="2"/>
  <c r="V872" i="2"/>
  <c r="BQ871" i="2"/>
  <c r="AP871" i="2"/>
  <c r="AO871" i="2"/>
  <c r="AF871" i="2" s="1"/>
  <c r="AN871" i="2"/>
  <c r="AM871" i="2"/>
  <c r="AD871" i="2" s="1"/>
  <c r="AL871" i="2"/>
  <c r="AC871" i="2" s="1"/>
  <c r="AJ871" i="2"/>
  <c r="AG871" i="2"/>
  <c r="AE871" i="2"/>
  <c r="AB871" i="2"/>
  <c r="V871" i="2"/>
  <c r="BQ870" i="2"/>
  <c r="AP870" i="2"/>
  <c r="AG870" i="2" s="1"/>
  <c r="AO870" i="2"/>
  <c r="AF870" i="2" s="1"/>
  <c r="AN870" i="2"/>
  <c r="AM870" i="2"/>
  <c r="AD870" i="2" s="1"/>
  <c r="AL870" i="2"/>
  <c r="AC870" i="2" s="1"/>
  <c r="AJ870" i="2"/>
  <c r="AE870" i="2"/>
  <c r="AB870" i="2"/>
  <c r="V870" i="2"/>
  <c r="BQ869" i="2"/>
  <c r="AP869" i="2"/>
  <c r="AG869" i="2" s="1"/>
  <c r="AO869" i="2"/>
  <c r="AN869" i="2"/>
  <c r="AM869" i="2"/>
  <c r="AL869" i="2"/>
  <c r="AC869" i="2" s="1"/>
  <c r="AJ869" i="2"/>
  <c r="AF869" i="2"/>
  <c r="AE869" i="2"/>
  <c r="AB869" i="2"/>
  <c r="V869" i="2"/>
  <c r="BQ868" i="2"/>
  <c r="AP868" i="2"/>
  <c r="AG868" i="2" s="1"/>
  <c r="AO868" i="2"/>
  <c r="AN868" i="2"/>
  <c r="AM868" i="2"/>
  <c r="AD868" i="2" s="1"/>
  <c r="AL868" i="2"/>
  <c r="AC868" i="2" s="1"/>
  <c r="AJ868" i="2"/>
  <c r="AF868" i="2"/>
  <c r="AE868" i="2"/>
  <c r="AB868" i="2"/>
  <c r="V868" i="2"/>
  <c r="BQ867" i="2"/>
  <c r="AQ867" i="2"/>
  <c r="AP867" i="2"/>
  <c r="AO867" i="2"/>
  <c r="AF867" i="2" s="1"/>
  <c r="AN867" i="2"/>
  <c r="AM867" i="2"/>
  <c r="AD867" i="2" s="1"/>
  <c r="AL867" i="2"/>
  <c r="AC867" i="2" s="1"/>
  <c r="AJ867" i="2"/>
  <c r="AH867" i="2"/>
  <c r="AG867" i="2"/>
  <c r="AE867" i="2"/>
  <c r="AB867" i="2"/>
  <c r="V867" i="2"/>
  <c r="BQ866" i="2"/>
  <c r="AP866" i="2"/>
  <c r="AG866" i="2" s="1"/>
  <c r="AO866" i="2"/>
  <c r="AN866" i="2"/>
  <c r="AM866" i="2"/>
  <c r="AD866" i="2" s="1"/>
  <c r="AL866" i="2"/>
  <c r="AC866" i="2" s="1"/>
  <c r="AJ866" i="2"/>
  <c r="AF866" i="2"/>
  <c r="AE866" i="2"/>
  <c r="AB866" i="2"/>
  <c r="V866" i="2"/>
  <c r="BQ865" i="2"/>
  <c r="AP865" i="2"/>
  <c r="AO865" i="2"/>
  <c r="AN865" i="2"/>
  <c r="AM865" i="2"/>
  <c r="AD865" i="2" s="1"/>
  <c r="AL865" i="2"/>
  <c r="AC865" i="2" s="1"/>
  <c r="AJ865" i="2"/>
  <c r="AG865" i="2"/>
  <c r="AF865" i="2"/>
  <c r="AE865" i="2"/>
  <c r="AB865" i="2"/>
  <c r="V865" i="2"/>
  <c r="BQ864" i="2"/>
  <c r="AP864" i="2"/>
  <c r="AG864" i="2" s="1"/>
  <c r="AO864" i="2"/>
  <c r="AN864" i="2"/>
  <c r="AM864" i="2"/>
  <c r="AD864" i="2" s="1"/>
  <c r="AL864" i="2"/>
  <c r="AC864" i="2" s="1"/>
  <c r="AJ864" i="2"/>
  <c r="AF864" i="2"/>
  <c r="AE864" i="2"/>
  <c r="AB864" i="2"/>
  <c r="V864" i="2"/>
  <c r="BQ863" i="2"/>
  <c r="AQ863" i="2"/>
  <c r="AH863" i="2" s="1"/>
  <c r="AP863" i="2"/>
  <c r="AO863" i="2"/>
  <c r="AF863" i="2" s="1"/>
  <c r="AN863" i="2"/>
  <c r="AM863" i="2"/>
  <c r="AD863" i="2" s="1"/>
  <c r="AL863" i="2"/>
  <c r="AC863" i="2" s="1"/>
  <c r="AJ863" i="2"/>
  <c r="AG863" i="2"/>
  <c r="AE863" i="2"/>
  <c r="AB863" i="2"/>
  <c r="V863" i="2"/>
  <c r="BQ862" i="2"/>
  <c r="AP862" i="2"/>
  <c r="AG862" i="2" s="1"/>
  <c r="AO862" i="2"/>
  <c r="AF862" i="2" s="1"/>
  <c r="AN862" i="2"/>
  <c r="AM862" i="2"/>
  <c r="AD862" i="2" s="1"/>
  <c r="AL862" i="2"/>
  <c r="AC862" i="2" s="1"/>
  <c r="AJ862" i="2"/>
  <c r="AE862" i="2"/>
  <c r="AB862" i="2"/>
  <c r="V862" i="2"/>
  <c r="BQ861" i="2"/>
  <c r="AP861" i="2"/>
  <c r="AO861" i="2"/>
  <c r="AN861" i="2"/>
  <c r="AM861" i="2"/>
  <c r="AL861" i="2"/>
  <c r="AC861" i="2" s="1"/>
  <c r="AJ861" i="2"/>
  <c r="AG861" i="2"/>
  <c r="AF861" i="2"/>
  <c r="AE861" i="2"/>
  <c r="AB861" i="2"/>
  <c r="V861" i="2"/>
  <c r="BQ860" i="2"/>
  <c r="AP860" i="2"/>
  <c r="AG860" i="2" s="1"/>
  <c r="AO860" i="2"/>
  <c r="AF860" i="2" s="1"/>
  <c r="AN860" i="2"/>
  <c r="AM860" i="2"/>
  <c r="AD860" i="2" s="1"/>
  <c r="AL860" i="2"/>
  <c r="AC860" i="2" s="1"/>
  <c r="AJ860" i="2"/>
  <c r="AE860" i="2"/>
  <c r="AB860" i="2"/>
  <c r="V860" i="2"/>
  <c r="BQ859" i="2"/>
  <c r="AP859" i="2"/>
  <c r="AO859" i="2"/>
  <c r="AF859" i="2" s="1"/>
  <c r="AN859" i="2"/>
  <c r="AM859" i="2"/>
  <c r="AD859" i="2" s="1"/>
  <c r="AL859" i="2"/>
  <c r="AC859" i="2" s="1"/>
  <c r="AJ859" i="2"/>
  <c r="AG859" i="2"/>
  <c r="AE859" i="2"/>
  <c r="AB859" i="2"/>
  <c r="V859" i="2"/>
  <c r="BQ858" i="2"/>
  <c r="AP858" i="2"/>
  <c r="AG858" i="2" s="1"/>
  <c r="AO858" i="2"/>
  <c r="AN858" i="2"/>
  <c r="AM858" i="2"/>
  <c r="AD858" i="2" s="1"/>
  <c r="AL858" i="2"/>
  <c r="AC858" i="2" s="1"/>
  <c r="AJ858" i="2"/>
  <c r="AF858" i="2"/>
  <c r="AE858" i="2"/>
  <c r="AB858" i="2"/>
  <c r="V858" i="2"/>
  <c r="BQ857" i="2"/>
  <c r="AP857" i="2"/>
  <c r="AO857" i="2"/>
  <c r="AF857" i="2" s="1"/>
  <c r="AN857" i="2"/>
  <c r="AM857" i="2"/>
  <c r="AD857" i="2" s="1"/>
  <c r="AL857" i="2"/>
  <c r="AC857" i="2" s="1"/>
  <c r="AJ857" i="2"/>
  <c r="AG857" i="2"/>
  <c r="AE857" i="2"/>
  <c r="AB857" i="2"/>
  <c r="V857" i="2"/>
  <c r="BQ856" i="2"/>
  <c r="AP856" i="2"/>
  <c r="AO856" i="2"/>
  <c r="AN856" i="2"/>
  <c r="AM856" i="2"/>
  <c r="AD856" i="2" s="1"/>
  <c r="AL856" i="2"/>
  <c r="AC856" i="2" s="1"/>
  <c r="AJ856" i="2"/>
  <c r="AG856" i="2"/>
  <c r="AF856" i="2"/>
  <c r="AE856" i="2"/>
  <c r="AB856" i="2"/>
  <c r="V856" i="2"/>
  <c r="BQ855" i="2"/>
  <c r="AQ855" i="2"/>
  <c r="AH855" i="2" s="1"/>
  <c r="AP855" i="2"/>
  <c r="AO855" i="2"/>
  <c r="AF855" i="2" s="1"/>
  <c r="AN855" i="2"/>
  <c r="AM855" i="2"/>
  <c r="AD855" i="2" s="1"/>
  <c r="AL855" i="2"/>
  <c r="AC855" i="2" s="1"/>
  <c r="AJ855" i="2"/>
  <c r="AG855" i="2"/>
  <c r="AE855" i="2"/>
  <c r="AB855" i="2"/>
  <c r="V855" i="2"/>
  <c r="BQ854" i="2"/>
  <c r="AP854" i="2"/>
  <c r="AO854" i="2"/>
  <c r="AN854" i="2"/>
  <c r="AM854" i="2"/>
  <c r="AD854" i="2" s="1"/>
  <c r="AL854" i="2"/>
  <c r="AC854" i="2" s="1"/>
  <c r="AJ854" i="2"/>
  <c r="AG854" i="2"/>
  <c r="AE854" i="2"/>
  <c r="AB854" i="2"/>
  <c r="V854" i="2"/>
  <c r="BQ853" i="2"/>
  <c r="AP853" i="2"/>
  <c r="AO853" i="2"/>
  <c r="AF853" i="2" s="1"/>
  <c r="AN853" i="2"/>
  <c r="AM853" i="2"/>
  <c r="AD853" i="2" s="1"/>
  <c r="AL853" i="2"/>
  <c r="AC853" i="2" s="1"/>
  <c r="AJ853" i="2"/>
  <c r="AG853" i="2"/>
  <c r="AE853" i="2"/>
  <c r="AB853" i="2"/>
  <c r="V853" i="2"/>
  <c r="BQ852" i="2"/>
  <c r="AQ852" i="2"/>
  <c r="AH852" i="2" s="1"/>
  <c r="AP852" i="2"/>
  <c r="AG852" i="2" s="1"/>
  <c r="AO852" i="2"/>
  <c r="AF852" i="2" s="1"/>
  <c r="AN852" i="2"/>
  <c r="AM852" i="2"/>
  <c r="AD852" i="2" s="1"/>
  <c r="AL852" i="2"/>
  <c r="AC852" i="2" s="1"/>
  <c r="AJ852" i="2"/>
  <c r="AE852" i="2"/>
  <c r="AB852" i="2"/>
  <c r="V852" i="2"/>
  <c r="BQ851" i="2"/>
  <c r="AQ851" i="2"/>
  <c r="AH851" i="2" s="1"/>
  <c r="AP851" i="2"/>
  <c r="AO851" i="2"/>
  <c r="AF851" i="2" s="1"/>
  <c r="AN851" i="2"/>
  <c r="AM851" i="2"/>
  <c r="AD851" i="2" s="1"/>
  <c r="AL851" i="2"/>
  <c r="AC851" i="2" s="1"/>
  <c r="AJ851" i="2"/>
  <c r="AG851" i="2"/>
  <c r="AE851" i="2"/>
  <c r="AB851" i="2"/>
  <c r="V851" i="2"/>
  <c r="BQ850" i="2"/>
  <c r="AP850" i="2"/>
  <c r="AO850" i="2"/>
  <c r="AF850" i="2" s="1"/>
  <c r="AN850" i="2"/>
  <c r="AM850" i="2"/>
  <c r="AD850" i="2" s="1"/>
  <c r="AL850" i="2"/>
  <c r="AC850" i="2" s="1"/>
  <c r="AJ850" i="2"/>
  <c r="AG850" i="2"/>
  <c r="AE850" i="2"/>
  <c r="AB850" i="2"/>
  <c r="V850" i="2"/>
  <c r="BQ849" i="2"/>
  <c r="AP849" i="2"/>
  <c r="AO849" i="2"/>
  <c r="AF849" i="2" s="1"/>
  <c r="AN849" i="2"/>
  <c r="AM849" i="2"/>
  <c r="AD849" i="2" s="1"/>
  <c r="AL849" i="2"/>
  <c r="AC849" i="2" s="1"/>
  <c r="AJ849" i="2"/>
  <c r="AG849" i="2"/>
  <c r="AE849" i="2"/>
  <c r="AB849" i="2"/>
  <c r="V849" i="2"/>
  <c r="BQ848" i="2"/>
  <c r="AP848" i="2"/>
  <c r="AO848" i="2"/>
  <c r="AF848" i="2" s="1"/>
  <c r="AN848" i="2"/>
  <c r="AM848" i="2"/>
  <c r="AD848" i="2" s="1"/>
  <c r="AL848" i="2"/>
  <c r="AC848" i="2" s="1"/>
  <c r="AJ848" i="2"/>
  <c r="AG848" i="2"/>
  <c r="AE848" i="2"/>
  <c r="AB848" i="2"/>
  <c r="V848" i="2"/>
  <c r="BQ847" i="2"/>
  <c r="AP847" i="2"/>
  <c r="AO847" i="2"/>
  <c r="AF847" i="2" s="1"/>
  <c r="AN847" i="2"/>
  <c r="AM847" i="2"/>
  <c r="AD847" i="2" s="1"/>
  <c r="AL847" i="2"/>
  <c r="AC847" i="2" s="1"/>
  <c r="AJ847" i="2"/>
  <c r="AG847" i="2"/>
  <c r="AE847" i="2"/>
  <c r="AB847" i="2"/>
  <c r="V847" i="2"/>
  <c r="BQ846" i="2"/>
  <c r="AQ846" i="2"/>
  <c r="AH846" i="2" s="1"/>
  <c r="AP846" i="2"/>
  <c r="AO846" i="2"/>
  <c r="AF846" i="2" s="1"/>
  <c r="AN846" i="2"/>
  <c r="AM846" i="2"/>
  <c r="AD846" i="2" s="1"/>
  <c r="AL846" i="2"/>
  <c r="AC846" i="2" s="1"/>
  <c r="AJ846" i="2"/>
  <c r="AG846" i="2"/>
  <c r="AE846" i="2"/>
  <c r="AB846" i="2"/>
  <c r="V846" i="2"/>
  <c r="BQ845" i="2"/>
  <c r="AP845" i="2"/>
  <c r="AO845" i="2"/>
  <c r="AF845" i="2" s="1"/>
  <c r="AN845" i="2"/>
  <c r="AM845" i="2"/>
  <c r="AD845" i="2" s="1"/>
  <c r="AL845" i="2"/>
  <c r="AC845" i="2" s="1"/>
  <c r="AJ845" i="2"/>
  <c r="AG845" i="2"/>
  <c r="AE845" i="2"/>
  <c r="AB845" i="2"/>
  <c r="V845" i="2"/>
  <c r="BQ844" i="2"/>
  <c r="AP844" i="2"/>
  <c r="AO844" i="2"/>
  <c r="AF844" i="2" s="1"/>
  <c r="AN844" i="2"/>
  <c r="AM844" i="2"/>
  <c r="AD844" i="2" s="1"/>
  <c r="AL844" i="2"/>
  <c r="AC844" i="2" s="1"/>
  <c r="AJ844" i="2"/>
  <c r="AG844" i="2"/>
  <c r="AE844" i="2"/>
  <c r="AB844" i="2"/>
  <c r="V844" i="2"/>
  <c r="BQ843" i="2"/>
  <c r="AP843" i="2"/>
  <c r="AO843" i="2"/>
  <c r="AF843" i="2" s="1"/>
  <c r="AN843" i="2"/>
  <c r="AM843" i="2"/>
  <c r="AD843" i="2" s="1"/>
  <c r="AL843" i="2"/>
  <c r="AC843" i="2" s="1"/>
  <c r="AJ843" i="2"/>
  <c r="AG843" i="2"/>
  <c r="AE843" i="2"/>
  <c r="AB843" i="2"/>
  <c r="V843" i="2"/>
  <c r="BQ842" i="2"/>
  <c r="AQ842" i="2"/>
  <c r="AH842" i="2" s="1"/>
  <c r="AP842" i="2"/>
  <c r="AO842" i="2"/>
  <c r="AF842" i="2" s="1"/>
  <c r="AN842" i="2"/>
  <c r="AM842" i="2"/>
  <c r="AD842" i="2" s="1"/>
  <c r="AL842" i="2"/>
  <c r="AC842" i="2" s="1"/>
  <c r="AJ842" i="2"/>
  <c r="AG842" i="2"/>
  <c r="AE842" i="2"/>
  <c r="AB842" i="2"/>
  <c r="V842" i="2"/>
  <c r="BQ841" i="2"/>
  <c r="AP841" i="2"/>
  <c r="AO841" i="2"/>
  <c r="AF841" i="2" s="1"/>
  <c r="AN841" i="2"/>
  <c r="AM841" i="2"/>
  <c r="AD841" i="2" s="1"/>
  <c r="AL841" i="2"/>
  <c r="AC841" i="2" s="1"/>
  <c r="AJ841" i="2"/>
  <c r="AG841" i="2"/>
  <c r="AE841" i="2"/>
  <c r="AB841" i="2"/>
  <c r="V841" i="2"/>
  <c r="BQ840" i="2"/>
  <c r="AP840" i="2"/>
  <c r="AO840" i="2"/>
  <c r="AF840" i="2" s="1"/>
  <c r="AN840" i="2"/>
  <c r="AM840" i="2"/>
  <c r="AD840" i="2" s="1"/>
  <c r="AL840" i="2"/>
  <c r="AC840" i="2" s="1"/>
  <c r="AJ840" i="2"/>
  <c r="AG840" i="2"/>
  <c r="AE840" i="2"/>
  <c r="AB840" i="2"/>
  <c r="V840" i="2"/>
  <c r="BQ839" i="2"/>
  <c r="AP839" i="2"/>
  <c r="AO839" i="2"/>
  <c r="AF839" i="2" s="1"/>
  <c r="AN839" i="2"/>
  <c r="AM839" i="2"/>
  <c r="AD839" i="2" s="1"/>
  <c r="AL839" i="2"/>
  <c r="AC839" i="2" s="1"/>
  <c r="AJ839" i="2"/>
  <c r="AG839" i="2"/>
  <c r="AE839" i="2"/>
  <c r="AB839" i="2"/>
  <c r="V839" i="2"/>
  <c r="BQ838" i="2"/>
  <c r="AQ838" i="2"/>
  <c r="AH838" i="2" s="1"/>
  <c r="AP838" i="2"/>
  <c r="AO838" i="2"/>
  <c r="AF838" i="2" s="1"/>
  <c r="AN838" i="2"/>
  <c r="AM838" i="2"/>
  <c r="AD838" i="2" s="1"/>
  <c r="AL838" i="2"/>
  <c r="AC838" i="2" s="1"/>
  <c r="AJ838" i="2"/>
  <c r="AG838" i="2"/>
  <c r="AE838" i="2"/>
  <c r="AB838" i="2"/>
  <c r="V838" i="2"/>
  <c r="BQ837" i="2"/>
  <c r="AP837" i="2"/>
  <c r="AO837" i="2"/>
  <c r="AF837" i="2" s="1"/>
  <c r="AN837" i="2"/>
  <c r="AM837" i="2"/>
  <c r="AD837" i="2" s="1"/>
  <c r="AL837" i="2"/>
  <c r="AC837" i="2" s="1"/>
  <c r="AJ837" i="2"/>
  <c r="AG837" i="2"/>
  <c r="AE837" i="2"/>
  <c r="AB837" i="2"/>
  <c r="V837" i="2"/>
  <c r="BQ836" i="2"/>
  <c r="AP836" i="2"/>
  <c r="AO836" i="2"/>
  <c r="AF836" i="2" s="1"/>
  <c r="AN836" i="2"/>
  <c r="AM836" i="2"/>
  <c r="AD836" i="2" s="1"/>
  <c r="AL836" i="2"/>
  <c r="AC836" i="2" s="1"/>
  <c r="AJ836" i="2"/>
  <c r="AG836" i="2"/>
  <c r="AE836" i="2"/>
  <c r="AB836" i="2"/>
  <c r="V836" i="2"/>
  <c r="BQ835" i="2"/>
  <c r="AP835" i="2"/>
  <c r="AO835" i="2"/>
  <c r="AF835" i="2" s="1"/>
  <c r="AN835" i="2"/>
  <c r="AM835" i="2"/>
  <c r="AD835" i="2" s="1"/>
  <c r="AL835" i="2"/>
  <c r="AC835" i="2" s="1"/>
  <c r="AJ835" i="2"/>
  <c r="AG835" i="2"/>
  <c r="AE835" i="2"/>
  <c r="AB835" i="2"/>
  <c r="V835" i="2"/>
  <c r="BQ834" i="2"/>
  <c r="AP834" i="2"/>
  <c r="AO834" i="2"/>
  <c r="AF834" i="2" s="1"/>
  <c r="AN834" i="2"/>
  <c r="AM834" i="2"/>
  <c r="AD834" i="2" s="1"/>
  <c r="AL834" i="2"/>
  <c r="AC834" i="2" s="1"/>
  <c r="AJ834" i="2"/>
  <c r="AG834" i="2"/>
  <c r="AE834" i="2"/>
  <c r="AB834" i="2"/>
  <c r="V834" i="2"/>
  <c r="BQ833" i="2"/>
  <c r="AP833" i="2"/>
  <c r="AO833" i="2"/>
  <c r="AF833" i="2" s="1"/>
  <c r="AN833" i="2"/>
  <c r="AM833" i="2"/>
  <c r="AD833" i="2" s="1"/>
  <c r="AL833" i="2"/>
  <c r="AC833" i="2" s="1"/>
  <c r="AJ833" i="2"/>
  <c r="AG833" i="2"/>
  <c r="AE833" i="2"/>
  <c r="AB833" i="2"/>
  <c r="V833" i="2"/>
  <c r="BQ832" i="2"/>
  <c r="AP832" i="2"/>
  <c r="AO832" i="2"/>
  <c r="AF832" i="2" s="1"/>
  <c r="AN832" i="2"/>
  <c r="AM832" i="2"/>
  <c r="AD832" i="2" s="1"/>
  <c r="AL832" i="2"/>
  <c r="AC832" i="2" s="1"/>
  <c r="AJ832" i="2"/>
  <c r="AG832" i="2"/>
  <c r="AE832" i="2"/>
  <c r="AB832" i="2"/>
  <c r="V832" i="2"/>
  <c r="BQ831" i="2"/>
  <c r="AP831" i="2"/>
  <c r="AO831" i="2"/>
  <c r="AF831" i="2" s="1"/>
  <c r="AN831" i="2"/>
  <c r="AM831" i="2"/>
  <c r="AD831" i="2" s="1"/>
  <c r="AL831" i="2"/>
  <c r="AC831" i="2" s="1"/>
  <c r="AJ831" i="2"/>
  <c r="AG831" i="2"/>
  <c r="AE831" i="2"/>
  <c r="AB831" i="2"/>
  <c r="V831" i="2"/>
  <c r="BQ830" i="2"/>
  <c r="AP830" i="2"/>
  <c r="AO830" i="2"/>
  <c r="AF830" i="2" s="1"/>
  <c r="AN830" i="2"/>
  <c r="AM830" i="2"/>
  <c r="AD830" i="2" s="1"/>
  <c r="AL830" i="2"/>
  <c r="AC830" i="2" s="1"/>
  <c r="AJ830" i="2"/>
  <c r="AG830" i="2"/>
  <c r="AE830" i="2"/>
  <c r="AB830" i="2"/>
  <c r="V830" i="2"/>
  <c r="BQ829" i="2"/>
  <c r="AP829" i="2"/>
  <c r="AO829" i="2"/>
  <c r="AF829" i="2" s="1"/>
  <c r="AN829" i="2"/>
  <c r="AM829" i="2"/>
  <c r="AD829" i="2" s="1"/>
  <c r="AL829" i="2"/>
  <c r="AC829" i="2" s="1"/>
  <c r="AJ829" i="2"/>
  <c r="AG829" i="2"/>
  <c r="AE829" i="2"/>
  <c r="AB829" i="2"/>
  <c r="V829" i="2"/>
  <c r="BQ828" i="2"/>
  <c r="AP828" i="2"/>
  <c r="AO828" i="2"/>
  <c r="AF828" i="2" s="1"/>
  <c r="AN828" i="2"/>
  <c r="AM828" i="2"/>
  <c r="AD828" i="2" s="1"/>
  <c r="AL828" i="2"/>
  <c r="AC828" i="2" s="1"/>
  <c r="AJ828" i="2"/>
  <c r="AG828" i="2"/>
  <c r="AE828" i="2"/>
  <c r="AB828" i="2"/>
  <c r="V828" i="2"/>
  <c r="BQ827" i="2"/>
  <c r="AP827" i="2"/>
  <c r="AO827" i="2"/>
  <c r="AF827" i="2" s="1"/>
  <c r="AN827" i="2"/>
  <c r="AM827" i="2"/>
  <c r="AD827" i="2" s="1"/>
  <c r="AL827" i="2"/>
  <c r="AC827" i="2" s="1"/>
  <c r="AJ827" i="2"/>
  <c r="AG827" i="2"/>
  <c r="AE827" i="2"/>
  <c r="AB827" i="2"/>
  <c r="V827" i="2"/>
  <c r="BQ826" i="2"/>
  <c r="AP826" i="2"/>
  <c r="AO826" i="2"/>
  <c r="AF826" i="2" s="1"/>
  <c r="AN826" i="2"/>
  <c r="AM826" i="2"/>
  <c r="AD826" i="2" s="1"/>
  <c r="AL826" i="2"/>
  <c r="AC826" i="2" s="1"/>
  <c r="AJ826" i="2"/>
  <c r="AG826" i="2"/>
  <c r="AE826" i="2"/>
  <c r="AB826" i="2"/>
  <c r="V826" i="2"/>
  <c r="BQ825" i="2"/>
  <c r="AP825" i="2"/>
  <c r="AO825" i="2"/>
  <c r="AF825" i="2" s="1"/>
  <c r="AN825" i="2"/>
  <c r="AM825" i="2"/>
  <c r="AD825" i="2" s="1"/>
  <c r="AL825" i="2"/>
  <c r="AC825" i="2" s="1"/>
  <c r="AJ825" i="2"/>
  <c r="AG825" i="2"/>
  <c r="AE825" i="2"/>
  <c r="AB825" i="2"/>
  <c r="V825" i="2"/>
  <c r="BQ824" i="2"/>
  <c r="AP824" i="2"/>
  <c r="AO824" i="2"/>
  <c r="AN824" i="2"/>
  <c r="AM824" i="2"/>
  <c r="AD824" i="2" s="1"/>
  <c r="AL824" i="2"/>
  <c r="AC824" i="2" s="1"/>
  <c r="AJ824" i="2"/>
  <c r="AG824" i="2"/>
  <c r="AE824" i="2"/>
  <c r="AB824" i="2"/>
  <c r="V824" i="2"/>
  <c r="BQ823" i="2"/>
  <c r="AP823" i="2"/>
  <c r="AO823" i="2"/>
  <c r="AF823" i="2" s="1"/>
  <c r="AN823" i="2"/>
  <c r="AM823" i="2"/>
  <c r="AD823" i="2" s="1"/>
  <c r="AL823" i="2"/>
  <c r="AC823" i="2" s="1"/>
  <c r="AJ823" i="2"/>
  <c r="AG823" i="2"/>
  <c r="AE823" i="2"/>
  <c r="AB823" i="2"/>
  <c r="V823" i="2"/>
  <c r="BQ822" i="2"/>
  <c r="AP822" i="2"/>
  <c r="AO822" i="2"/>
  <c r="AF822" i="2" s="1"/>
  <c r="AN822" i="2"/>
  <c r="AM822" i="2"/>
  <c r="AD822" i="2" s="1"/>
  <c r="AL822" i="2"/>
  <c r="AC822" i="2" s="1"/>
  <c r="AJ822" i="2"/>
  <c r="AG822" i="2"/>
  <c r="AE822" i="2"/>
  <c r="AB822" i="2"/>
  <c r="V822" i="2"/>
  <c r="BQ821" i="2"/>
  <c r="AP821" i="2"/>
  <c r="AO821" i="2"/>
  <c r="AF821" i="2" s="1"/>
  <c r="AN821" i="2"/>
  <c r="AM821" i="2"/>
  <c r="AD821" i="2" s="1"/>
  <c r="AL821" i="2"/>
  <c r="AC821" i="2" s="1"/>
  <c r="AJ821" i="2"/>
  <c r="AG821" i="2"/>
  <c r="AE821" i="2"/>
  <c r="AB821" i="2"/>
  <c r="V821" i="2"/>
  <c r="BQ820" i="2"/>
  <c r="AP820" i="2"/>
  <c r="AO820" i="2"/>
  <c r="AN820" i="2"/>
  <c r="AM820" i="2"/>
  <c r="AD820" i="2" s="1"/>
  <c r="AL820" i="2"/>
  <c r="AC820" i="2" s="1"/>
  <c r="AJ820" i="2"/>
  <c r="AG820" i="2"/>
  <c r="AE820" i="2"/>
  <c r="AB820" i="2"/>
  <c r="V820" i="2"/>
  <c r="BQ819" i="2"/>
  <c r="AP819" i="2"/>
  <c r="AO819" i="2"/>
  <c r="AF819" i="2" s="1"/>
  <c r="AN819" i="2"/>
  <c r="AM819" i="2"/>
  <c r="AD819" i="2" s="1"/>
  <c r="AL819" i="2"/>
  <c r="AC819" i="2" s="1"/>
  <c r="AJ819" i="2"/>
  <c r="AG819" i="2"/>
  <c r="AE819" i="2"/>
  <c r="AB819" i="2"/>
  <c r="V819" i="2"/>
  <c r="BQ818" i="2"/>
  <c r="AP818" i="2"/>
  <c r="AO818" i="2"/>
  <c r="AN818" i="2"/>
  <c r="AM818" i="2"/>
  <c r="AD818" i="2" s="1"/>
  <c r="AL818" i="2"/>
  <c r="AC818" i="2" s="1"/>
  <c r="AJ818" i="2"/>
  <c r="AG818" i="2"/>
  <c r="AE818" i="2"/>
  <c r="AB818" i="2"/>
  <c r="V818" i="2"/>
  <c r="BQ817" i="2"/>
  <c r="AP817" i="2"/>
  <c r="AO817" i="2"/>
  <c r="AF817" i="2" s="1"/>
  <c r="AN817" i="2"/>
  <c r="AM817" i="2"/>
  <c r="AD817" i="2" s="1"/>
  <c r="AL817" i="2"/>
  <c r="AC817" i="2" s="1"/>
  <c r="AJ817" i="2"/>
  <c r="AG817" i="2"/>
  <c r="AE817" i="2"/>
  <c r="AB817" i="2"/>
  <c r="V817" i="2"/>
  <c r="BQ816" i="2"/>
  <c r="AQ816" i="2"/>
  <c r="AH816" i="2" s="1"/>
  <c r="AP816" i="2"/>
  <c r="AO816" i="2"/>
  <c r="AF816" i="2" s="1"/>
  <c r="AN816" i="2"/>
  <c r="AM816" i="2"/>
  <c r="AD816" i="2" s="1"/>
  <c r="AL816" i="2"/>
  <c r="AC816" i="2" s="1"/>
  <c r="AJ816" i="2"/>
  <c r="AG816" i="2"/>
  <c r="AE816" i="2"/>
  <c r="AB816" i="2"/>
  <c r="V816" i="2"/>
  <c r="BQ815" i="2"/>
  <c r="AP815" i="2"/>
  <c r="AO815" i="2"/>
  <c r="AF815" i="2" s="1"/>
  <c r="AN815" i="2"/>
  <c r="AM815" i="2"/>
  <c r="AD815" i="2" s="1"/>
  <c r="AL815" i="2"/>
  <c r="AC815" i="2" s="1"/>
  <c r="AJ815" i="2"/>
  <c r="AG815" i="2"/>
  <c r="AE815" i="2"/>
  <c r="AB815" i="2"/>
  <c r="V815" i="2"/>
  <c r="BQ814" i="2"/>
  <c r="AQ814" i="2"/>
  <c r="AH814" i="2" s="1"/>
  <c r="AP814" i="2"/>
  <c r="AO814" i="2"/>
  <c r="AF814" i="2" s="1"/>
  <c r="AN814" i="2"/>
  <c r="AM814" i="2"/>
  <c r="AD814" i="2" s="1"/>
  <c r="AL814" i="2"/>
  <c r="AC814" i="2" s="1"/>
  <c r="AJ814" i="2"/>
  <c r="AG814" i="2"/>
  <c r="AE814" i="2"/>
  <c r="AB814" i="2"/>
  <c r="V814" i="2"/>
  <c r="BQ813" i="2"/>
  <c r="AP813" i="2"/>
  <c r="AO813" i="2"/>
  <c r="AF813" i="2" s="1"/>
  <c r="AN813" i="2"/>
  <c r="AM813" i="2"/>
  <c r="AD813" i="2" s="1"/>
  <c r="AL813" i="2"/>
  <c r="AC813" i="2" s="1"/>
  <c r="AJ813" i="2"/>
  <c r="AG813" i="2"/>
  <c r="AE813" i="2"/>
  <c r="AB813" i="2"/>
  <c r="V813" i="2"/>
  <c r="BQ812" i="2"/>
  <c r="AP812" i="2"/>
  <c r="AG812" i="2" s="1"/>
  <c r="AO812" i="2"/>
  <c r="AF812" i="2" s="1"/>
  <c r="AN812" i="2"/>
  <c r="AM812" i="2"/>
  <c r="AD812" i="2" s="1"/>
  <c r="AL812" i="2"/>
  <c r="AC812" i="2" s="1"/>
  <c r="AJ812" i="2"/>
  <c r="AE812" i="2"/>
  <c r="AB812" i="2"/>
  <c r="V812" i="2"/>
  <c r="BQ811" i="2"/>
  <c r="AP811" i="2"/>
  <c r="AO811" i="2"/>
  <c r="AF811" i="2" s="1"/>
  <c r="AN811" i="2"/>
  <c r="AM811" i="2"/>
  <c r="AD811" i="2" s="1"/>
  <c r="AL811" i="2"/>
  <c r="AC811" i="2" s="1"/>
  <c r="AJ811" i="2"/>
  <c r="AG811" i="2"/>
  <c r="AE811" i="2"/>
  <c r="AB811" i="2"/>
  <c r="V811" i="2"/>
  <c r="BQ810" i="2"/>
  <c r="AP810" i="2"/>
  <c r="AO810" i="2"/>
  <c r="AF810" i="2" s="1"/>
  <c r="AN810" i="2"/>
  <c r="AM810" i="2"/>
  <c r="AD810" i="2" s="1"/>
  <c r="AL810" i="2"/>
  <c r="AC810" i="2" s="1"/>
  <c r="AJ810" i="2"/>
  <c r="AG810" i="2"/>
  <c r="AE810" i="2"/>
  <c r="AB810" i="2"/>
  <c r="V810" i="2"/>
  <c r="BQ809" i="2"/>
  <c r="AP809" i="2"/>
  <c r="AG809" i="2" s="1"/>
  <c r="AO809" i="2"/>
  <c r="AN809" i="2"/>
  <c r="AM809" i="2"/>
  <c r="AL809" i="2"/>
  <c r="AJ809" i="2"/>
  <c r="AF809" i="2"/>
  <c r="AE809" i="2"/>
  <c r="AD809" i="2"/>
  <c r="AB809" i="2"/>
  <c r="V809" i="2"/>
  <c r="BQ808" i="2"/>
  <c r="AP808" i="2"/>
  <c r="AO808" i="2"/>
  <c r="AF808" i="2" s="1"/>
  <c r="AN808" i="2"/>
  <c r="AM808" i="2"/>
  <c r="AQ808" i="2" s="1"/>
  <c r="AH808" i="2" s="1"/>
  <c r="AL808" i="2"/>
  <c r="AC808" i="2" s="1"/>
  <c r="AJ808" i="2"/>
  <c r="AG808" i="2"/>
  <c r="AE808" i="2"/>
  <c r="AB808" i="2"/>
  <c r="V808" i="2"/>
  <c r="BQ807" i="2"/>
  <c r="AP807" i="2"/>
  <c r="AO807" i="2"/>
  <c r="AN807" i="2"/>
  <c r="AM807" i="2"/>
  <c r="AL807" i="2"/>
  <c r="AJ807" i="2"/>
  <c r="AG807" i="2"/>
  <c r="AF807" i="2"/>
  <c r="AE807" i="2"/>
  <c r="AD807" i="2"/>
  <c r="AB807" i="2"/>
  <c r="V807" i="2"/>
  <c r="BQ806" i="2"/>
  <c r="AQ806" i="2"/>
  <c r="AH806" i="2" s="1"/>
  <c r="AP806" i="2"/>
  <c r="AO806" i="2"/>
  <c r="AN806" i="2"/>
  <c r="AM806" i="2"/>
  <c r="AD806" i="2" s="1"/>
  <c r="AL806" i="2"/>
  <c r="AC806" i="2" s="1"/>
  <c r="AJ806" i="2"/>
  <c r="AG806" i="2"/>
  <c r="AF806" i="2"/>
  <c r="AE806" i="2"/>
  <c r="AB806" i="2"/>
  <c r="V806" i="2"/>
  <c r="BQ805" i="2"/>
  <c r="AP805" i="2"/>
  <c r="AG805" i="2" s="1"/>
  <c r="AO805" i="2"/>
  <c r="AN805" i="2"/>
  <c r="AM805" i="2"/>
  <c r="AL805" i="2"/>
  <c r="AJ805" i="2"/>
  <c r="AF805" i="2"/>
  <c r="AE805" i="2"/>
  <c r="AD805" i="2"/>
  <c r="AB805" i="2"/>
  <c r="V805" i="2"/>
  <c r="BQ804" i="2"/>
  <c r="AP804" i="2"/>
  <c r="AO804" i="2"/>
  <c r="AF804" i="2" s="1"/>
  <c r="AN804" i="2"/>
  <c r="AM804" i="2"/>
  <c r="AD804" i="2" s="1"/>
  <c r="AL804" i="2"/>
  <c r="AC804" i="2" s="1"/>
  <c r="AJ804" i="2"/>
  <c r="AG804" i="2"/>
  <c r="AE804" i="2"/>
  <c r="AB804" i="2"/>
  <c r="V804" i="2"/>
  <c r="BQ803" i="2"/>
  <c r="AP803" i="2"/>
  <c r="AO803" i="2"/>
  <c r="AN803" i="2"/>
  <c r="AM803" i="2"/>
  <c r="AL803" i="2"/>
  <c r="AC803" i="2" s="1"/>
  <c r="AJ803" i="2"/>
  <c r="AG803" i="2"/>
  <c r="AF803" i="2"/>
  <c r="AE803" i="2"/>
  <c r="AD803" i="2"/>
  <c r="AB803" i="2"/>
  <c r="V803" i="2"/>
  <c r="BQ802" i="2"/>
  <c r="AP802" i="2"/>
  <c r="AO802" i="2"/>
  <c r="AN802" i="2"/>
  <c r="AE802" i="2" s="1"/>
  <c r="AM802" i="2"/>
  <c r="AL802" i="2"/>
  <c r="AJ802" i="2"/>
  <c r="AG802" i="2"/>
  <c r="AF802" i="2"/>
  <c r="AD802" i="2"/>
  <c r="AC802" i="2"/>
  <c r="AB802" i="2"/>
  <c r="V802" i="2"/>
  <c r="BQ801" i="2"/>
  <c r="AQ801" i="2"/>
  <c r="AP801" i="2"/>
  <c r="AO801" i="2"/>
  <c r="AN801" i="2"/>
  <c r="AE801" i="2" s="1"/>
  <c r="AM801" i="2"/>
  <c r="AL801" i="2"/>
  <c r="AC801" i="2" s="1"/>
  <c r="AJ801" i="2"/>
  <c r="AG801" i="2"/>
  <c r="AF801" i="2"/>
  <c r="AD801" i="2"/>
  <c r="AB801" i="2"/>
  <c r="V801" i="2"/>
  <c r="BQ800" i="2"/>
  <c r="AP800" i="2"/>
  <c r="AG800" i="2" s="1"/>
  <c r="AO800" i="2"/>
  <c r="AN800" i="2"/>
  <c r="AE800" i="2" s="1"/>
  <c r="AM800" i="2"/>
  <c r="AL800" i="2"/>
  <c r="AJ800" i="2"/>
  <c r="AF800" i="2"/>
  <c r="AD800" i="2"/>
  <c r="AB800" i="2"/>
  <c r="V800" i="2"/>
  <c r="BQ799" i="2"/>
  <c r="AQ799" i="2"/>
  <c r="AP799" i="2"/>
  <c r="AO799" i="2"/>
  <c r="AN799" i="2"/>
  <c r="AE799" i="2" s="1"/>
  <c r="AM799" i="2"/>
  <c r="AL799" i="2"/>
  <c r="AJ799" i="2"/>
  <c r="AH799" i="2"/>
  <c r="AG799" i="2"/>
  <c r="AF799" i="2"/>
  <c r="AD799" i="2"/>
  <c r="AC799" i="2"/>
  <c r="AB799" i="2"/>
  <c r="V799" i="2"/>
  <c r="BQ798" i="2"/>
  <c r="AP798" i="2"/>
  <c r="AO798" i="2"/>
  <c r="AN798" i="2"/>
  <c r="AE798" i="2" s="1"/>
  <c r="AM798" i="2"/>
  <c r="AL798" i="2"/>
  <c r="AQ798" i="2" s="1"/>
  <c r="AH798" i="2" s="1"/>
  <c r="AJ798" i="2"/>
  <c r="AG798" i="2"/>
  <c r="AF798" i="2"/>
  <c r="AD798" i="2"/>
  <c r="AC798" i="2"/>
  <c r="AB798" i="2"/>
  <c r="V798" i="2"/>
  <c r="BQ797" i="2"/>
  <c r="AQ797" i="2"/>
  <c r="AP797" i="2"/>
  <c r="AO797" i="2"/>
  <c r="AN797" i="2"/>
  <c r="AE797" i="2" s="1"/>
  <c r="AM797" i="2"/>
  <c r="AD797" i="2" s="1"/>
  <c r="AL797" i="2"/>
  <c r="AC797" i="2" s="1"/>
  <c r="AJ797" i="2"/>
  <c r="AG797" i="2"/>
  <c r="AF797" i="2"/>
  <c r="AB797" i="2"/>
  <c r="V797" i="2"/>
  <c r="BQ796" i="2"/>
  <c r="AP796" i="2"/>
  <c r="AG796" i="2" s="1"/>
  <c r="AO796" i="2"/>
  <c r="AN796" i="2"/>
  <c r="AE796" i="2" s="1"/>
  <c r="AM796" i="2"/>
  <c r="AL796" i="2"/>
  <c r="AJ796" i="2"/>
  <c r="AF796" i="2"/>
  <c r="AD796" i="2"/>
  <c r="AB796" i="2"/>
  <c r="V796" i="2"/>
  <c r="BQ795" i="2"/>
  <c r="AP795" i="2"/>
  <c r="AO795" i="2"/>
  <c r="AN795" i="2"/>
  <c r="AE795" i="2" s="1"/>
  <c r="AM795" i="2"/>
  <c r="AQ795" i="2" s="1"/>
  <c r="AH795" i="2" s="1"/>
  <c r="AL795" i="2"/>
  <c r="AJ795" i="2"/>
  <c r="AG795" i="2"/>
  <c r="AF795" i="2"/>
  <c r="AD795" i="2"/>
  <c r="AC795" i="2"/>
  <c r="AB795" i="2"/>
  <c r="V795" i="2"/>
  <c r="BQ794" i="2"/>
  <c r="AP794" i="2"/>
  <c r="AG794" i="2" s="1"/>
  <c r="AO794" i="2"/>
  <c r="AN794" i="2"/>
  <c r="AM794" i="2"/>
  <c r="AL794" i="2"/>
  <c r="AJ794" i="2"/>
  <c r="AF794" i="2"/>
  <c r="AD794" i="2"/>
  <c r="AC794" i="2"/>
  <c r="AB794" i="2"/>
  <c r="V794" i="2"/>
  <c r="BQ793" i="2"/>
  <c r="AP793" i="2"/>
  <c r="AO793" i="2"/>
  <c r="AN793" i="2"/>
  <c r="AE793" i="2" s="1"/>
  <c r="AM793" i="2"/>
  <c r="AD793" i="2" s="1"/>
  <c r="AL793" i="2"/>
  <c r="AJ793" i="2"/>
  <c r="AG793" i="2"/>
  <c r="AF793" i="2"/>
  <c r="AC793" i="2"/>
  <c r="AB793" i="2"/>
  <c r="V793" i="2"/>
  <c r="BQ792" i="2"/>
  <c r="AP792" i="2"/>
  <c r="AG792" i="2" s="1"/>
  <c r="AO792" i="2"/>
  <c r="AN792" i="2"/>
  <c r="AE792" i="2" s="1"/>
  <c r="AM792" i="2"/>
  <c r="AL792" i="2"/>
  <c r="AJ792" i="2"/>
  <c r="AF792" i="2"/>
  <c r="AD792" i="2"/>
  <c r="AB792" i="2"/>
  <c r="V792" i="2"/>
  <c r="BQ791" i="2"/>
  <c r="AP791" i="2"/>
  <c r="AO791" i="2"/>
  <c r="AN791" i="2"/>
  <c r="AE791" i="2" s="1"/>
  <c r="AM791" i="2"/>
  <c r="AL791" i="2"/>
  <c r="AJ791" i="2"/>
  <c r="AG791" i="2"/>
  <c r="AF791" i="2"/>
  <c r="AD791" i="2"/>
  <c r="AC791" i="2"/>
  <c r="AB791" i="2"/>
  <c r="V791" i="2"/>
  <c r="BQ790" i="2"/>
  <c r="AP790" i="2"/>
  <c r="AG790" i="2" s="1"/>
  <c r="AO790" i="2"/>
  <c r="AN790" i="2"/>
  <c r="AE790" i="2" s="1"/>
  <c r="AM790" i="2"/>
  <c r="AD790" i="2" s="1"/>
  <c r="AL790" i="2"/>
  <c r="AJ790" i="2"/>
  <c r="AF790" i="2"/>
  <c r="AC790" i="2"/>
  <c r="AB790" i="2"/>
  <c r="V790" i="2"/>
  <c r="BQ789" i="2"/>
  <c r="AP789" i="2"/>
  <c r="AO789" i="2"/>
  <c r="AN789" i="2"/>
  <c r="AE789" i="2" s="1"/>
  <c r="AM789" i="2"/>
  <c r="AD789" i="2" s="1"/>
  <c r="AL789" i="2"/>
  <c r="AC789" i="2" s="1"/>
  <c r="AJ789" i="2"/>
  <c r="AG789" i="2"/>
  <c r="AF789" i="2"/>
  <c r="AB789" i="2"/>
  <c r="V789" i="2"/>
  <c r="BQ788" i="2"/>
  <c r="AP788" i="2"/>
  <c r="AG788" i="2" s="1"/>
  <c r="AO788" i="2"/>
  <c r="AN788" i="2"/>
  <c r="AE788" i="2" s="1"/>
  <c r="AM788" i="2"/>
  <c r="AD788" i="2" s="1"/>
  <c r="AL788" i="2"/>
  <c r="AJ788" i="2"/>
  <c r="AF788" i="2"/>
  <c r="AB788" i="2"/>
  <c r="V788" i="2"/>
  <c r="BQ787" i="2"/>
  <c r="AQ787" i="2"/>
  <c r="AP787" i="2"/>
  <c r="AO787" i="2"/>
  <c r="AN787" i="2"/>
  <c r="AE787" i="2" s="1"/>
  <c r="AM787" i="2"/>
  <c r="AL787" i="2"/>
  <c r="AC787" i="2" s="1"/>
  <c r="AJ787" i="2"/>
  <c r="AH787" i="2"/>
  <c r="AG787" i="2"/>
  <c r="AF787" i="2"/>
  <c r="AD787" i="2"/>
  <c r="AB787" i="2"/>
  <c r="V787" i="2"/>
  <c r="BQ786" i="2"/>
  <c r="AP786" i="2"/>
  <c r="AO786" i="2"/>
  <c r="AN786" i="2"/>
  <c r="AE786" i="2" s="1"/>
  <c r="AM786" i="2"/>
  <c r="AD786" i="2" s="1"/>
  <c r="AL786" i="2"/>
  <c r="AQ786" i="2" s="1"/>
  <c r="AJ786" i="2"/>
  <c r="AH786" i="2"/>
  <c r="AG786" i="2"/>
  <c r="AF786" i="2"/>
  <c r="AC786" i="2"/>
  <c r="AB786" i="2"/>
  <c r="V786" i="2"/>
  <c r="BQ785" i="2"/>
  <c r="AQ785" i="2"/>
  <c r="AP785" i="2"/>
  <c r="AO785" i="2"/>
  <c r="AN785" i="2"/>
  <c r="AE785" i="2" s="1"/>
  <c r="AM785" i="2"/>
  <c r="AD785" i="2" s="1"/>
  <c r="AL785" i="2"/>
  <c r="AC785" i="2" s="1"/>
  <c r="AJ785" i="2"/>
  <c r="AG785" i="2"/>
  <c r="AF785" i="2"/>
  <c r="AB785" i="2"/>
  <c r="V785" i="2"/>
  <c r="BQ784" i="2"/>
  <c r="AP784" i="2"/>
  <c r="AG784" i="2" s="1"/>
  <c r="AO784" i="2"/>
  <c r="AN784" i="2"/>
  <c r="AE784" i="2" s="1"/>
  <c r="AM784" i="2"/>
  <c r="AL784" i="2"/>
  <c r="AJ784" i="2"/>
  <c r="AF784" i="2"/>
  <c r="AD784" i="2"/>
  <c r="AB784" i="2"/>
  <c r="V784" i="2"/>
  <c r="BQ783" i="2"/>
  <c r="AQ783" i="2"/>
  <c r="AP783" i="2"/>
  <c r="AO783" i="2"/>
  <c r="AN783" i="2"/>
  <c r="AE783" i="2" s="1"/>
  <c r="AM783" i="2"/>
  <c r="AL783" i="2"/>
  <c r="AJ783" i="2"/>
  <c r="AH783" i="2"/>
  <c r="AG783" i="2"/>
  <c r="AF783" i="2"/>
  <c r="AD783" i="2"/>
  <c r="AC783" i="2"/>
  <c r="AB783" i="2"/>
  <c r="V783" i="2"/>
  <c r="BQ782" i="2"/>
  <c r="AP782" i="2"/>
  <c r="AO782" i="2"/>
  <c r="AN782" i="2"/>
  <c r="AE782" i="2" s="1"/>
  <c r="AM782" i="2"/>
  <c r="AD782" i="2" s="1"/>
  <c r="AL782" i="2"/>
  <c r="AJ782" i="2"/>
  <c r="AG782" i="2"/>
  <c r="AF782" i="2"/>
  <c r="AC782" i="2"/>
  <c r="AB782" i="2"/>
  <c r="V782" i="2"/>
  <c r="BQ781" i="2"/>
  <c r="AP781" i="2"/>
  <c r="AO781" i="2"/>
  <c r="AN781" i="2"/>
  <c r="AE781" i="2" s="1"/>
  <c r="AM781" i="2"/>
  <c r="AD781" i="2" s="1"/>
  <c r="AL781" i="2"/>
  <c r="AC781" i="2" s="1"/>
  <c r="AJ781" i="2"/>
  <c r="AG781" i="2"/>
  <c r="AF781" i="2"/>
  <c r="AB781" i="2"/>
  <c r="V781" i="2"/>
  <c r="BQ780" i="2"/>
  <c r="AP780" i="2"/>
  <c r="AG780" i="2" s="1"/>
  <c r="AO780" i="2"/>
  <c r="AN780" i="2"/>
  <c r="AE780" i="2" s="1"/>
  <c r="AM780" i="2"/>
  <c r="AL780" i="2"/>
  <c r="AJ780" i="2"/>
  <c r="AF780" i="2"/>
  <c r="AD780" i="2"/>
  <c r="AB780" i="2"/>
  <c r="V780" i="2"/>
  <c r="BQ779" i="2"/>
  <c r="AP779" i="2"/>
  <c r="AO779" i="2"/>
  <c r="AN779" i="2"/>
  <c r="AE779" i="2" s="1"/>
  <c r="AM779" i="2"/>
  <c r="AQ779" i="2" s="1"/>
  <c r="AH779" i="2" s="1"/>
  <c r="AL779" i="2"/>
  <c r="AJ779" i="2"/>
  <c r="AG779" i="2"/>
  <c r="AF779" i="2"/>
  <c r="AD779" i="2"/>
  <c r="AC779" i="2"/>
  <c r="AB779" i="2"/>
  <c r="V779" i="2"/>
  <c r="BQ778" i="2"/>
  <c r="AP778" i="2"/>
  <c r="AG778" i="2" s="1"/>
  <c r="AO778" i="2"/>
  <c r="AN778" i="2"/>
  <c r="AM778" i="2"/>
  <c r="AL778" i="2"/>
  <c r="AJ778" i="2"/>
  <c r="AF778" i="2"/>
  <c r="AD778" i="2"/>
  <c r="AC778" i="2"/>
  <c r="AB778" i="2"/>
  <c r="V778" i="2"/>
  <c r="BQ777" i="2"/>
  <c r="AP777" i="2"/>
  <c r="AO777" i="2"/>
  <c r="AN777" i="2"/>
  <c r="AE777" i="2" s="1"/>
  <c r="AM777" i="2"/>
  <c r="AD777" i="2" s="1"/>
  <c r="AL777" i="2"/>
  <c r="AJ777" i="2"/>
  <c r="AG777" i="2"/>
  <c r="AF777" i="2"/>
  <c r="AC777" i="2"/>
  <c r="AB777" i="2"/>
  <c r="V777" i="2"/>
  <c r="BQ776" i="2"/>
  <c r="AP776" i="2"/>
  <c r="AG776" i="2" s="1"/>
  <c r="AO776" i="2"/>
  <c r="AN776" i="2"/>
  <c r="AE776" i="2" s="1"/>
  <c r="AM776" i="2"/>
  <c r="AL776" i="2"/>
  <c r="AJ776" i="2"/>
  <c r="AF776" i="2"/>
  <c r="AD776" i="2"/>
  <c r="AB776" i="2"/>
  <c r="V776" i="2"/>
  <c r="BQ775" i="2"/>
  <c r="AP775" i="2"/>
  <c r="AO775" i="2"/>
  <c r="AN775" i="2"/>
  <c r="AE775" i="2" s="1"/>
  <c r="AM775" i="2"/>
  <c r="AL775" i="2"/>
  <c r="AJ775" i="2"/>
  <c r="AG775" i="2"/>
  <c r="AF775" i="2"/>
  <c r="AD775" i="2"/>
  <c r="AC775" i="2"/>
  <c r="AB775" i="2"/>
  <c r="V775" i="2"/>
  <c r="BQ774" i="2"/>
  <c r="AP774" i="2"/>
  <c r="AG774" i="2" s="1"/>
  <c r="AO774" i="2"/>
  <c r="AN774" i="2"/>
  <c r="AE774" i="2" s="1"/>
  <c r="AM774" i="2"/>
  <c r="AD774" i="2" s="1"/>
  <c r="AL774" i="2"/>
  <c r="AJ774" i="2"/>
  <c r="AF774" i="2"/>
  <c r="AC774" i="2"/>
  <c r="AB774" i="2"/>
  <c r="V774" i="2"/>
  <c r="BQ773" i="2"/>
  <c r="AP773" i="2"/>
  <c r="AO773" i="2"/>
  <c r="AN773" i="2"/>
  <c r="AE773" i="2" s="1"/>
  <c r="AM773" i="2"/>
  <c r="AL773" i="2"/>
  <c r="AC773" i="2" s="1"/>
  <c r="AJ773" i="2"/>
  <c r="AG773" i="2"/>
  <c r="AF773" i="2"/>
  <c r="AB773" i="2"/>
  <c r="V773" i="2"/>
  <c r="BQ772" i="2"/>
  <c r="AP772" i="2"/>
  <c r="AG772" i="2" s="1"/>
  <c r="AO772" i="2"/>
  <c r="AN772" i="2"/>
  <c r="AE772" i="2" s="1"/>
  <c r="AM772" i="2"/>
  <c r="AD772" i="2" s="1"/>
  <c r="AL772" i="2"/>
  <c r="AJ772" i="2"/>
  <c r="AF772" i="2"/>
  <c r="AB772" i="2"/>
  <c r="V772" i="2"/>
  <c r="BQ771" i="2"/>
  <c r="AP771" i="2"/>
  <c r="AO771" i="2"/>
  <c r="AN771" i="2"/>
  <c r="AE771" i="2" s="1"/>
  <c r="AM771" i="2"/>
  <c r="AL771" i="2"/>
  <c r="AC771" i="2" s="1"/>
  <c r="AJ771" i="2"/>
  <c r="AG771" i="2"/>
  <c r="AF771" i="2"/>
  <c r="AD771" i="2"/>
  <c r="AB771" i="2"/>
  <c r="V771" i="2"/>
  <c r="BQ770" i="2"/>
  <c r="AP770" i="2"/>
  <c r="AO770" i="2"/>
  <c r="AN770" i="2"/>
  <c r="AE770" i="2" s="1"/>
  <c r="AM770" i="2"/>
  <c r="AD770" i="2" s="1"/>
  <c r="AL770" i="2"/>
  <c r="AQ770" i="2" s="1"/>
  <c r="AH770" i="2" s="1"/>
  <c r="AJ770" i="2"/>
  <c r="AG770" i="2"/>
  <c r="AF770" i="2"/>
  <c r="AC770" i="2"/>
  <c r="AB770" i="2"/>
  <c r="V770" i="2"/>
  <c r="BQ769" i="2"/>
  <c r="AP769" i="2"/>
  <c r="AO769" i="2"/>
  <c r="AN769" i="2"/>
  <c r="AE769" i="2" s="1"/>
  <c r="AM769" i="2"/>
  <c r="AL769" i="2"/>
  <c r="AC769" i="2" s="1"/>
  <c r="AJ769" i="2"/>
  <c r="AG769" i="2"/>
  <c r="AF769" i="2"/>
  <c r="AB769" i="2"/>
  <c r="V769" i="2"/>
  <c r="BQ768" i="2"/>
  <c r="AP768" i="2"/>
  <c r="AG768" i="2" s="1"/>
  <c r="AO768" i="2"/>
  <c r="AN768" i="2"/>
  <c r="AE768" i="2" s="1"/>
  <c r="AM768" i="2"/>
  <c r="AL768" i="2"/>
  <c r="AJ768" i="2"/>
  <c r="AF768" i="2"/>
  <c r="AD768" i="2"/>
  <c r="AB768" i="2"/>
  <c r="V768" i="2"/>
  <c r="BQ767" i="2"/>
  <c r="AQ767" i="2"/>
  <c r="AP767" i="2"/>
  <c r="AO767" i="2"/>
  <c r="AN767" i="2"/>
  <c r="AE767" i="2" s="1"/>
  <c r="AM767" i="2"/>
  <c r="AL767" i="2"/>
  <c r="AJ767" i="2"/>
  <c r="AH767" i="2"/>
  <c r="AG767" i="2"/>
  <c r="AF767" i="2"/>
  <c r="AD767" i="2"/>
  <c r="AC767" i="2"/>
  <c r="AB767" i="2"/>
  <c r="V767" i="2"/>
  <c r="BQ766" i="2"/>
  <c r="AP766" i="2"/>
  <c r="AO766" i="2"/>
  <c r="AN766" i="2"/>
  <c r="AE766" i="2" s="1"/>
  <c r="AM766" i="2"/>
  <c r="AL766" i="2"/>
  <c r="AQ766" i="2" s="1"/>
  <c r="AH766" i="2" s="1"/>
  <c r="AJ766" i="2"/>
  <c r="AG766" i="2"/>
  <c r="AF766" i="2"/>
  <c r="AD766" i="2"/>
  <c r="AC766" i="2"/>
  <c r="AB766" i="2"/>
  <c r="V766" i="2"/>
  <c r="BQ765" i="2"/>
  <c r="AQ765" i="2"/>
  <c r="AH765" i="2" s="1"/>
  <c r="AP765" i="2"/>
  <c r="AO765" i="2"/>
  <c r="AN765" i="2"/>
  <c r="AE765" i="2" s="1"/>
  <c r="AM765" i="2"/>
  <c r="AD765" i="2" s="1"/>
  <c r="AL765" i="2"/>
  <c r="AJ765" i="2"/>
  <c r="AG765" i="2"/>
  <c r="AF765" i="2"/>
  <c r="AC765" i="2"/>
  <c r="AB765" i="2"/>
  <c r="V765" i="2"/>
  <c r="BQ764" i="2"/>
  <c r="AP764" i="2"/>
  <c r="AG764" i="2" s="1"/>
  <c r="AO764" i="2"/>
  <c r="AN764" i="2"/>
  <c r="AE764" i="2" s="1"/>
  <c r="AM764" i="2"/>
  <c r="AL764" i="2"/>
  <c r="AJ764" i="2"/>
  <c r="AF764" i="2"/>
  <c r="AD764" i="2"/>
  <c r="AB764" i="2"/>
  <c r="V764" i="2"/>
  <c r="BQ763" i="2"/>
  <c r="AP763" i="2"/>
  <c r="AO763" i="2"/>
  <c r="AN763" i="2"/>
  <c r="AE763" i="2" s="1"/>
  <c r="AM763" i="2"/>
  <c r="AQ763" i="2" s="1"/>
  <c r="AH763" i="2" s="1"/>
  <c r="AL763" i="2"/>
  <c r="AJ763" i="2"/>
  <c r="AG763" i="2"/>
  <c r="AF763" i="2"/>
  <c r="AD763" i="2"/>
  <c r="AC763" i="2"/>
  <c r="AB763" i="2"/>
  <c r="V763" i="2"/>
  <c r="BQ762" i="2"/>
  <c r="AP762" i="2"/>
  <c r="AG762" i="2" s="1"/>
  <c r="AO762" i="2"/>
  <c r="AN762" i="2"/>
  <c r="AE762" i="2" s="1"/>
  <c r="AM762" i="2"/>
  <c r="AL762" i="2"/>
  <c r="AJ762" i="2"/>
  <c r="AF762" i="2"/>
  <c r="AD762" i="2"/>
  <c r="AC762" i="2"/>
  <c r="AB762" i="2"/>
  <c r="V762" i="2"/>
  <c r="BQ761" i="2"/>
  <c r="AP761" i="2"/>
  <c r="AO761" i="2"/>
  <c r="AN761" i="2"/>
  <c r="AE761" i="2" s="1"/>
  <c r="AM761" i="2"/>
  <c r="AL761" i="2"/>
  <c r="AJ761" i="2"/>
  <c r="AG761" i="2"/>
  <c r="AF761" i="2"/>
  <c r="AC761" i="2"/>
  <c r="AB761" i="2"/>
  <c r="V761" i="2"/>
  <c r="BQ760" i="2"/>
  <c r="AP760" i="2"/>
  <c r="AG760" i="2" s="1"/>
  <c r="AO760" i="2"/>
  <c r="AN760" i="2"/>
  <c r="AE760" i="2" s="1"/>
  <c r="AM760" i="2"/>
  <c r="AL760" i="2"/>
  <c r="AJ760" i="2"/>
  <c r="AF760" i="2"/>
  <c r="AD760" i="2"/>
  <c r="AB760" i="2"/>
  <c r="V760" i="2"/>
  <c r="BQ759" i="2"/>
  <c r="AP759" i="2"/>
  <c r="AO759" i="2"/>
  <c r="AN759" i="2"/>
  <c r="AM759" i="2"/>
  <c r="AL759" i="2"/>
  <c r="AJ759" i="2"/>
  <c r="AG759" i="2"/>
  <c r="AF759" i="2"/>
  <c r="AD759" i="2"/>
  <c r="AC759" i="2"/>
  <c r="AB759" i="2"/>
  <c r="V759" i="2"/>
  <c r="BQ758" i="2"/>
  <c r="AP758" i="2"/>
  <c r="AG758" i="2" s="1"/>
  <c r="AO758" i="2"/>
  <c r="AN758" i="2"/>
  <c r="AE758" i="2" s="1"/>
  <c r="AM758" i="2"/>
  <c r="AL758" i="2"/>
  <c r="AJ758" i="2"/>
  <c r="AF758" i="2"/>
  <c r="AC758" i="2"/>
  <c r="AB758" i="2"/>
  <c r="V758" i="2"/>
  <c r="BQ757" i="2"/>
  <c r="AP757" i="2"/>
  <c r="AO757" i="2"/>
  <c r="AN757" i="2"/>
  <c r="AE757" i="2" s="1"/>
  <c r="AM757" i="2"/>
  <c r="AD757" i="2" s="1"/>
  <c r="AL757" i="2"/>
  <c r="AJ757" i="2"/>
  <c r="AG757" i="2"/>
  <c r="AF757" i="2"/>
  <c r="AB757" i="2"/>
  <c r="V757" i="2"/>
  <c r="BQ756" i="2"/>
  <c r="AP756" i="2"/>
  <c r="AG756" i="2" s="1"/>
  <c r="AO756" i="2"/>
  <c r="AN756" i="2"/>
  <c r="AE756" i="2" s="1"/>
  <c r="AM756" i="2"/>
  <c r="AD756" i="2" s="1"/>
  <c r="AL756" i="2"/>
  <c r="AJ756" i="2"/>
  <c r="AF756" i="2"/>
  <c r="AB756" i="2"/>
  <c r="V756" i="2"/>
  <c r="BQ755" i="2"/>
  <c r="AP755" i="2"/>
  <c r="AO755" i="2"/>
  <c r="AN755" i="2"/>
  <c r="AE755" i="2" s="1"/>
  <c r="AM755" i="2"/>
  <c r="AL755" i="2"/>
  <c r="AC755" i="2" s="1"/>
  <c r="AJ755" i="2"/>
  <c r="AG755" i="2"/>
  <c r="AF755" i="2"/>
  <c r="AD755" i="2"/>
  <c r="AB755" i="2"/>
  <c r="V755" i="2"/>
  <c r="BQ754" i="2"/>
  <c r="AP754" i="2"/>
  <c r="AO754" i="2"/>
  <c r="AN754" i="2"/>
  <c r="AE754" i="2" s="1"/>
  <c r="AM754" i="2"/>
  <c r="AD754" i="2" s="1"/>
  <c r="AL754" i="2"/>
  <c r="AJ754" i="2"/>
  <c r="AG754" i="2"/>
  <c r="AF754" i="2"/>
  <c r="AC754" i="2"/>
  <c r="AB754" i="2"/>
  <c r="V754" i="2"/>
  <c r="BQ753" i="2"/>
  <c r="AP753" i="2"/>
  <c r="AO753" i="2"/>
  <c r="AN753" i="2"/>
  <c r="AE753" i="2" s="1"/>
  <c r="AM753" i="2"/>
  <c r="AD753" i="2" s="1"/>
  <c r="AL753" i="2"/>
  <c r="AC753" i="2" s="1"/>
  <c r="AJ753" i="2"/>
  <c r="AG753" i="2"/>
  <c r="AF753" i="2"/>
  <c r="AB753" i="2"/>
  <c r="V753" i="2"/>
  <c r="BQ752" i="2"/>
  <c r="AP752" i="2"/>
  <c r="AG752" i="2" s="1"/>
  <c r="AO752" i="2"/>
  <c r="AN752" i="2"/>
  <c r="AE752" i="2" s="1"/>
  <c r="AM752" i="2"/>
  <c r="AL752" i="2"/>
  <c r="AJ752" i="2"/>
  <c r="AF752" i="2"/>
  <c r="AD752" i="2"/>
  <c r="AB752" i="2"/>
  <c r="V752" i="2"/>
  <c r="BQ751" i="2"/>
  <c r="AP751" i="2"/>
  <c r="AO751" i="2"/>
  <c r="AN751" i="2"/>
  <c r="AE751" i="2" s="1"/>
  <c r="AM751" i="2"/>
  <c r="AL751" i="2"/>
  <c r="AQ751" i="2" s="1"/>
  <c r="AH751" i="2" s="1"/>
  <c r="AJ751" i="2"/>
  <c r="AG751" i="2"/>
  <c r="AF751" i="2"/>
  <c r="AD751" i="2"/>
  <c r="AC751" i="2"/>
  <c r="AB751" i="2"/>
  <c r="V751" i="2"/>
  <c r="BQ750" i="2"/>
  <c r="AP750" i="2"/>
  <c r="AO750" i="2"/>
  <c r="AN750" i="2"/>
  <c r="AE750" i="2" s="1"/>
  <c r="AM750" i="2"/>
  <c r="AL750" i="2"/>
  <c r="AQ750" i="2" s="1"/>
  <c r="AH750" i="2" s="1"/>
  <c r="AJ750" i="2"/>
  <c r="AG750" i="2"/>
  <c r="AF750" i="2"/>
  <c r="AD750" i="2"/>
  <c r="AC750" i="2"/>
  <c r="AB750" i="2"/>
  <c r="V750" i="2"/>
  <c r="BQ749" i="2"/>
  <c r="AQ749" i="2"/>
  <c r="AH749" i="2" s="1"/>
  <c r="AP749" i="2"/>
  <c r="AO749" i="2"/>
  <c r="AN749" i="2"/>
  <c r="AE749" i="2" s="1"/>
  <c r="AM749" i="2"/>
  <c r="AD749" i="2" s="1"/>
  <c r="AL749" i="2"/>
  <c r="AJ749" i="2"/>
  <c r="AG749" i="2"/>
  <c r="AF749" i="2"/>
  <c r="AC749" i="2"/>
  <c r="AB749" i="2"/>
  <c r="V749" i="2"/>
  <c r="BQ748" i="2"/>
  <c r="AP748" i="2"/>
  <c r="AG748" i="2" s="1"/>
  <c r="AO748" i="2"/>
  <c r="AN748" i="2"/>
  <c r="AE748" i="2" s="1"/>
  <c r="AM748" i="2"/>
  <c r="AL748" i="2"/>
  <c r="AJ748" i="2"/>
  <c r="AF748" i="2"/>
  <c r="AD748" i="2"/>
  <c r="AB748" i="2"/>
  <c r="V748" i="2"/>
  <c r="BQ747" i="2"/>
  <c r="AQ747" i="2"/>
  <c r="AH747" i="2" s="1"/>
  <c r="AP747" i="2"/>
  <c r="AO747" i="2"/>
  <c r="AN747" i="2"/>
  <c r="AE747" i="2" s="1"/>
  <c r="AM747" i="2"/>
  <c r="AL747" i="2"/>
  <c r="AJ747" i="2"/>
  <c r="AG747" i="2"/>
  <c r="AF747" i="2"/>
  <c r="AD747" i="2"/>
  <c r="AC747" i="2"/>
  <c r="AB747" i="2"/>
  <c r="V747" i="2"/>
  <c r="BQ746" i="2"/>
  <c r="AQ746" i="2"/>
  <c r="AP746" i="2"/>
  <c r="AG746" i="2" s="1"/>
  <c r="AO746" i="2"/>
  <c r="AN746" i="2"/>
  <c r="AE746" i="2" s="1"/>
  <c r="AM746" i="2"/>
  <c r="AL746" i="2"/>
  <c r="AJ746" i="2"/>
  <c r="AH746" i="2"/>
  <c r="AF746" i="2"/>
  <c r="AD746" i="2"/>
  <c r="AC746" i="2"/>
  <c r="AB746" i="2"/>
  <c r="V746" i="2"/>
  <c r="BQ745" i="2"/>
  <c r="AP745" i="2"/>
  <c r="AO745" i="2"/>
  <c r="AN745" i="2"/>
  <c r="AE745" i="2" s="1"/>
  <c r="AM745" i="2"/>
  <c r="AQ745" i="2" s="1"/>
  <c r="AL745" i="2"/>
  <c r="AJ745" i="2"/>
  <c r="AG745" i="2"/>
  <c r="AF745" i="2"/>
  <c r="AD745" i="2"/>
  <c r="AC745" i="2"/>
  <c r="AB745" i="2"/>
  <c r="V745" i="2"/>
  <c r="BQ744" i="2"/>
  <c r="AP744" i="2"/>
  <c r="AG744" i="2" s="1"/>
  <c r="AO744" i="2"/>
  <c r="AN744" i="2"/>
  <c r="AE744" i="2" s="1"/>
  <c r="AM744" i="2"/>
  <c r="AL744" i="2"/>
  <c r="AJ744" i="2"/>
  <c r="AF744" i="2"/>
  <c r="AD744" i="2"/>
  <c r="AB744" i="2"/>
  <c r="V744" i="2"/>
  <c r="BQ743" i="2"/>
  <c r="AP743" i="2"/>
  <c r="AO743" i="2"/>
  <c r="AN743" i="2"/>
  <c r="AE743" i="2" s="1"/>
  <c r="AM743" i="2"/>
  <c r="AL743" i="2"/>
  <c r="AJ743" i="2"/>
  <c r="AG743" i="2"/>
  <c r="AF743" i="2"/>
  <c r="AD743" i="2"/>
  <c r="AC743" i="2"/>
  <c r="AB743" i="2"/>
  <c r="V743" i="2"/>
  <c r="BQ742" i="2"/>
  <c r="AP742" i="2"/>
  <c r="AG742" i="2" s="1"/>
  <c r="AO742" i="2"/>
  <c r="AN742" i="2"/>
  <c r="AE742" i="2" s="1"/>
  <c r="AM742" i="2"/>
  <c r="AD742" i="2" s="1"/>
  <c r="AL742" i="2"/>
  <c r="AJ742" i="2"/>
  <c r="AF742" i="2"/>
  <c r="AC742" i="2"/>
  <c r="AB742" i="2"/>
  <c r="V742" i="2"/>
  <c r="BQ741" i="2"/>
  <c r="AP741" i="2"/>
  <c r="AO741" i="2"/>
  <c r="AN741" i="2"/>
  <c r="AE741" i="2" s="1"/>
  <c r="AM741" i="2"/>
  <c r="AD741" i="2" s="1"/>
  <c r="AL741" i="2"/>
  <c r="AJ741" i="2"/>
  <c r="AG741" i="2"/>
  <c r="AF741" i="2"/>
  <c r="AB741" i="2"/>
  <c r="V741" i="2"/>
  <c r="BQ740" i="2"/>
  <c r="AQ740" i="2"/>
  <c r="AH740" i="2" s="1"/>
  <c r="AP740" i="2"/>
  <c r="AG740" i="2" s="1"/>
  <c r="AO740" i="2"/>
  <c r="AN740" i="2"/>
  <c r="AE740" i="2" s="1"/>
  <c r="AM740" i="2"/>
  <c r="AL740" i="2"/>
  <c r="AJ740" i="2"/>
  <c r="AF740" i="2"/>
  <c r="AD740" i="2"/>
  <c r="AC740" i="2"/>
  <c r="AB740" i="2"/>
  <c r="V740" i="2"/>
  <c r="BQ739" i="2"/>
  <c r="AQ739" i="2"/>
  <c r="AH739" i="2" s="1"/>
  <c r="AP739" i="2"/>
  <c r="AO739" i="2"/>
  <c r="AN739" i="2"/>
  <c r="AE739" i="2" s="1"/>
  <c r="AM739" i="2"/>
  <c r="AL739" i="2"/>
  <c r="AJ739" i="2"/>
  <c r="AG739" i="2"/>
  <c r="AF739" i="2"/>
  <c r="AD739" i="2"/>
  <c r="AC739" i="2"/>
  <c r="AB739" i="2"/>
  <c r="V739" i="2"/>
  <c r="BQ738" i="2"/>
  <c r="AP738" i="2"/>
  <c r="AG738" i="2" s="1"/>
  <c r="AO738" i="2"/>
  <c r="AN738" i="2"/>
  <c r="AE738" i="2" s="1"/>
  <c r="AM738" i="2"/>
  <c r="AD738" i="2" s="1"/>
  <c r="AL738" i="2"/>
  <c r="AJ738" i="2"/>
  <c r="AF738" i="2"/>
  <c r="AC738" i="2"/>
  <c r="AB738" i="2"/>
  <c r="V738" i="2"/>
  <c r="BQ737" i="2"/>
  <c r="AP737" i="2"/>
  <c r="AO737" i="2"/>
  <c r="AN737" i="2"/>
  <c r="AE737" i="2" s="1"/>
  <c r="AM737" i="2"/>
  <c r="AL737" i="2"/>
  <c r="AC737" i="2" s="1"/>
  <c r="AJ737" i="2"/>
  <c r="AG737" i="2"/>
  <c r="AF737" i="2"/>
  <c r="AB737" i="2"/>
  <c r="V737" i="2"/>
  <c r="BQ736" i="2"/>
  <c r="AQ736" i="2"/>
  <c r="AH736" i="2" s="1"/>
  <c r="AP736" i="2"/>
  <c r="AO736" i="2"/>
  <c r="AN736" i="2"/>
  <c r="AE736" i="2" s="1"/>
  <c r="AM736" i="2"/>
  <c r="AD736" i="2" s="1"/>
  <c r="AL736" i="2"/>
  <c r="AJ736" i="2"/>
  <c r="AG736" i="2"/>
  <c r="AF736" i="2"/>
  <c r="AC736" i="2"/>
  <c r="AB736" i="2"/>
  <c r="V736" i="2"/>
  <c r="BQ735" i="2"/>
  <c r="AQ735" i="2"/>
  <c r="AH735" i="2" s="1"/>
  <c r="AP735" i="2"/>
  <c r="AO735" i="2"/>
  <c r="AN735" i="2"/>
  <c r="AE735" i="2" s="1"/>
  <c r="AM735" i="2"/>
  <c r="AD735" i="2" s="1"/>
  <c r="AL735" i="2"/>
  <c r="AJ735" i="2"/>
  <c r="AG735" i="2"/>
  <c r="AF735" i="2"/>
  <c r="AC735" i="2"/>
  <c r="AB735" i="2"/>
  <c r="V735" i="2"/>
  <c r="BQ734" i="2"/>
  <c r="AP734" i="2"/>
  <c r="AO734" i="2"/>
  <c r="AN734" i="2"/>
  <c r="AE734" i="2" s="1"/>
  <c r="AM734" i="2"/>
  <c r="AD734" i="2" s="1"/>
  <c r="AL734" i="2"/>
  <c r="AJ734" i="2"/>
  <c r="AG734" i="2"/>
  <c r="AF734" i="2"/>
  <c r="AB734" i="2"/>
  <c r="V734" i="2"/>
  <c r="BQ733" i="2"/>
  <c r="AQ733" i="2"/>
  <c r="AH733" i="2" s="1"/>
  <c r="AP733" i="2"/>
  <c r="AO733" i="2"/>
  <c r="AN733" i="2"/>
  <c r="AE733" i="2" s="1"/>
  <c r="AM733" i="2"/>
  <c r="AD733" i="2" s="1"/>
  <c r="AL733" i="2"/>
  <c r="AC733" i="2" s="1"/>
  <c r="AJ733" i="2"/>
  <c r="AG733" i="2"/>
  <c r="AF733" i="2"/>
  <c r="AB733" i="2"/>
  <c r="V733" i="2"/>
  <c r="BQ732" i="2"/>
  <c r="AQ732" i="2"/>
  <c r="AH732" i="2" s="1"/>
  <c r="AP732" i="2"/>
  <c r="AO732" i="2"/>
  <c r="AN732" i="2"/>
  <c r="AM732" i="2"/>
  <c r="AD732" i="2" s="1"/>
  <c r="AL732" i="2"/>
  <c r="AJ732" i="2"/>
  <c r="AG732" i="2"/>
  <c r="AF732" i="2"/>
  <c r="AE732" i="2"/>
  <c r="AC732" i="2"/>
  <c r="AB732" i="2"/>
  <c r="V732" i="2"/>
  <c r="BQ731" i="2"/>
  <c r="AQ731" i="2"/>
  <c r="AH731" i="2" s="1"/>
  <c r="AP731" i="2"/>
  <c r="AO731" i="2"/>
  <c r="AN731" i="2"/>
  <c r="AM731" i="2"/>
  <c r="AD731" i="2" s="1"/>
  <c r="AL731" i="2"/>
  <c r="AJ731" i="2"/>
  <c r="AG731" i="2"/>
  <c r="AF731" i="2"/>
  <c r="AE731" i="2"/>
  <c r="AC731" i="2"/>
  <c r="AB731" i="2"/>
  <c r="V731" i="2"/>
  <c r="BQ730" i="2"/>
  <c r="AP730" i="2"/>
  <c r="AO730" i="2"/>
  <c r="AN730" i="2"/>
  <c r="AM730" i="2"/>
  <c r="AL730" i="2"/>
  <c r="AJ730" i="2"/>
  <c r="AG730" i="2"/>
  <c r="AF730" i="2"/>
  <c r="AE730" i="2"/>
  <c r="AC730" i="2"/>
  <c r="AB730" i="2"/>
  <c r="V730" i="2"/>
  <c r="BQ729" i="2"/>
  <c r="AQ729" i="2"/>
  <c r="AH729" i="2" s="1"/>
  <c r="AP729" i="2"/>
  <c r="AO729" i="2"/>
  <c r="AN729" i="2"/>
  <c r="AE729" i="2" s="1"/>
  <c r="AM729" i="2"/>
  <c r="AD729" i="2" s="1"/>
  <c r="AL729" i="2"/>
  <c r="AJ729" i="2"/>
  <c r="AG729" i="2"/>
  <c r="AF729" i="2"/>
  <c r="AC729" i="2"/>
  <c r="AB729" i="2"/>
  <c r="V729" i="2"/>
  <c r="BQ728" i="2"/>
  <c r="AQ728" i="2"/>
  <c r="AH728" i="2" s="1"/>
  <c r="AP728" i="2"/>
  <c r="AO728" i="2"/>
  <c r="AN728" i="2"/>
  <c r="AE728" i="2" s="1"/>
  <c r="AM728" i="2"/>
  <c r="AD728" i="2" s="1"/>
  <c r="AL728" i="2"/>
  <c r="AJ728" i="2"/>
  <c r="AG728" i="2"/>
  <c r="AF728" i="2"/>
  <c r="AC728" i="2"/>
  <c r="AB728" i="2"/>
  <c r="V728" i="2"/>
  <c r="BQ727" i="2"/>
  <c r="AP727" i="2"/>
  <c r="AO727" i="2"/>
  <c r="AN727" i="2"/>
  <c r="AE727" i="2" s="1"/>
  <c r="AM727" i="2"/>
  <c r="AD727" i="2" s="1"/>
  <c r="AL727" i="2"/>
  <c r="AJ727" i="2"/>
  <c r="AG727" i="2"/>
  <c r="AF727" i="2"/>
  <c r="AC727" i="2"/>
  <c r="AB727" i="2"/>
  <c r="V727" i="2"/>
  <c r="BQ726" i="2"/>
  <c r="AP726" i="2"/>
  <c r="AO726" i="2"/>
  <c r="AN726" i="2"/>
  <c r="AE726" i="2" s="1"/>
  <c r="AM726" i="2"/>
  <c r="AD726" i="2" s="1"/>
  <c r="AL726" i="2"/>
  <c r="AJ726" i="2"/>
  <c r="AG726" i="2"/>
  <c r="AF726" i="2"/>
  <c r="AC726" i="2"/>
  <c r="AB726" i="2"/>
  <c r="V726" i="2"/>
  <c r="BQ725" i="2"/>
  <c r="AP725" i="2"/>
  <c r="AO725" i="2"/>
  <c r="AN725" i="2"/>
  <c r="AE725" i="2" s="1"/>
  <c r="AM725" i="2"/>
  <c r="AD725" i="2" s="1"/>
  <c r="AL725" i="2"/>
  <c r="AQ725" i="2" s="1"/>
  <c r="AH725" i="2" s="1"/>
  <c r="AJ725" i="2"/>
  <c r="AG725" i="2"/>
  <c r="AF725" i="2"/>
  <c r="AC725" i="2"/>
  <c r="AB725" i="2"/>
  <c r="V725" i="2"/>
  <c r="BQ724" i="2"/>
  <c r="AQ724" i="2"/>
  <c r="AH724" i="2" s="1"/>
  <c r="AP724" i="2"/>
  <c r="AO724" i="2"/>
  <c r="AN724" i="2"/>
  <c r="AM724" i="2"/>
  <c r="AD724" i="2" s="1"/>
  <c r="AL724" i="2"/>
  <c r="AJ724" i="2"/>
  <c r="AG724" i="2"/>
  <c r="AF724" i="2"/>
  <c r="AE724" i="2"/>
  <c r="AC724" i="2"/>
  <c r="AB724" i="2"/>
  <c r="V724" i="2"/>
  <c r="BQ723" i="2"/>
  <c r="AP723" i="2"/>
  <c r="AO723" i="2"/>
  <c r="AN723" i="2"/>
  <c r="AM723" i="2"/>
  <c r="AD723" i="2" s="1"/>
  <c r="AL723" i="2"/>
  <c r="AJ723" i="2"/>
  <c r="AG723" i="2"/>
  <c r="AF723" i="2"/>
  <c r="AE723" i="2"/>
  <c r="AC723" i="2"/>
  <c r="AB723" i="2"/>
  <c r="V723" i="2"/>
  <c r="BQ722" i="2"/>
  <c r="AQ722" i="2"/>
  <c r="AH722" i="2" s="1"/>
  <c r="AP722" i="2"/>
  <c r="AO722" i="2"/>
  <c r="AN722" i="2"/>
  <c r="AM722" i="2"/>
  <c r="AD722" i="2" s="1"/>
  <c r="AL722" i="2"/>
  <c r="AJ722" i="2"/>
  <c r="AG722" i="2"/>
  <c r="AF722" i="2"/>
  <c r="AE722" i="2"/>
  <c r="AC722" i="2"/>
  <c r="AB722" i="2"/>
  <c r="V722" i="2"/>
  <c r="BQ721" i="2"/>
  <c r="AQ721" i="2"/>
  <c r="AH721" i="2" s="1"/>
  <c r="AP721" i="2"/>
  <c r="AO721" i="2"/>
  <c r="AN721" i="2"/>
  <c r="AE721" i="2" s="1"/>
  <c r="AM721" i="2"/>
  <c r="AD721" i="2" s="1"/>
  <c r="AL721" i="2"/>
  <c r="AJ721" i="2"/>
  <c r="AG721" i="2"/>
  <c r="AF721" i="2"/>
  <c r="AC721" i="2"/>
  <c r="AB721" i="2"/>
  <c r="V721" i="2"/>
  <c r="BQ720" i="2"/>
  <c r="AQ720" i="2"/>
  <c r="AH720" i="2" s="1"/>
  <c r="AP720" i="2"/>
  <c r="AO720" i="2"/>
  <c r="AN720" i="2"/>
  <c r="AE720" i="2" s="1"/>
  <c r="AM720" i="2"/>
  <c r="AD720" i="2" s="1"/>
  <c r="AL720" i="2"/>
  <c r="AJ720" i="2"/>
  <c r="AG720" i="2"/>
  <c r="AF720" i="2"/>
  <c r="AC720" i="2"/>
  <c r="AB720" i="2"/>
  <c r="V720" i="2"/>
  <c r="BQ719" i="2"/>
  <c r="AQ719" i="2"/>
  <c r="AH719" i="2" s="1"/>
  <c r="AP719" i="2"/>
  <c r="AO719" i="2"/>
  <c r="AN719" i="2"/>
  <c r="AE719" i="2" s="1"/>
  <c r="AM719" i="2"/>
  <c r="AD719" i="2" s="1"/>
  <c r="AL719" i="2"/>
  <c r="AJ719" i="2"/>
  <c r="AG719" i="2"/>
  <c r="AF719" i="2"/>
  <c r="AC719" i="2"/>
  <c r="AB719" i="2"/>
  <c r="V719" i="2"/>
  <c r="BQ718" i="2"/>
  <c r="AP718" i="2"/>
  <c r="AO718" i="2"/>
  <c r="AN718" i="2"/>
  <c r="AE718" i="2" s="1"/>
  <c r="AM718" i="2"/>
  <c r="AD718" i="2" s="1"/>
  <c r="AL718" i="2"/>
  <c r="AQ718" i="2" s="1"/>
  <c r="AH718" i="2" s="1"/>
  <c r="AJ718" i="2"/>
  <c r="AG718" i="2"/>
  <c r="AF718" i="2"/>
  <c r="AC718" i="2"/>
  <c r="AB718" i="2"/>
  <c r="V718" i="2"/>
  <c r="BQ717" i="2"/>
  <c r="AP717" i="2"/>
  <c r="AO717" i="2"/>
  <c r="AN717" i="2"/>
  <c r="AE717" i="2" s="1"/>
  <c r="AM717" i="2"/>
  <c r="AD717" i="2" s="1"/>
  <c r="AL717" i="2"/>
  <c r="AJ717" i="2"/>
  <c r="AG717" i="2"/>
  <c r="AF717" i="2"/>
  <c r="AC717" i="2"/>
  <c r="AB717" i="2"/>
  <c r="V717" i="2"/>
  <c r="BQ716" i="2"/>
  <c r="AP716" i="2"/>
  <c r="AO716" i="2"/>
  <c r="AN716" i="2"/>
  <c r="AM716" i="2"/>
  <c r="AD716" i="2" s="1"/>
  <c r="AL716" i="2"/>
  <c r="AJ716" i="2"/>
  <c r="AG716" i="2"/>
  <c r="AF716" i="2"/>
  <c r="AE716" i="2"/>
  <c r="AC716" i="2"/>
  <c r="AB716" i="2"/>
  <c r="V716" i="2"/>
  <c r="BQ715" i="2"/>
  <c r="AP715" i="2"/>
  <c r="AO715" i="2"/>
  <c r="AN715" i="2"/>
  <c r="AM715" i="2"/>
  <c r="AD715" i="2" s="1"/>
  <c r="AL715" i="2"/>
  <c r="AJ715" i="2"/>
  <c r="AG715" i="2"/>
  <c r="AF715" i="2"/>
  <c r="AE715" i="2"/>
  <c r="AC715" i="2"/>
  <c r="AB715" i="2"/>
  <c r="V715" i="2"/>
  <c r="BQ714" i="2"/>
  <c r="AQ714" i="2"/>
  <c r="AH714" i="2" s="1"/>
  <c r="AP714" i="2"/>
  <c r="AO714" i="2"/>
  <c r="AN714" i="2"/>
  <c r="AM714" i="2"/>
  <c r="AD714" i="2" s="1"/>
  <c r="AL714" i="2"/>
  <c r="AJ714" i="2"/>
  <c r="AG714" i="2"/>
  <c r="AF714" i="2"/>
  <c r="AE714" i="2"/>
  <c r="AC714" i="2"/>
  <c r="AB714" i="2"/>
  <c r="V714" i="2"/>
  <c r="BQ713" i="2"/>
  <c r="AP713" i="2"/>
  <c r="AO713" i="2"/>
  <c r="AN713" i="2"/>
  <c r="AE713" i="2" s="1"/>
  <c r="AM713" i="2"/>
  <c r="AD713" i="2" s="1"/>
  <c r="AL713" i="2"/>
  <c r="AJ713" i="2"/>
  <c r="AG713" i="2"/>
  <c r="AF713" i="2"/>
  <c r="AC713" i="2"/>
  <c r="AB713" i="2"/>
  <c r="V713" i="2"/>
  <c r="BQ712" i="2"/>
  <c r="AQ712" i="2"/>
  <c r="AH712" i="2" s="1"/>
  <c r="AP712" i="2"/>
  <c r="AO712" i="2"/>
  <c r="AN712" i="2"/>
  <c r="AE712" i="2" s="1"/>
  <c r="AM712" i="2"/>
  <c r="AD712" i="2" s="1"/>
  <c r="AL712" i="2"/>
  <c r="AJ712" i="2"/>
  <c r="AG712" i="2"/>
  <c r="AF712" i="2"/>
  <c r="AC712" i="2"/>
  <c r="AB712" i="2"/>
  <c r="V712" i="2"/>
  <c r="BQ711" i="2"/>
  <c r="AP711" i="2"/>
  <c r="AO711" i="2"/>
  <c r="AN711" i="2"/>
  <c r="AE711" i="2" s="1"/>
  <c r="AM711" i="2"/>
  <c r="AD711" i="2" s="1"/>
  <c r="AL711" i="2"/>
  <c r="AJ711" i="2"/>
  <c r="AG711" i="2"/>
  <c r="AF711" i="2"/>
  <c r="AC711" i="2"/>
  <c r="AB711" i="2"/>
  <c r="V711" i="2"/>
  <c r="BQ710" i="2"/>
  <c r="AQ710" i="2"/>
  <c r="AH710" i="2" s="1"/>
  <c r="AP710" i="2"/>
  <c r="AO710" i="2"/>
  <c r="AN710" i="2"/>
  <c r="AE710" i="2" s="1"/>
  <c r="AM710" i="2"/>
  <c r="AD710" i="2" s="1"/>
  <c r="AL710" i="2"/>
  <c r="AC710" i="2" s="1"/>
  <c r="AJ710" i="2"/>
  <c r="AG710" i="2"/>
  <c r="AF710" i="2"/>
  <c r="AB710" i="2"/>
  <c r="V710" i="2"/>
  <c r="BQ709" i="2"/>
  <c r="AP709" i="2"/>
  <c r="AO709" i="2"/>
  <c r="AN709" i="2"/>
  <c r="AE709" i="2" s="1"/>
  <c r="AM709" i="2"/>
  <c r="AD709" i="2" s="1"/>
  <c r="AL709" i="2"/>
  <c r="AJ709" i="2"/>
  <c r="AG709" i="2"/>
  <c r="AF709" i="2"/>
  <c r="AC709" i="2"/>
  <c r="AB709" i="2"/>
  <c r="V709" i="2"/>
  <c r="BQ708" i="2"/>
  <c r="AP708" i="2"/>
  <c r="AO708" i="2"/>
  <c r="AN708" i="2"/>
  <c r="AM708" i="2"/>
  <c r="AD708" i="2" s="1"/>
  <c r="AL708" i="2"/>
  <c r="AJ708" i="2"/>
  <c r="AG708" i="2"/>
  <c r="AF708" i="2"/>
  <c r="AE708" i="2"/>
  <c r="AC708" i="2"/>
  <c r="AB708" i="2"/>
  <c r="V708" i="2"/>
  <c r="BQ707" i="2"/>
  <c r="AQ707" i="2"/>
  <c r="AH707" i="2" s="1"/>
  <c r="AP707" i="2"/>
  <c r="AO707" i="2"/>
  <c r="AN707" i="2"/>
  <c r="AM707" i="2"/>
  <c r="AD707" i="2" s="1"/>
  <c r="AL707" i="2"/>
  <c r="AJ707" i="2"/>
  <c r="AG707" i="2"/>
  <c r="AF707" i="2"/>
  <c r="AE707" i="2"/>
  <c r="AC707" i="2"/>
  <c r="AB707" i="2"/>
  <c r="V707" i="2"/>
  <c r="BQ706" i="2"/>
  <c r="AQ706" i="2"/>
  <c r="AH706" i="2" s="1"/>
  <c r="AP706" i="2"/>
  <c r="AO706" i="2"/>
  <c r="AN706" i="2"/>
  <c r="AM706" i="2"/>
  <c r="AD706" i="2" s="1"/>
  <c r="AL706" i="2"/>
  <c r="AJ706" i="2"/>
  <c r="AG706" i="2"/>
  <c r="AF706" i="2"/>
  <c r="AE706" i="2"/>
  <c r="AC706" i="2"/>
  <c r="AB706" i="2"/>
  <c r="V706" i="2"/>
  <c r="BQ705" i="2"/>
  <c r="AP705" i="2"/>
  <c r="AO705" i="2"/>
  <c r="AN705" i="2"/>
  <c r="AE705" i="2" s="1"/>
  <c r="AM705" i="2"/>
  <c r="AD705" i="2" s="1"/>
  <c r="AL705" i="2"/>
  <c r="AJ705" i="2"/>
  <c r="AG705" i="2"/>
  <c r="AF705" i="2"/>
  <c r="AC705" i="2"/>
  <c r="AB705" i="2"/>
  <c r="V705" i="2"/>
  <c r="BQ704" i="2"/>
  <c r="AQ704" i="2"/>
  <c r="AH704" i="2" s="1"/>
  <c r="AP704" i="2"/>
  <c r="AO704" i="2"/>
  <c r="AN704" i="2"/>
  <c r="AE704" i="2" s="1"/>
  <c r="AM704" i="2"/>
  <c r="AD704" i="2" s="1"/>
  <c r="AL704" i="2"/>
  <c r="AJ704" i="2"/>
  <c r="AG704" i="2"/>
  <c r="AF704" i="2"/>
  <c r="AC704" i="2"/>
  <c r="AB704" i="2"/>
  <c r="V704" i="2"/>
  <c r="BQ703" i="2"/>
  <c r="AQ703" i="2"/>
  <c r="AH703" i="2" s="1"/>
  <c r="AP703" i="2"/>
  <c r="AO703" i="2"/>
  <c r="AN703" i="2"/>
  <c r="AE703" i="2" s="1"/>
  <c r="AM703" i="2"/>
  <c r="AD703" i="2" s="1"/>
  <c r="AL703" i="2"/>
  <c r="AJ703" i="2"/>
  <c r="AG703" i="2"/>
  <c r="AF703" i="2"/>
  <c r="AC703" i="2"/>
  <c r="AB703" i="2"/>
  <c r="V703" i="2"/>
  <c r="BQ702" i="2"/>
  <c r="AP702" i="2"/>
  <c r="AO702" i="2"/>
  <c r="AN702" i="2"/>
  <c r="AE702" i="2" s="1"/>
  <c r="AM702" i="2"/>
  <c r="AD702" i="2" s="1"/>
  <c r="AL702" i="2"/>
  <c r="AQ702" i="2" s="1"/>
  <c r="AH702" i="2" s="1"/>
  <c r="AJ702" i="2"/>
  <c r="AG702" i="2"/>
  <c r="AF702" i="2"/>
  <c r="AB702" i="2"/>
  <c r="V702" i="2"/>
  <c r="BQ701" i="2"/>
  <c r="AP701" i="2"/>
  <c r="AO701" i="2"/>
  <c r="AN701" i="2"/>
  <c r="AE701" i="2" s="1"/>
  <c r="AM701" i="2"/>
  <c r="AD701" i="2" s="1"/>
  <c r="AL701" i="2"/>
  <c r="AJ701" i="2"/>
  <c r="AG701" i="2"/>
  <c r="AF701" i="2"/>
  <c r="AC701" i="2"/>
  <c r="AB701" i="2"/>
  <c r="V701" i="2"/>
  <c r="BQ700" i="2"/>
  <c r="AQ700" i="2"/>
  <c r="AH700" i="2" s="1"/>
  <c r="AP700" i="2"/>
  <c r="AO700" i="2"/>
  <c r="AN700" i="2"/>
  <c r="AM700" i="2"/>
  <c r="AD700" i="2" s="1"/>
  <c r="AL700" i="2"/>
  <c r="AJ700" i="2"/>
  <c r="AG700" i="2"/>
  <c r="AF700" i="2"/>
  <c r="AE700" i="2"/>
  <c r="AC700" i="2"/>
  <c r="AB700" i="2"/>
  <c r="V700" i="2"/>
  <c r="BQ699" i="2"/>
  <c r="AQ699" i="2"/>
  <c r="AH699" i="2" s="1"/>
  <c r="AP699" i="2"/>
  <c r="AO699" i="2"/>
  <c r="AN699" i="2"/>
  <c r="AM699" i="2"/>
  <c r="AD699" i="2" s="1"/>
  <c r="AL699" i="2"/>
  <c r="AJ699" i="2"/>
  <c r="AG699" i="2"/>
  <c r="AF699" i="2"/>
  <c r="AE699" i="2"/>
  <c r="AC699" i="2"/>
  <c r="AB699" i="2"/>
  <c r="V699" i="2"/>
  <c r="BQ698" i="2"/>
  <c r="AQ698" i="2"/>
  <c r="AH698" i="2" s="1"/>
  <c r="AP698" i="2"/>
  <c r="AO698" i="2"/>
  <c r="AN698" i="2"/>
  <c r="AM698" i="2"/>
  <c r="AD698" i="2" s="1"/>
  <c r="AL698" i="2"/>
  <c r="AJ698" i="2"/>
  <c r="AG698" i="2"/>
  <c r="AF698" i="2"/>
  <c r="AE698" i="2"/>
  <c r="AC698" i="2"/>
  <c r="AB698" i="2"/>
  <c r="V698" i="2"/>
  <c r="BQ697" i="2"/>
  <c r="AP697" i="2"/>
  <c r="AO697" i="2"/>
  <c r="AN697" i="2"/>
  <c r="AE697" i="2" s="1"/>
  <c r="AM697" i="2"/>
  <c r="AD697" i="2" s="1"/>
  <c r="AL697" i="2"/>
  <c r="AJ697" i="2"/>
  <c r="AG697" i="2"/>
  <c r="AF697" i="2"/>
  <c r="AC697" i="2"/>
  <c r="AB697" i="2"/>
  <c r="V697" i="2"/>
  <c r="BQ696" i="2"/>
  <c r="AP696" i="2"/>
  <c r="AO696" i="2"/>
  <c r="AN696" i="2"/>
  <c r="AE696" i="2" s="1"/>
  <c r="AM696" i="2"/>
  <c r="AD696" i="2" s="1"/>
  <c r="AL696" i="2"/>
  <c r="AJ696" i="2"/>
  <c r="AG696" i="2"/>
  <c r="AF696" i="2"/>
  <c r="AC696" i="2"/>
  <c r="AB696" i="2"/>
  <c r="V696" i="2"/>
  <c r="BQ695" i="2"/>
  <c r="AQ695" i="2"/>
  <c r="AH695" i="2" s="1"/>
  <c r="AP695" i="2"/>
  <c r="AO695" i="2"/>
  <c r="AN695" i="2"/>
  <c r="AE695" i="2" s="1"/>
  <c r="AM695" i="2"/>
  <c r="AD695" i="2" s="1"/>
  <c r="AL695" i="2"/>
  <c r="AJ695" i="2"/>
  <c r="AG695" i="2"/>
  <c r="AF695" i="2"/>
  <c r="AC695" i="2"/>
  <c r="AB695" i="2"/>
  <c r="V695" i="2"/>
  <c r="BQ694" i="2"/>
  <c r="AQ694" i="2"/>
  <c r="AH694" i="2" s="1"/>
  <c r="AP694" i="2"/>
  <c r="AO694" i="2"/>
  <c r="AN694" i="2"/>
  <c r="AE694" i="2" s="1"/>
  <c r="AM694" i="2"/>
  <c r="AD694" i="2" s="1"/>
  <c r="AL694" i="2"/>
  <c r="AC694" i="2" s="1"/>
  <c r="AJ694" i="2"/>
  <c r="AG694" i="2"/>
  <c r="AF694" i="2"/>
  <c r="AB694" i="2"/>
  <c r="V694" i="2"/>
  <c r="BQ693" i="2"/>
  <c r="AP693" i="2"/>
  <c r="AO693" i="2"/>
  <c r="AN693" i="2"/>
  <c r="AE693" i="2" s="1"/>
  <c r="AM693" i="2"/>
  <c r="AD693" i="2" s="1"/>
  <c r="AL693" i="2"/>
  <c r="AQ693" i="2" s="1"/>
  <c r="AH693" i="2" s="1"/>
  <c r="AJ693" i="2"/>
  <c r="AG693" i="2"/>
  <c r="AF693" i="2"/>
  <c r="AC693" i="2"/>
  <c r="AB693" i="2"/>
  <c r="V693" i="2"/>
  <c r="BQ692" i="2"/>
  <c r="AQ692" i="2"/>
  <c r="AH692" i="2" s="1"/>
  <c r="AP692" i="2"/>
  <c r="AO692" i="2"/>
  <c r="AN692" i="2"/>
  <c r="AM692" i="2"/>
  <c r="AD692" i="2" s="1"/>
  <c r="AL692" i="2"/>
  <c r="AJ692" i="2"/>
  <c r="AG692" i="2"/>
  <c r="AF692" i="2"/>
  <c r="AE692" i="2"/>
  <c r="AC692" i="2"/>
  <c r="AB692" i="2"/>
  <c r="V692" i="2"/>
  <c r="BQ691" i="2"/>
  <c r="AQ691" i="2"/>
  <c r="AH691" i="2" s="1"/>
  <c r="AP691" i="2"/>
  <c r="AO691" i="2"/>
  <c r="AN691" i="2"/>
  <c r="AM691" i="2"/>
  <c r="AD691" i="2" s="1"/>
  <c r="AL691" i="2"/>
  <c r="AJ691" i="2"/>
  <c r="AG691" i="2"/>
  <c r="AF691" i="2"/>
  <c r="AE691" i="2"/>
  <c r="AC691" i="2"/>
  <c r="AB691" i="2"/>
  <c r="V691" i="2"/>
  <c r="BQ690" i="2"/>
  <c r="AP690" i="2"/>
  <c r="AO690" i="2"/>
  <c r="AN690" i="2"/>
  <c r="AM690" i="2"/>
  <c r="AD690" i="2" s="1"/>
  <c r="AL690" i="2"/>
  <c r="AJ690" i="2"/>
  <c r="AG690" i="2"/>
  <c r="AF690" i="2"/>
  <c r="AE690" i="2"/>
  <c r="AC690" i="2"/>
  <c r="AB690" i="2"/>
  <c r="V690" i="2"/>
  <c r="BQ689" i="2"/>
  <c r="AP689" i="2"/>
  <c r="AO689" i="2"/>
  <c r="AN689" i="2"/>
  <c r="AE689" i="2" s="1"/>
  <c r="AM689" i="2"/>
  <c r="AL689" i="2"/>
  <c r="AJ689" i="2"/>
  <c r="AG689" i="2"/>
  <c r="AF689" i="2"/>
  <c r="AC689" i="2"/>
  <c r="AB689" i="2"/>
  <c r="V689" i="2"/>
  <c r="BQ688" i="2"/>
  <c r="AP688" i="2"/>
  <c r="AO688" i="2"/>
  <c r="AN688" i="2"/>
  <c r="AE688" i="2" s="1"/>
  <c r="AM688" i="2"/>
  <c r="AD688" i="2" s="1"/>
  <c r="AL688" i="2"/>
  <c r="AJ688" i="2"/>
  <c r="AG688" i="2"/>
  <c r="AF688" i="2"/>
  <c r="AC688" i="2"/>
  <c r="AB688" i="2"/>
  <c r="V688" i="2"/>
  <c r="BQ687" i="2"/>
  <c r="AQ687" i="2"/>
  <c r="AH687" i="2" s="1"/>
  <c r="AP687" i="2"/>
  <c r="AO687" i="2"/>
  <c r="AN687" i="2"/>
  <c r="AE687" i="2" s="1"/>
  <c r="AM687" i="2"/>
  <c r="AD687" i="2" s="1"/>
  <c r="AL687" i="2"/>
  <c r="AJ687" i="2"/>
  <c r="AG687" i="2"/>
  <c r="AF687" i="2"/>
  <c r="AC687" i="2"/>
  <c r="AB687" i="2"/>
  <c r="V687" i="2"/>
  <c r="BQ686" i="2"/>
  <c r="AP686" i="2"/>
  <c r="AO686" i="2"/>
  <c r="AN686" i="2"/>
  <c r="AE686" i="2" s="1"/>
  <c r="AM686" i="2"/>
  <c r="AD686" i="2" s="1"/>
  <c r="AL686" i="2"/>
  <c r="AC686" i="2" s="1"/>
  <c r="AJ686" i="2"/>
  <c r="AG686" i="2"/>
  <c r="AF686" i="2"/>
  <c r="AB686" i="2"/>
  <c r="V686" i="2"/>
  <c r="BQ685" i="2"/>
  <c r="AQ685" i="2"/>
  <c r="AH685" i="2" s="1"/>
  <c r="AP685" i="2"/>
  <c r="AO685" i="2"/>
  <c r="AN685" i="2"/>
  <c r="AE685" i="2" s="1"/>
  <c r="AM685" i="2"/>
  <c r="AD685" i="2" s="1"/>
  <c r="AL685" i="2"/>
  <c r="AJ685" i="2"/>
  <c r="AG685" i="2"/>
  <c r="AF685" i="2"/>
  <c r="AC685" i="2"/>
  <c r="AB685" i="2"/>
  <c r="V685" i="2"/>
  <c r="BQ684" i="2"/>
  <c r="AQ684" i="2"/>
  <c r="AH684" i="2" s="1"/>
  <c r="AP684" i="2"/>
  <c r="AO684" i="2"/>
  <c r="AN684" i="2"/>
  <c r="AM684" i="2"/>
  <c r="AD684" i="2" s="1"/>
  <c r="AL684" i="2"/>
  <c r="AJ684" i="2"/>
  <c r="AG684" i="2"/>
  <c r="AF684" i="2"/>
  <c r="AE684" i="2"/>
  <c r="AC684" i="2"/>
  <c r="AB684" i="2"/>
  <c r="V684" i="2"/>
  <c r="BQ683" i="2"/>
  <c r="AQ683" i="2"/>
  <c r="AH683" i="2" s="1"/>
  <c r="AP683" i="2"/>
  <c r="AO683" i="2"/>
  <c r="AN683" i="2"/>
  <c r="AM683" i="2"/>
  <c r="AD683" i="2" s="1"/>
  <c r="AL683" i="2"/>
  <c r="AJ683" i="2"/>
  <c r="AG683" i="2"/>
  <c r="AF683" i="2"/>
  <c r="AE683" i="2"/>
  <c r="AC683" i="2"/>
  <c r="AB683" i="2"/>
  <c r="V683" i="2"/>
  <c r="BQ682" i="2"/>
  <c r="AP682" i="2"/>
  <c r="AO682" i="2"/>
  <c r="AN682" i="2"/>
  <c r="AM682" i="2"/>
  <c r="AD682" i="2" s="1"/>
  <c r="AL682" i="2"/>
  <c r="AJ682" i="2"/>
  <c r="AG682" i="2"/>
  <c r="AF682" i="2"/>
  <c r="AE682" i="2"/>
  <c r="AC682" i="2"/>
  <c r="AB682" i="2"/>
  <c r="V682" i="2"/>
  <c r="BQ681" i="2"/>
  <c r="AP681" i="2"/>
  <c r="AO681" i="2"/>
  <c r="AN681" i="2"/>
  <c r="AE681" i="2" s="1"/>
  <c r="AM681" i="2"/>
  <c r="AD681" i="2" s="1"/>
  <c r="AL681" i="2"/>
  <c r="AJ681" i="2"/>
  <c r="AG681" i="2"/>
  <c r="AF681" i="2"/>
  <c r="AC681" i="2"/>
  <c r="AB681" i="2"/>
  <c r="V681" i="2"/>
  <c r="BQ680" i="2"/>
  <c r="AP680" i="2"/>
  <c r="AO680" i="2"/>
  <c r="AN680" i="2"/>
  <c r="AE680" i="2" s="1"/>
  <c r="AM680" i="2"/>
  <c r="AD680" i="2" s="1"/>
  <c r="AL680" i="2"/>
  <c r="AJ680" i="2"/>
  <c r="AG680" i="2"/>
  <c r="AF680" i="2"/>
  <c r="AC680" i="2"/>
  <c r="AB680" i="2"/>
  <c r="V680" i="2"/>
  <c r="BQ679" i="2"/>
  <c r="AQ679" i="2"/>
  <c r="AH679" i="2" s="1"/>
  <c r="AP679" i="2"/>
  <c r="AO679" i="2"/>
  <c r="AN679" i="2"/>
  <c r="AE679" i="2" s="1"/>
  <c r="AM679" i="2"/>
  <c r="AD679" i="2" s="1"/>
  <c r="AL679" i="2"/>
  <c r="AJ679" i="2"/>
  <c r="AG679" i="2"/>
  <c r="AF679" i="2"/>
  <c r="AC679" i="2"/>
  <c r="AB679" i="2"/>
  <c r="V679" i="2"/>
  <c r="BQ678" i="2"/>
  <c r="AP678" i="2"/>
  <c r="AG678" i="2" s="1"/>
  <c r="AO678" i="2"/>
  <c r="AN678" i="2"/>
  <c r="AE678" i="2" s="1"/>
  <c r="AM678" i="2"/>
  <c r="AD678" i="2" s="1"/>
  <c r="AL678" i="2"/>
  <c r="AQ678" i="2" s="1"/>
  <c r="AH678" i="2" s="1"/>
  <c r="AJ678" i="2"/>
  <c r="AF678" i="2"/>
  <c r="AB678" i="2"/>
  <c r="V678" i="2"/>
  <c r="BQ677" i="2"/>
  <c r="AP677" i="2"/>
  <c r="AO677" i="2"/>
  <c r="AN677" i="2"/>
  <c r="AE677" i="2" s="1"/>
  <c r="AM677" i="2"/>
  <c r="AD677" i="2" s="1"/>
  <c r="AL677" i="2"/>
  <c r="AQ677" i="2" s="1"/>
  <c r="AH677" i="2" s="1"/>
  <c r="AJ677" i="2"/>
  <c r="AG677" i="2"/>
  <c r="AF677" i="2"/>
  <c r="AC677" i="2"/>
  <c r="AB677" i="2"/>
  <c r="V677" i="2"/>
  <c r="BQ676" i="2"/>
  <c r="AQ676" i="2"/>
  <c r="AH676" i="2" s="1"/>
  <c r="AP676" i="2"/>
  <c r="AO676" i="2"/>
  <c r="AN676" i="2"/>
  <c r="AM676" i="2"/>
  <c r="AD676" i="2" s="1"/>
  <c r="AL676" i="2"/>
  <c r="AJ676" i="2"/>
  <c r="AG676" i="2"/>
  <c r="AF676" i="2"/>
  <c r="AE676" i="2"/>
  <c r="AC676" i="2"/>
  <c r="AB676" i="2"/>
  <c r="V676" i="2"/>
  <c r="BQ675" i="2"/>
  <c r="AP675" i="2"/>
  <c r="AO675" i="2"/>
  <c r="AN675" i="2"/>
  <c r="AM675" i="2"/>
  <c r="AD675" i="2" s="1"/>
  <c r="AL675" i="2"/>
  <c r="AJ675" i="2"/>
  <c r="AG675" i="2"/>
  <c r="AF675" i="2"/>
  <c r="AE675" i="2"/>
  <c r="AC675" i="2"/>
  <c r="AB675" i="2"/>
  <c r="V675" i="2"/>
  <c r="BQ674" i="2"/>
  <c r="AQ674" i="2"/>
  <c r="AH674" i="2" s="1"/>
  <c r="AP674" i="2"/>
  <c r="AG674" i="2" s="1"/>
  <c r="AO674" i="2"/>
  <c r="AN674" i="2"/>
  <c r="AM674" i="2"/>
  <c r="AD674" i="2" s="1"/>
  <c r="AL674" i="2"/>
  <c r="AJ674" i="2"/>
  <c r="AF674" i="2"/>
  <c r="AE674" i="2"/>
  <c r="AC674" i="2"/>
  <c r="AB674" i="2"/>
  <c r="V674" i="2"/>
  <c r="BQ673" i="2"/>
  <c r="AQ673" i="2"/>
  <c r="AH673" i="2" s="1"/>
  <c r="AP673" i="2"/>
  <c r="AG673" i="2" s="1"/>
  <c r="AO673" i="2"/>
  <c r="AN673" i="2"/>
  <c r="AE673" i="2" s="1"/>
  <c r="AM673" i="2"/>
  <c r="AD673" i="2" s="1"/>
  <c r="AL673" i="2"/>
  <c r="AJ673" i="2"/>
  <c r="AF673" i="2"/>
  <c r="AC673" i="2"/>
  <c r="AB673" i="2"/>
  <c r="V673" i="2"/>
  <c r="BQ672" i="2"/>
  <c r="AP672" i="2"/>
  <c r="AG672" i="2" s="1"/>
  <c r="AO672" i="2"/>
  <c r="AN672" i="2"/>
  <c r="AE672" i="2" s="1"/>
  <c r="AM672" i="2"/>
  <c r="AL672" i="2"/>
  <c r="AC672" i="2" s="1"/>
  <c r="AJ672" i="2"/>
  <c r="AF672" i="2"/>
  <c r="AB672" i="2"/>
  <c r="V672" i="2"/>
  <c r="BQ671" i="2"/>
  <c r="AP671" i="2"/>
  <c r="AG671" i="2" s="1"/>
  <c r="AO671" i="2"/>
  <c r="AN671" i="2"/>
  <c r="AE671" i="2" s="1"/>
  <c r="AM671" i="2"/>
  <c r="AD671" i="2" s="1"/>
  <c r="AL671" i="2"/>
  <c r="AQ671" i="2" s="1"/>
  <c r="AH671" i="2" s="1"/>
  <c r="AJ671" i="2"/>
  <c r="AF671" i="2"/>
  <c r="AB671" i="2"/>
  <c r="V671" i="2"/>
  <c r="BQ670" i="2"/>
  <c r="AQ670" i="2"/>
  <c r="AH670" i="2" s="1"/>
  <c r="AP670" i="2"/>
  <c r="AO670" i="2"/>
  <c r="AN670" i="2"/>
  <c r="AE670" i="2" s="1"/>
  <c r="AM670" i="2"/>
  <c r="AL670" i="2"/>
  <c r="AC670" i="2" s="1"/>
  <c r="AJ670" i="2"/>
  <c r="AG670" i="2"/>
  <c r="AF670" i="2"/>
  <c r="AD670" i="2"/>
  <c r="AB670" i="2"/>
  <c r="V670" i="2"/>
  <c r="BQ669" i="2"/>
  <c r="AP669" i="2"/>
  <c r="AO669" i="2"/>
  <c r="AN669" i="2"/>
  <c r="AM669" i="2"/>
  <c r="AD669" i="2" s="1"/>
  <c r="AL669" i="2"/>
  <c r="AJ669" i="2"/>
  <c r="AG669" i="2"/>
  <c r="AF669" i="2"/>
  <c r="AC669" i="2"/>
  <c r="AB669" i="2"/>
  <c r="V669" i="2"/>
  <c r="BQ668" i="2"/>
  <c r="AP668" i="2"/>
  <c r="AG668" i="2" s="1"/>
  <c r="AO668" i="2"/>
  <c r="AN668" i="2"/>
  <c r="AM668" i="2"/>
  <c r="AL668" i="2"/>
  <c r="AC668" i="2" s="1"/>
  <c r="AJ668" i="2"/>
  <c r="AF668" i="2"/>
  <c r="AE668" i="2"/>
  <c r="AD668" i="2"/>
  <c r="AB668" i="2"/>
  <c r="V668" i="2"/>
  <c r="BQ667" i="2"/>
  <c r="AP667" i="2"/>
  <c r="AG667" i="2" s="1"/>
  <c r="AO667" i="2"/>
  <c r="AN667" i="2"/>
  <c r="AM667" i="2"/>
  <c r="AD667" i="2" s="1"/>
  <c r="AL667" i="2"/>
  <c r="AJ667" i="2"/>
  <c r="AF667" i="2"/>
  <c r="AE667" i="2"/>
  <c r="AB667" i="2"/>
  <c r="V667" i="2"/>
  <c r="BQ666" i="2"/>
  <c r="AP666" i="2"/>
  <c r="AO666" i="2"/>
  <c r="AN666" i="2"/>
  <c r="AE666" i="2" s="1"/>
  <c r="AM666" i="2"/>
  <c r="AL666" i="2"/>
  <c r="AJ666" i="2"/>
  <c r="AG666" i="2"/>
  <c r="AF666" i="2"/>
  <c r="AD666" i="2"/>
  <c r="AB666" i="2"/>
  <c r="V666" i="2"/>
  <c r="BQ665" i="2"/>
  <c r="AP665" i="2"/>
  <c r="AG665" i="2" s="1"/>
  <c r="AO665" i="2"/>
  <c r="AN665" i="2"/>
  <c r="AM665" i="2"/>
  <c r="AD665" i="2" s="1"/>
  <c r="AL665" i="2"/>
  <c r="AJ665" i="2"/>
  <c r="AF665" i="2"/>
  <c r="AE665" i="2"/>
  <c r="AC665" i="2"/>
  <c r="AB665" i="2"/>
  <c r="V665" i="2"/>
  <c r="BQ664" i="2"/>
  <c r="AP664" i="2"/>
  <c r="AO664" i="2"/>
  <c r="AN664" i="2"/>
  <c r="AM664" i="2"/>
  <c r="AL664" i="2"/>
  <c r="AJ664" i="2"/>
  <c r="AG664" i="2"/>
  <c r="AF664" i="2"/>
  <c r="AE664" i="2"/>
  <c r="AD664" i="2"/>
  <c r="AB664" i="2"/>
  <c r="V664" i="2"/>
  <c r="BQ663" i="2"/>
  <c r="AQ663" i="2"/>
  <c r="AH663" i="2" s="1"/>
  <c r="AP663" i="2"/>
  <c r="AO663" i="2"/>
  <c r="AN663" i="2"/>
  <c r="AE663" i="2" s="1"/>
  <c r="AM663" i="2"/>
  <c r="AL663" i="2"/>
  <c r="AC663" i="2" s="1"/>
  <c r="AJ663" i="2"/>
  <c r="AG663" i="2"/>
  <c r="AF663" i="2"/>
  <c r="AD663" i="2"/>
  <c r="AB663" i="2"/>
  <c r="V663" i="2"/>
  <c r="BQ662" i="2"/>
  <c r="AP662" i="2"/>
  <c r="AO662" i="2"/>
  <c r="AN662" i="2"/>
  <c r="AM662" i="2"/>
  <c r="AD662" i="2" s="1"/>
  <c r="AL662" i="2"/>
  <c r="AJ662" i="2"/>
  <c r="AG662" i="2"/>
  <c r="AF662" i="2"/>
  <c r="AE662" i="2"/>
  <c r="AC662" i="2"/>
  <c r="AB662" i="2"/>
  <c r="V662" i="2"/>
  <c r="BQ661" i="2"/>
  <c r="AP661" i="2"/>
  <c r="AO661" i="2"/>
  <c r="AN661" i="2"/>
  <c r="AM661" i="2"/>
  <c r="AL661" i="2"/>
  <c r="AC661" i="2" s="1"/>
  <c r="AJ661" i="2"/>
  <c r="AG661" i="2"/>
  <c r="AF661" i="2"/>
  <c r="AD661" i="2"/>
  <c r="AB661" i="2"/>
  <c r="V661" i="2"/>
  <c r="BQ660" i="2"/>
  <c r="AQ660" i="2"/>
  <c r="AH660" i="2" s="1"/>
  <c r="AP660" i="2"/>
  <c r="AG660" i="2" s="1"/>
  <c r="AO660" i="2"/>
  <c r="AN660" i="2"/>
  <c r="AM660" i="2"/>
  <c r="AL660" i="2"/>
  <c r="AJ660" i="2"/>
  <c r="AF660" i="2"/>
  <c r="AE660" i="2"/>
  <c r="AD660" i="2"/>
  <c r="AC660" i="2"/>
  <c r="AB660" i="2"/>
  <c r="V660" i="2"/>
  <c r="BQ659" i="2"/>
  <c r="AP659" i="2"/>
  <c r="AO659" i="2"/>
  <c r="AN659" i="2"/>
  <c r="AE659" i="2" s="1"/>
  <c r="AM659" i="2"/>
  <c r="AD659" i="2" s="1"/>
  <c r="AL659" i="2"/>
  <c r="AJ659" i="2"/>
  <c r="AG659" i="2"/>
  <c r="AF659" i="2"/>
  <c r="AC659" i="2"/>
  <c r="AB659" i="2"/>
  <c r="V659" i="2"/>
  <c r="BQ658" i="2"/>
  <c r="AP658" i="2"/>
  <c r="AO658" i="2"/>
  <c r="AN658" i="2"/>
  <c r="AE658" i="2" s="1"/>
  <c r="AM658" i="2"/>
  <c r="AD658" i="2" s="1"/>
  <c r="AL658" i="2"/>
  <c r="AJ658" i="2"/>
  <c r="AG658" i="2"/>
  <c r="AF658" i="2"/>
  <c r="AC658" i="2"/>
  <c r="AB658" i="2"/>
  <c r="V658" i="2"/>
  <c r="BQ657" i="2"/>
  <c r="AP657" i="2"/>
  <c r="AG657" i="2" s="1"/>
  <c r="AO657" i="2"/>
  <c r="AN657" i="2"/>
  <c r="AE657" i="2" s="1"/>
  <c r="AM657" i="2"/>
  <c r="AD657" i="2" s="1"/>
  <c r="AL657" i="2"/>
  <c r="AJ657" i="2"/>
  <c r="AF657" i="2"/>
  <c r="AC657" i="2"/>
  <c r="AB657" i="2"/>
  <c r="V657" i="2"/>
  <c r="BQ656" i="2"/>
  <c r="AP656" i="2"/>
  <c r="AG656" i="2" s="1"/>
  <c r="AO656" i="2"/>
  <c r="AN656" i="2"/>
  <c r="AM656" i="2"/>
  <c r="AD656" i="2" s="1"/>
  <c r="AL656" i="2"/>
  <c r="AC656" i="2" s="1"/>
  <c r="AJ656" i="2"/>
  <c r="AF656" i="2"/>
  <c r="AE656" i="2"/>
  <c r="AB656" i="2"/>
  <c r="V656" i="2"/>
  <c r="BQ655" i="2"/>
  <c r="AP655" i="2"/>
  <c r="AO655" i="2"/>
  <c r="AN655" i="2"/>
  <c r="AQ655" i="2" s="1"/>
  <c r="AH655" i="2" s="1"/>
  <c r="AM655" i="2"/>
  <c r="AL655" i="2"/>
  <c r="AC655" i="2" s="1"/>
  <c r="AJ655" i="2"/>
  <c r="AG655" i="2"/>
  <c r="AF655" i="2"/>
  <c r="AE655" i="2"/>
  <c r="AD655" i="2"/>
  <c r="AB655" i="2"/>
  <c r="V655" i="2"/>
  <c r="BQ654" i="2"/>
  <c r="AP654" i="2"/>
  <c r="AO654" i="2"/>
  <c r="AN654" i="2"/>
  <c r="AM654" i="2"/>
  <c r="AL654" i="2"/>
  <c r="AJ654" i="2"/>
  <c r="AG654" i="2"/>
  <c r="AF654" i="2"/>
  <c r="AE654" i="2"/>
  <c r="AC654" i="2"/>
  <c r="AB654" i="2"/>
  <c r="V654" i="2"/>
  <c r="BQ653" i="2"/>
  <c r="AP653" i="2"/>
  <c r="AO653" i="2"/>
  <c r="AN653" i="2"/>
  <c r="AM653" i="2"/>
  <c r="AL653" i="2"/>
  <c r="AJ653" i="2"/>
  <c r="AG653" i="2"/>
  <c r="AF653" i="2"/>
  <c r="AE653" i="2"/>
  <c r="AC653" i="2"/>
  <c r="AB653" i="2"/>
  <c r="V653" i="2"/>
  <c r="BQ652" i="2"/>
  <c r="AP652" i="2"/>
  <c r="AG652" i="2" s="1"/>
  <c r="AO652" i="2"/>
  <c r="AN652" i="2"/>
  <c r="AM652" i="2"/>
  <c r="AD652" i="2" s="1"/>
  <c r="AL652" i="2"/>
  <c r="AJ652" i="2"/>
  <c r="AF652" i="2"/>
  <c r="AC652" i="2"/>
  <c r="AB652" i="2"/>
  <c r="V652" i="2"/>
  <c r="BQ651" i="2"/>
  <c r="AP651" i="2"/>
  <c r="AG651" i="2" s="1"/>
  <c r="AO651" i="2"/>
  <c r="AN651" i="2"/>
  <c r="AM651" i="2"/>
  <c r="AL651" i="2"/>
  <c r="AJ651" i="2"/>
  <c r="AF651" i="2"/>
  <c r="AE651" i="2"/>
  <c r="AC651" i="2"/>
  <c r="AB651" i="2"/>
  <c r="V651" i="2"/>
  <c r="BQ650" i="2"/>
  <c r="AP650" i="2"/>
  <c r="AO650" i="2"/>
  <c r="AN650" i="2"/>
  <c r="AE650" i="2" s="1"/>
  <c r="AM650" i="2"/>
  <c r="AD650" i="2" s="1"/>
  <c r="AL650" i="2"/>
  <c r="AJ650" i="2"/>
  <c r="AG650" i="2"/>
  <c r="AF650" i="2"/>
  <c r="AC650" i="2"/>
  <c r="AB650" i="2"/>
  <c r="V650" i="2"/>
  <c r="BQ649" i="2"/>
  <c r="AP649" i="2"/>
  <c r="AO649" i="2"/>
  <c r="AN649" i="2"/>
  <c r="AM649" i="2"/>
  <c r="AD649" i="2" s="1"/>
  <c r="AL649" i="2"/>
  <c r="AJ649" i="2"/>
  <c r="AG649" i="2"/>
  <c r="AF649" i="2"/>
  <c r="AE649" i="2"/>
  <c r="AC649" i="2"/>
  <c r="AB649" i="2"/>
  <c r="V649" i="2"/>
  <c r="BQ648" i="2"/>
  <c r="AP648" i="2"/>
  <c r="AG648" i="2" s="1"/>
  <c r="AO648" i="2"/>
  <c r="AN648" i="2"/>
  <c r="AM648" i="2"/>
  <c r="AL648" i="2"/>
  <c r="AJ648" i="2"/>
  <c r="AF648" i="2"/>
  <c r="AE648" i="2"/>
  <c r="AC648" i="2"/>
  <c r="AB648" i="2"/>
  <c r="V648" i="2"/>
  <c r="BQ647" i="2"/>
  <c r="AP647" i="2"/>
  <c r="AQ647" i="2" s="1"/>
  <c r="AO647" i="2"/>
  <c r="AN647" i="2"/>
  <c r="AM647" i="2"/>
  <c r="AD647" i="2" s="1"/>
  <c r="AL647" i="2"/>
  <c r="AJ647" i="2"/>
  <c r="AH647" i="2"/>
  <c r="AF647" i="2"/>
  <c r="AE647" i="2"/>
  <c r="AC647" i="2"/>
  <c r="AB647" i="2"/>
  <c r="V647" i="2"/>
  <c r="BQ646" i="2"/>
  <c r="AQ646" i="2"/>
  <c r="AH646" i="2" s="1"/>
  <c r="AP646" i="2"/>
  <c r="AO646" i="2"/>
  <c r="AN646" i="2"/>
  <c r="AE646" i="2" s="1"/>
  <c r="AM646" i="2"/>
  <c r="AD646" i="2" s="1"/>
  <c r="AL646" i="2"/>
  <c r="AJ646" i="2"/>
  <c r="AG646" i="2"/>
  <c r="AF646" i="2"/>
  <c r="AC646" i="2"/>
  <c r="AB646" i="2"/>
  <c r="V646" i="2"/>
  <c r="BQ645" i="2"/>
  <c r="AP645" i="2"/>
  <c r="AG645" i="2" s="1"/>
  <c r="AO645" i="2"/>
  <c r="AN645" i="2"/>
  <c r="AE645" i="2" s="1"/>
  <c r="AM645" i="2"/>
  <c r="AL645" i="2"/>
  <c r="AJ645" i="2"/>
  <c r="AF645" i="2"/>
  <c r="AC645" i="2"/>
  <c r="AB645" i="2"/>
  <c r="V645" i="2"/>
  <c r="BQ644" i="2"/>
  <c r="AP644" i="2"/>
  <c r="AO644" i="2"/>
  <c r="AN644" i="2"/>
  <c r="AM644" i="2"/>
  <c r="AL644" i="2"/>
  <c r="AJ644" i="2"/>
  <c r="AG644" i="2"/>
  <c r="AF644" i="2"/>
  <c r="AE644" i="2"/>
  <c r="AC644" i="2"/>
  <c r="AB644" i="2"/>
  <c r="V644" i="2"/>
  <c r="BQ643" i="2"/>
  <c r="AP643" i="2"/>
  <c r="AG643" i="2" s="1"/>
  <c r="AO643" i="2"/>
  <c r="AN643" i="2"/>
  <c r="AM643" i="2"/>
  <c r="AD643" i="2" s="1"/>
  <c r="AL643" i="2"/>
  <c r="AJ643" i="2"/>
  <c r="AF643" i="2"/>
  <c r="AC643" i="2"/>
  <c r="AB643" i="2"/>
  <c r="V643" i="2"/>
  <c r="BQ642" i="2"/>
  <c r="AP642" i="2"/>
  <c r="AQ642" i="2" s="1"/>
  <c r="AO642" i="2"/>
  <c r="AN642" i="2"/>
  <c r="AM642" i="2"/>
  <c r="AD642" i="2" s="1"/>
  <c r="AL642" i="2"/>
  <c r="AJ642" i="2"/>
  <c r="AH642" i="2"/>
  <c r="AG642" i="2"/>
  <c r="AF642" i="2"/>
  <c r="AE642" i="2"/>
  <c r="AC642" i="2"/>
  <c r="AB642" i="2"/>
  <c r="V642" i="2"/>
  <c r="BQ641" i="2"/>
  <c r="AQ641" i="2"/>
  <c r="AH641" i="2" s="1"/>
  <c r="AP641" i="2"/>
  <c r="AO641" i="2"/>
  <c r="AN641" i="2"/>
  <c r="AE641" i="2" s="1"/>
  <c r="AM641" i="2"/>
  <c r="AD641" i="2" s="1"/>
  <c r="AL641" i="2"/>
  <c r="AJ641" i="2"/>
  <c r="AG641" i="2"/>
  <c r="AF641" i="2"/>
  <c r="AC641" i="2"/>
  <c r="AB641" i="2"/>
  <c r="V641" i="2"/>
  <c r="BQ640" i="2"/>
  <c r="AP640" i="2"/>
  <c r="AO640" i="2"/>
  <c r="AN640" i="2"/>
  <c r="AE640" i="2" s="1"/>
  <c r="AM640" i="2"/>
  <c r="AD640" i="2" s="1"/>
  <c r="AL640" i="2"/>
  <c r="AJ640" i="2"/>
  <c r="AG640" i="2"/>
  <c r="AF640" i="2"/>
  <c r="AC640" i="2"/>
  <c r="AB640" i="2"/>
  <c r="V640" i="2"/>
  <c r="BQ639" i="2"/>
  <c r="AP639" i="2"/>
  <c r="AO639" i="2"/>
  <c r="AN639" i="2"/>
  <c r="AM639" i="2"/>
  <c r="AL639" i="2"/>
  <c r="AJ639" i="2"/>
  <c r="AG639" i="2"/>
  <c r="AF639" i="2"/>
  <c r="AE639" i="2"/>
  <c r="AC639" i="2"/>
  <c r="AB639" i="2"/>
  <c r="V639" i="2"/>
  <c r="BQ638" i="2"/>
  <c r="AP638" i="2"/>
  <c r="AO638" i="2"/>
  <c r="AN638" i="2"/>
  <c r="AM638" i="2"/>
  <c r="AD638" i="2" s="1"/>
  <c r="AL638" i="2"/>
  <c r="AJ638" i="2"/>
  <c r="AG638" i="2"/>
  <c r="AF638" i="2"/>
  <c r="AE638" i="2"/>
  <c r="AC638" i="2"/>
  <c r="AB638" i="2"/>
  <c r="V638" i="2"/>
  <c r="BQ637" i="2"/>
  <c r="AQ637" i="2"/>
  <c r="AH637" i="2" s="1"/>
  <c r="AP637" i="2"/>
  <c r="AO637" i="2"/>
  <c r="AN637" i="2"/>
  <c r="AM637" i="2"/>
  <c r="AD637" i="2" s="1"/>
  <c r="AL637" i="2"/>
  <c r="AJ637" i="2"/>
  <c r="AG637" i="2"/>
  <c r="AF637" i="2"/>
  <c r="AE637" i="2"/>
  <c r="AC637" i="2"/>
  <c r="AB637" i="2"/>
  <c r="V637" i="2"/>
  <c r="BQ636" i="2"/>
  <c r="AP636" i="2"/>
  <c r="AG636" i="2" s="1"/>
  <c r="AO636" i="2"/>
  <c r="AN636" i="2"/>
  <c r="AM636" i="2"/>
  <c r="AD636" i="2" s="1"/>
  <c r="AL636" i="2"/>
  <c r="AJ636" i="2"/>
  <c r="AF636" i="2"/>
  <c r="AE636" i="2"/>
  <c r="AC636" i="2"/>
  <c r="AB636" i="2"/>
  <c r="V636" i="2"/>
  <c r="BQ635" i="2"/>
  <c r="AP635" i="2"/>
  <c r="AO635" i="2"/>
  <c r="AN635" i="2"/>
  <c r="AE635" i="2" s="1"/>
  <c r="AM635" i="2"/>
  <c r="AL635" i="2"/>
  <c r="AJ635" i="2"/>
  <c r="AG635" i="2"/>
  <c r="AF635" i="2"/>
  <c r="AC635" i="2"/>
  <c r="AB635" i="2"/>
  <c r="V635" i="2"/>
  <c r="BQ634" i="2"/>
  <c r="AP634" i="2"/>
  <c r="AO634" i="2"/>
  <c r="AN634" i="2"/>
  <c r="AE634" i="2" s="1"/>
  <c r="AM634" i="2"/>
  <c r="AL634" i="2"/>
  <c r="AJ634" i="2"/>
  <c r="AG634" i="2"/>
  <c r="AF634" i="2"/>
  <c r="AC634" i="2"/>
  <c r="AB634" i="2"/>
  <c r="V634" i="2"/>
  <c r="BQ633" i="2"/>
  <c r="AP633" i="2"/>
  <c r="AO633" i="2"/>
  <c r="AN633" i="2"/>
  <c r="AE633" i="2" s="1"/>
  <c r="AM633" i="2"/>
  <c r="AD633" i="2" s="1"/>
  <c r="AL633" i="2"/>
  <c r="AJ633" i="2"/>
  <c r="AF633" i="2"/>
  <c r="AC633" i="2"/>
  <c r="AB633" i="2"/>
  <c r="V633" i="2"/>
  <c r="BQ632" i="2"/>
  <c r="AP632" i="2"/>
  <c r="AO632" i="2"/>
  <c r="AN632" i="2"/>
  <c r="AM632" i="2"/>
  <c r="AD632" i="2" s="1"/>
  <c r="AL632" i="2"/>
  <c r="AJ632" i="2"/>
  <c r="AF632" i="2"/>
  <c r="AE632" i="2"/>
  <c r="AC632" i="2"/>
  <c r="AB632" i="2"/>
  <c r="V632" i="2"/>
  <c r="BQ631" i="2"/>
  <c r="AQ631" i="2"/>
  <c r="AH631" i="2" s="1"/>
  <c r="AP631" i="2"/>
  <c r="AO631" i="2"/>
  <c r="AN631" i="2"/>
  <c r="AM631" i="2"/>
  <c r="AD631" i="2" s="1"/>
  <c r="AL631" i="2"/>
  <c r="AJ631" i="2"/>
  <c r="AG631" i="2"/>
  <c r="AF631" i="2"/>
  <c r="AE631" i="2"/>
  <c r="AC631" i="2"/>
  <c r="AB631" i="2"/>
  <c r="V631" i="2"/>
  <c r="BQ630" i="2"/>
  <c r="AP630" i="2"/>
  <c r="AG630" i="2" s="1"/>
  <c r="AO630" i="2"/>
  <c r="AN630" i="2"/>
  <c r="AM630" i="2"/>
  <c r="AL630" i="2"/>
  <c r="AJ630" i="2"/>
  <c r="AF630" i="2"/>
  <c r="AE630" i="2"/>
  <c r="AC630" i="2"/>
  <c r="AB630" i="2"/>
  <c r="V630" i="2"/>
  <c r="BQ629" i="2"/>
  <c r="AP629" i="2"/>
  <c r="AO629" i="2"/>
  <c r="AN629" i="2"/>
  <c r="AM629" i="2"/>
  <c r="AL629" i="2"/>
  <c r="AJ629" i="2"/>
  <c r="AG629" i="2"/>
  <c r="AF629" i="2"/>
  <c r="AE629" i="2"/>
  <c r="AC629" i="2"/>
  <c r="AB629" i="2"/>
  <c r="V629" i="2"/>
  <c r="BQ628" i="2"/>
  <c r="AP628" i="2"/>
  <c r="AG628" i="2" s="1"/>
  <c r="AO628" i="2"/>
  <c r="AN628" i="2"/>
  <c r="AM628" i="2"/>
  <c r="AL628" i="2"/>
  <c r="AJ628" i="2"/>
  <c r="AF628" i="2"/>
  <c r="AE628" i="2"/>
  <c r="AC628" i="2"/>
  <c r="AB628" i="2"/>
  <c r="V628" i="2"/>
  <c r="BQ627" i="2"/>
  <c r="AP627" i="2"/>
  <c r="AO627" i="2"/>
  <c r="AN627" i="2"/>
  <c r="AM627" i="2"/>
  <c r="AD627" i="2" s="1"/>
  <c r="AL627" i="2"/>
  <c r="AJ627" i="2"/>
  <c r="AG627" i="2"/>
  <c r="AF627" i="2"/>
  <c r="AE627" i="2"/>
  <c r="AC627" i="2"/>
  <c r="AB627" i="2"/>
  <c r="V627" i="2"/>
  <c r="BQ626" i="2"/>
  <c r="AP626" i="2"/>
  <c r="AO626" i="2"/>
  <c r="AN626" i="2"/>
  <c r="AE626" i="2" s="1"/>
  <c r="AM626" i="2"/>
  <c r="AD626" i="2" s="1"/>
  <c r="AL626" i="2"/>
  <c r="AJ626" i="2"/>
  <c r="AG626" i="2"/>
  <c r="AF626" i="2"/>
  <c r="AC626" i="2"/>
  <c r="AB626" i="2"/>
  <c r="V626" i="2"/>
  <c r="BQ625" i="2"/>
  <c r="AP625" i="2"/>
  <c r="AG625" i="2" s="1"/>
  <c r="AO625" i="2"/>
  <c r="AN625" i="2"/>
  <c r="AM625" i="2"/>
  <c r="AD625" i="2" s="1"/>
  <c r="AL625" i="2"/>
  <c r="AJ625" i="2"/>
  <c r="AF625" i="2"/>
  <c r="AE625" i="2"/>
  <c r="AC625" i="2"/>
  <c r="AB625" i="2"/>
  <c r="V625" i="2"/>
  <c r="BQ624" i="2"/>
  <c r="AP624" i="2"/>
  <c r="AQ624" i="2" s="1"/>
  <c r="AH624" i="2" s="1"/>
  <c r="AO624" i="2"/>
  <c r="AN624" i="2"/>
  <c r="AM624" i="2"/>
  <c r="AD624" i="2" s="1"/>
  <c r="AL624" i="2"/>
  <c r="AJ624" i="2"/>
  <c r="AG624" i="2"/>
  <c r="AF624" i="2"/>
  <c r="AE624" i="2"/>
  <c r="AC624" i="2"/>
  <c r="AB624" i="2"/>
  <c r="V624" i="2"/>
  <c r="BQ623" i="2"/>
  <c r="AP623" i="2"/>
  <c r="AG623" i="2" s="1"/>
  <c r="AO623" i="2"/>
  <c r="AN623" i="2"/>
  <c r="AM623" i="2"/>
  <c r="AD623" i="2" s="1"/>
  <c r="AL623" i="2"/>
  <c r="AJ623" i="2"/>
  <c r="AF623" i="2"/>
  <c r="AC623" i="2"/>
  <c r="AB623" i="2"/>
  <c r="V623" i="2"/>
  <c r="BQ622" i="2"/>
  <c r="AP622" i="2"/>
  <c r="AG622" i="2" s="1"/>
  <c r="AO622" i="2"/>
  <c r="AN622" i="2"/>
  <c r="AQ622" i="2" s="1"/>
  <c r="AH622" i="2" s="1"/>
  <c r="AM622" i="2"/>
  <c r="AD622" i="2" s="1"/>
  <c r="AL622" i="2"/>
  <c r="AJ622" i="2"/>
  <c r="AF622" i="2"/>
  <c r="AC622" i="2"/>
  <c r="AB622" i="2"/>
  <c r="V622" i="2"/>
  <c r="BQ621" i="2"/>
  <c r="AP621" i="2"/>
  <c r="AG621" i="2" s="1"/>
  <c r="AO621" i="2"/>
  <c r="AN621" i="2"/>
  <c r="AE621" i="2" s="1"/>
  <c r="AM621" i="2"/>
  <c r="AL621" i="2"/>
  <c r="AJ621" i="2"/>
  <c r="AF621" i="2"/>
  <c r="AC621" i="2"/>
  <c r="AB621" i="2"/>
  <c r="V621" i="2"/>
  <c r="BQ620" i="2"/>
  <c r="AQ620" i="2"/>
  <c r="AP620" i="2"/>
  <c r="AG620" i="2" s="1"/>
  <c r="AO620" i="2"/>
  <c r="AN620" i="2"/>
  <c r="AE620" i="2" s="1"/>
  <c r="AM620" i="2"/>
  <c r="AD620" i="2" s="1"/>
  <c r="AL620" i="2"/>
  <c r="AJ620" i="2"/>
  <c r="AH620" i="2"/>
  <c r="AF620" i="2"/>
  <c r="AC620" i="2"/>
  <c r="AB620" i="2"/>
  <c r="V620" i="2"/>
  <c r="BQ619" i="2"/>
  <c r="AP619" i="2"/>
  <c r="AO619" i="2"/>
  <c r="AN619" i="2"/>
  <c r="AM619" i="2"/>
  <c r="AD619" i="2" s="1"/>
  <c r="AL619" i="2"/>
  <c r="AJ619" i="2"/>
  <c r="AF619" i="2"/>
  <c r="AE619" i="2"/>
  <c r="AC619" i="2"/>
  <c r="AB619" i="2"/>
  <c r="V619" i="2"/>
  <c r="BQ618" i="2"/>
  <c r="AP618" i="2"/>
  <c r="AO618" i="2"/>
  <c r="AN618" i="2"/>
  <c r="AE618" i="2" s="1"/>
  <c r="AM618" i="2"/>
  <c r="AD618" i="2" s="1"/>
  <c r="AL618" i="2"/>
  <c r="AJ618" i="2"/>
  <c r="AG618" i="2"/>
  <c r="AF618" i="2"/>
  <c r="AC618" i="2"/>
  <c r="AB618" i="2"/>
  <c r="V618" i="2"/>
  <c r="BQ617" i="2"/>
  <c r="AP617" i="2"/>
  <c r="AO617" i="2"/>
  <c r="AN617" i="2"/>
  <c r="AM617" i="2"/>
  <c r="AL617" i="2"/>
  <c r="AJ617" i="2"/>
  <c r="AG617" i="2"/>
  <c r="AF617" i="2"/>
  <c r="AE617" i="2"/>
  <c r="AC617" i="2"/>
  <c r="AB617" i="2"/>
  <c r="V617" i="2"/>
  <c r="BQ616" i="2"/>
  <c r="AQ616" i="2"/>
  <c r="AH616" i="2" s="1"/>
  <c r="AP616" i="2"/>
  <c r="AO616" i="2"/>
  <c r="AN616" i="2"/>
  <c r="AE616" i="2" s="1"/>
  <c r="AM616" i="2"/>
  <c r="AD616" i="2" s="1"/>
  <c r="AL616" i="2"/>
  <c r="AJ616" i="2"/>
  <c r="AG616" i="2"/>
  <c r="AF616" i="2"/>
  <c r="AC616" i="2"/>
  <c r="AB616" i="2"/>
  <c r="V616" i="2"/>
  <c r="BQ615" i="2"/>
  <c r="AP615" i="2"/>
  <c r="AO615" i="2"/>
  <c r="AN615" i="2"/>
  <c r="AM615" i="2"/>
  <c r="AL615" i="2"/>
  <c r="AJ615" i="2"/>
  <c r="AG615" i="2"/>
  <c r="AF615" i="2"/>
  <c r="AE615" i="2"/>
  <c r="AC615" i="2"/>
  <c r="AB615" i="2"/>
  <c r="V615" i="2"/>
  <c r="BQ614" i="2"/>
  <c r="AP614" i="2"/>
  <c r="AO614" i="2"/>
  <c r="AN614" i="2"/>
  <c r="AM614" i="2"/>
  <c r="AD614" i="2" s="1"/>
  <c r="AL614" i="2"/>
  <c r="AJ614" i="2"/>
  <c r="AG614" i="2"/>
  <c r="AF614" i="2"/>
  <c r="AE614" i="2"/>
  <c r="AC614" i="2"/>
  <c r="AB614" i="2"/>
  <c r="V614" i="2"/>
  <c r="BQ613" i="2"/>
  <c r="AP613" i="2"/>
  <c r="AO613" i="2"/>
  <c r="AN613" i="2"/>
  <c r="AM613" i="2"/>
  <c r="AD613" i="2" s="1"/>
  <c r="AL613" i="2"/>
  <c r="AJ613" i="2"/>
  <c r="AG613" i="2"/>
  <c r="AF613" i="2"/>
  <c r="AC613" i="2"/>
  <c r="AB613" i="2"/>
  <c r="V613" i="2"/>
  <c r="BQ612" i="2"/>
  <c r="AP612" i="2"/>
  <c r="AG612" i="2" s="1"/>
  <c r="AO612" i="2"/>
  <c r="AN612" i="2"/>
  <c r="AM612" i="2"/>
  <c r="AL612" i="2"/>
  <c r="AJ612" i="2"/>
  <c r="AF612" i="2"/>
  <c r="AE612" i="2"/>
  <c r="AC612" i="2"/>
  <c r="AB612" i="2"/>
  <c r="V612" i="2"/>
  <c r="BQ611" i="2"/>
  <c r="AP611" i="2"/>
  <c r="AO611" i="2"/>
  <c r="AN611" i="2"/>
  <c r="AM611" i="2"/>
  <c r="AD611" i="2" s="1"/>
  <c r="AL611" i="2"/>
  <c r="AJ611" i="2"/>
  <c r="AG611" i="2"/>
  <c r="AF611" i="2"/>
  <c r="AC611" i="2"/>
  <c r="AB611" i="2"/>
  <c r="V611" i="2"/>
  <c r="BQ610" i="2"/>
  <c r="AQ610" i="2"/>
  <c r="AP610" i="2"/>
  <c r="AG610" i="2" s="1"/>
  <c r="AO610" i="2"/>
  <c r="AN610" i="2"/>
  <c r="AM610" i="2"/>
  <c r="AD610" i="2" s="1"/>
  <c r="AL610" i="2"/>
  <c r="AJ610" i="2"/>
  <c r="AH610" i="2"/>
  <c r="AF610" i="2"/>
  <c r="AE610" i="2"/>
  <c r="AC610" i="2"/>
  <c r="AB610" i="2"/>
  <c r="V610" i="2"/>
  <c r="BQ609" i="2"/>
  <c r="AP609" i="2"/>
  <c r="AO609" i="2"/>
  <c r="AN609" i="2"/>
  <c r="AM609" i="2"/>
  <c r="AL609" i="2"/>
  <c r="AJ609" i="2"/>
  <c r="AG609" i="2"/>
  <c r="AF609" i="2"/>
  <c r="AE609" i="2"/>
  <c r="AC609" i="2"/>
  <c r="AB609" i="2"/>
  <c r="V609" i="2"/>
  <c r="BQ608" i="2"/>
  <c r="AQ608" i="2"/>
  <c r="AH608" i="2" s="1"/>
  <c r="AP608" i="2"/>
  <c r="AO608" i="2"/>
  <c r="AN608" i="2"/>
  <c r="AE608" i="2" s="1"/>
  <c r="AM608" i="2"/>
  <c r="AD608" i="2" s="1"/>
  <c r="AL608" i="2"/>
  <c r="AJ608" i="2"/>
  <c r="AG608" i="2"/>
  <c r="AF608" i="2"/>
  <c r="AC608" i="2"/>
  <c r="AB608" i="2"/>
  <c r="V608" i="2"/>
  <c r="BQ607" i="2"/>
  <c r="AQ607" i="2"/>
  <c r="AH607" i="2" s="1"/>
  <c r="AP607" i="2"/>
  <c r="AG607" i="2" s="1"/>
  <c r="AO607" i="2"/>
  <c r="AN607" i="2"/>
  <c r="AE607" i="2" s="1"/>
  <c r="AM607" i="2"/>
  <c r="AD607" i="2" s="1"/>
  <c r="AL607" i="2"/>
  <c r="AJ607" i="2"/>
  <c r="AF607" i="2"/>
  <c r="AC607" i="2"/>
  <c r="AB607" i="2"/>
  <c r="V607" i="2"/>
  <c r="BQ606" i="2"/>
  <c r="AP606" i="2"/>
  <c r="AO606" i="2"/>
  <c r="AN606" i="2"/>
  <c r="AM606" i="2"/>
  <c r="AD606" i="2" s="1"/>
  <c r="AL606" i="2"/>
  <c r="AJ606" i="2"/>
  <c r="AG606" i="2"/>
  <c r="AF606" i="2"/>
  <c r="AE606" i="2"/>
  <c r="AC606" i="2"/>
  <c r="AB606" i="2"/>
  <c r="V606" i="2"/>
  <c r="BQ605" i="2"/>
  <c r="AP605" i="2"/>
  <c r="AO605" i="2"/>
  <c r="AN605" i="2"/>
  <c r="AQ605" i="2" s="1"/>
  <c r="AH605" i="2" s="1"/>
  <c r="AM605" i="2"/>
  <c r="AD605" i="2" s="1"/>
  <c r="AL605" i="2"/>
  <c r="AJ605" i="2"/>
  <c r="AG605" i="2"/>
  <c r="AF605" i="2"/>
  <c r="AE605" i="2"/>
  <c r="AC605" i="2"/>
  <c r="AB605" i="2"/>
  <c r="V605" i="2"/>
  <c r="BQ604" i="2"/>
  <c r="AP604" i="2"/>
  <c r="AG604" i="2" s="1"/>
  <c r="AO604" i="2"/>
  <c r="AN604" i="2"/>
  <c r="AM604" i="2"/>
  <c r="AL604" i="2"/>
  <c r="AJ604" i="2"/>
  <c r="AF604" i="2"/>
  <c r="AE604" i="2"/>
  <c r="AC604" i="2"/>
  <c r="AB604" i="2"/>
  <c r="V604" i="2"/>
  <c r="BQ603" i="2"/>
  <c r="AQ603" i="2"/>
  <c r="AH603" i="2" s="1"/>
  <c r="AP603" i="2"/>
  <c r="AO603" i="2"/>
  <c r="AN603" i="2"/>
  <c r="AE603" i="2" s="1"/>
  <c r="AM603" i="2"/>
  <c r="AD603" i="2" s="1"/>
  <c r="AL603" i="2"/>
  <c r="AJ603" i="2"/>
  <c r="AG603" i="2"/>
  <c r="AF603" i="2"/>
  <c r="AC603" i="2"/>
  <c r="AB603" i="2"/>
  <c r="V603" i="2"/>
  <c r="BQ602" i="2"/>
  <c r="AP602" i="2"/>
  <c r="AG602" i="2" s="1"/>
  <c r="AO602" i="2"/>
  <c r="AN602" i="2"/>
  <c r="AE602" i="2" s="1"/>
  <c r="AM602" i="2"/>
  <c r="AD602" i="2" s="1"/>
  <c r="AL602" i="2"/>
  <c r="AJ602" i="2"/>
  <c r="AF602" i="2"/>
  <c r="AC602" i="2"/>
  <c r="AB602" i="2"/>
  <c r="V602" i="2"/>
  <c r="BQ601" i="2"/>
  <c r="AP601" i="2"/>
  <c r="AO601" i="2"/>
  <c r="AN601" i="2"/>
  <c r="AE601" i="2" s="1"/>
  <c r="AM601" i="2"/>
  <c r="AD601" i="2" s="1"/>
  <c r="AL601" i="2"/>
  <c r="AJ601" i="2"/>
  <c r="AG601" i="2"/>
  <c r="AF601" i="2"/>
  <c r="AC601" i="2"/>
  <c r="AB601" i="2"/>
  <c r="V601" i="2"/>
  <c r="BQ600" i="2"/>
  <c r="AP600" i="2"/>
  <c r="AG600" i="2" s="1"/>
  <c r="AO600" i="2"/>
  <c r="AN600" i="2"/>
  <c r="AM600" i="2"/>
  <c r="AD600" i="2" s="1"/>
  <c r="AL600" i="2"/>
  <c r="AJ600" i="2"/>
  <c r="AF600" i="2"/>
  <c r="AE600" i="2"/>
  <c r="AC600" i="2"/>
  <c r="AB600" i="2"/>
  <c r="V600" i="2"/>
  <c r="BQ599" i="2"/>
  <c r="AP599" i="2"/>
  <c r="AG599" i="2" s="1"/>
  <c r="AO599" i="2"/>
  <c r="AN599" i="2"/>
  <c r="AM599" i="2"/>
  <c r="AL599" i="2"/>
  <c r="AJ599" i="2"/>
  <c r="AF599" i="2"/>
  <c r="AE599" i="2"/>
  <c r="AC599" i="2"/>
  <c r="AB599" i="2"/>
  <c r="V599" i="2"/>
  <c r="BQ598" i="2"/>
  <c r="AP598" i="2"/>
  <c r="AG598" i="2" s="1"/>
  <c r="AO598" i="2"/>
  <c r="AN598" i="2"/>
  <c r="AM598" i="2"/>
  <c r="AD598" i="2" s="1"/>
  <c r="AL598" i="2"/>
  <c r="AJ598" i="2"/>
  <c r="AF598" i="2"/>
  <c r="AC598" i="2"/>
  <c r="AB598" i="2"/>
  <c r="V598" i="2"/>
  <c r="BQ597" i="2"/>
  <c r="AP597" i="2"/>
  <c r="AO597" i="2"/>
  <c r="AN597" i="2"/>
  <c r="AM597" i="2"/>
  <c r="AD597" i="2" s="1"/>
  <c r="AL597" i="2"/>
  <c r="AJ597" i="2"/>
  <c r="AG597" i="2"/>
  <c r="AF597" i="2"/>
  <c r="AE597" i="2"/>
  <c r="AC597" i="2"/>
  <c r="AB597" i="2"/>
  <c r="V597" i="2"/>
  <c r="BQ596" i="2"/>
  <c r="AP596" i="2"/>
  <c r="AO596" i="2"/>
  <c r="AN596" i="2"/>
  <c r="AM596" i="2"/>
  <c r="AL596" i="2"/>
  <c r="AJ596" i="2"/>
  <c r="AG596" i="2"/>
  <c r="AF596" i="2"/>
  <c r="AE596" i="2"/>
  <c r="AC596" i="2"/>
  <c r="AB596" i="2"/>
  <c r="V596" i="2"/>
  <c r="BQ595" i="2"/>
  <c r="AP595" i="2"/>
  <c r="AO595" i="2"/>
  <c r="AN595" i="2"/>
  <c r="AQ595" i="2" s="1"/>
  <c r="AH595" i="2" s="1"/>
  <c r="AM595" i="2"/>
  <c r="AD595" i="2" s="1"/>
  <c r="AL595" i="2"/>
  <c r="AJ595" i="2"/>
  <c r="AG595" i="2"/>
  <c r="AF595" i="2"/>
  <c r="AE595" i="2"/>
  <c r="AC595" i="2"/>
  <c r="AB595" i="2"/>
  <c r="V595" i="2"/>
  <c r="BQ594" i="2"/>
  <c r="AQ594" i="2"/>
  <c r="AH594" i="2" s="1"/>
  <c r="AP594" i="2"/>
  <c r="AO594" i="2"/>
  <c r="AN594" i="2"/>
  <c r="AM594" i="2"/>
  <c r="AD594" i="2" s="1"/>
  <c r="AL594" i="2"/>
  <c r="AJ594" i="2"/>
  <c r="AG594" i="2"/>
  <c r="AF594" i="2"/>
  <c r="AE594" i="2"/>
  <c r="AC594" i="2"/>
  <c r="AB594" i="2"/>
  <c r="V594" i="2"/>
  <c r="BQ593" i="2"/>
  <c r="AP593" i="2"/>
  <c r="AO593" i="2"/>
  <c r="AN593" i="2"/>
  <c r="AM593" i="2"/>
  <c r="AD593" i="2" s="1"/>
  <c r="AL593" i="2"/>
  <c r="AJ593" i="2"/>
  <c r="AF593" i="2"/>
  <c r="AE593" i="2"/>
  <c r="AC593" i="2"/>
  <c r="AB593" i="2"/>
  <c r="V593" i="2"/>
  <c r="BQ592" i="2"/>
  <c r="AP592" i="2"/>
  <c r="AO592" i="2"/>
  <c r="AN592" i="2"/>
  <c r="AM592" i="2"/>
  <c r="AD592" i="2" s="1"/>
  <c r="AL592" i="2"/>
  <c r="AJ592" i="2"/>
  <c r="AG592" i="2"/>
  <c r="AF592" i="2"/>
  <c r="AC592" i="2"/>
  <c r="AB592" i="2"/>
  <c r="V592" i="2"/>
  <c r="BQ591" i="2"/>
  <c r="AP591" i="2"/>
  <c r="AG591" i="2" s="1"/>
  <c r="AO591" i="2"/>
  <c r="AN591" i="2"/>
  <c r="AM591" i="2"/>
  <c r="AL591" i="2"/>
  <c r="AJ591" i="2"/>
  <c r="AF591" i="2"/>
  <c r="AE591" i="2"/>
  <c r="AC591" i="2"/>
  <c r="AB591" i="2"/>
  <c r="V591" i="2"/>
  <c r="BQ590" i="2"/>
  <c r="AP590" i="2"/>
  <c r="AO590" i="2"/>
  <c r="AN590" i="2"/>
  <c r="AM590" i="2"/>
  <c r="AL590" i="2"/>
  <c r="AJ590" i="2"/>
  <c r="AG590" i="2"/>
  <c r="AF590" i="2"/>
  <c r="AE590" i="2"/>
  <c r="AC590" i="2"/>
  <c r="AB590" i="2"/>
  <c r="V590" i="2"/>
  <c r="BQ589" i="2"/>
  <c r="AP589" i="2"/>
  <c r="AO589" i="2"/>
  <c r="AN589" i="2"/>
  <c r="AQ589" i="2" s="1"/>
  <c r="AH589" i="2" s="1"/>
  <c r="AM589" i="2"/>
  <c r="AD589" i="2" s="1"/>
  <c r="AL589" i="2"/>
  <c r="AJ589" i="2"/>
  <c r="AG589" i="2"/>
  <c r="AF589" i="2"/>
  <c r="AC589" i="2"/>
  <c r="AB589" i="2"/>
  <c r="V589" i="2"/>
  <c r="BQ588" i="2"/>
  <c r="AP588" i="2"/>
  <c r="AG588" i="2" s="1"/>
  <c r="AO588" i="2"/>
  <c r="AN588" i="2"/>
  <c r="AM588" i="2"/>
  <c r="AL588" i="2"/>
  <c r="AJ588" i="2"/>
  <c r="AF588" i="2"/>
  <c r="AE588" i="2"/>
  <c r="AD588" i="2"/>
  <c r="AC588" i="2"/>
  <c r="AB588" i="2"/>
  <c r="V588" i="2"/>
  <c r="BQ587" i="2"/>
  <c r="AP587" i="2"/>
  <c r="AG587" i="2" s="1"/>
  <c r="AO587" i="2"/>
  <c r="AN587" i="2"/>
  <c r="AQ587" i="2" s="1"/>
  <c r="AH587" i="2" s="1"/>
  <c r="AM587" i="2"/>
  <c r="AL587" i="2"/>
  <c r="AJ587" i="2"/>
  <c r="AF587" i="2"/>
  <c r="AD587" i="2"/>
  <c r="AC587" i="2"/>
  <c r="AB587" i="2"/>
  <c r="V587" i="2"/>
  <c r="BQ586" i="2"/>
  <c r="AQ586" i="2"/>
  <c r="AH586" i="2" s="1"/>
  <c r="AP586" i="2"/>
  <c r="AG586" i="2" s="1"/>
  <c r="AO586" i="2"/>
  <c r="AN586" i="2"/>
  <c r="AM586" i="2"/>
  <c r="AD586" i="2" s="1"/>
  <c r="AL586" i="2"/>
  <c r="AJ586" i="2"/>
  <c r="AF586" i="2"/>
  <c r="AE586" i="2"/>
  <c r="AC586" i="2"/>
  <c r="AB586" i="2"/>
  <c r="V586" i="2"/>
  <c r="BQ585" i="2"/>
  <c r="AP585" i="2"/>
  <c r="AO585" i="2"/>
  <c r="AN585" i="2"/>
  <c r="AM585" i="2"/>
  <c r="AL585" i="2"/>
  <c r="AJ585" i="2"/>
  <c r="AF585" i="2"/>
  <c r="AE585" i="2"/>
  <c r="AD585" i="2"/>
  <c r="AC585" i="2"/>
  <c r="AB585" i="2"/>
  <c r="V585" i="2"/>
  <c r="BQ584" i="2"/>
  <c r="AP584" i="2"/>
  <c r="AG584" i="2" s="1"/>
  <c r="AO584" i="2"/>
  <c r="AN584" i="2"/>
  <c r="AQ584" i="2" s="1"/>
  <c r="AH584" i="2" s="1"/>
  <c r="AM584" i="2"/>
  <c r="AL584" i="2"/>
  <c r="AJ584" i="2"/>
  <c r="AF584" i="2"/>
  <c r="AE584" i="2"/>
  <c r="AD584" i="2"/>
  <c r="AC584" i="2"/>
  <c r="AB584" i="2"/>
  <c r="V584" i="2"/>
  <c r="BQ583" i="2"/>
  <c r="AP583" i="2"/>
  <c r="AG583" i="2" s="1"/>
  <c r="AO583" i="2"/>
  <c r="AN583" i="2"/>
  <c r="AE583" i="2" s="1"/>
  <c r="AM583" i="2"/>
  <c r="AL583" i="2"/>
  <c r="AJ583" i="2"/>
  <c r="AF583" i="2"/>
  <c r="AC583" i="2"/>
  <c r="AB583" i="2"/>
  <c r="V583" i="2"/>
  <c r="BQ582" i="2"/>
  <c r="AP582" i="2"/>
  <c r="AG582" i="2" s="1"/>
  <c r="AO582" i="2"/>
  <c r="AN582" i="2"/>
  <c r="AE582" i="2" s="1"/>
  <c r="AM582" i="2"/>
  <c r="AL582" i="2"/>
  <c r="AJ582" i="2"/>
  <c r="AF582" i="2"/>
  <c r="AC582" i="2"/>
  <c r="AB582" i="2"/>
  <c r="V582" i="2"/>
  <c r="BQ581" i="2"/>
  <c r="AQ581" i="2"/>
  <c r="AH581" i="2" s="1"/>
  <c r="AP581" i="2"/>
  <c r="AG581" i="2" s="1"/>
  <c r="AO581" i="2"/>
  <c r="AN581" i="2"/>
  <c r="AM581" i="2"/>
  <c r="AD581" i="2" s="1"/>
  <c r="AL581" i="2"/>
  <c r="AJ581" i="2"/>
  <c r="AF581" i="2"/>
  <c r="AE581" i="2"/>
  <c r="AC581" i="2"/>
  <c r="AB581" i="2"/>
  <c r="V581" i="2"/>
  <c r="BQ580" i="2"/>
  <c r="AP580" i="2"/>
  <c r="AG580" i="2" s="1"/>
  <c r="AO580" i="2"/>
  <c r="AN580" i="2"/>
  <c r="AE580" i="2" s="1"/>
  <c r="AM580" i="2"/>
  <c r="AL580" i="2"/>
  <c r="AJ580" i="2"/>
  <c r="AF580" i="2"/>
  <c r="AD580" i="2"/>
  <c r="AC580" i="2"/>
  <c r="AB580" i="2"/>
  <c r="V580" i="2"/>
  <c r="BQ579" i="2"/>
  <c r="AQ579" i="2"/>
  <c r="AH579" i="2" s="1"/>
  <c r="AP579" i="2"/>
  <c r="AG579" i="2" s="1"/>
  <c r="AO579" i="2"/>
  <c r="AN579" i="2"/>
  <c r="AM579" i="2"/>
  <c r="AD579" i="2" s="1"/>
  <c r="AL579" i="2"/>
  <c r="AJ579" i="2"/>
  <c r="AF579" i="2"/>
  <c r="AE579" i="2"/>
  <c r="AC579" i="2"/>
  <c r="AB579" i="2"/>
  <c r="V579" i="2"/>
  <c r="BQ578" i="2"/>
  <c r="AP578" i="2"/>
  <c r="AG578" i="2" s="1"/>
  <c r="AO578" i="2"/>
  <c r="AN578" i="2"/>
  <c r="AM578" i="2"/>
  <c r="AL578" i="2"/>
  <c r="AJ578" i="2"/>
  <c r="AF578" i="2"/>
  <c r="AD578" i="2"/>
  <c r="AC578" i="2"/>
  <c r="AB578" i="2"/>
  <c r="V578" i="2"/>
  <c r="BQ577" i="2"/>
  <c r="AP577" i="2"/>
  <c r="AG577" i="2" s="1"/>
  <c r="AO577" i="2"/>
  <c r="AN577" i="2"/>
  <c r="AE577" i="2" s="1"/>
  <c r="AM577" i="2"/>
  <c r="AL577" i="2"/>
  <c r="AJ577" i="2"/>
  <c r="AF577" i="2"/>
  <c r="AC577" i="2"/>
  <c r="AB577" i="2"/>
  <c r="V577" i="2"/>
  <c r="BQ576" i="2"/>
  <c r="AP576" i="2"/>
  <c r="AG576" i="2" s="1"/>
  <c r="AO576" i="2"/>
  <c r="AN576" i="2"/>
  <c r="AM576" i="2"/>
  <c r="AQ576" i="2" s="1"/>
  <c r="AH576" i="2" s="1"/>
  <c r="AL576" i="2"/>
  <c r="AJ576" i="2"/>
  <c r="AF576" i="2"/>
  <c r="AE576" i="2"/>
  <c r="AC576" i="2"/>
  <c r="AB576" i="2"/>
  <c r="V576" i="2"/>
  <c r="BQ575" i="2"/>
  <c r="AP575" i="2"/>
  <c r="AG575" i="2" s="1"/>
  <c r="AO575" i="2"/>
  <c r="AN575" i="2"/>
  <c r="AM575" i="2"/>
  <c r="AQ575" i="2" s="1"/>
  <c r="AH575" i="2" s="1"/>
  <c r="AL575" i="2"/>
  <c r="AJ575" i="2"/>
  <c r="AF575" i="2"/>
  <c r="AE575" i="2"/>
  <c r="AC575" i="2"/>
  <c r="AB575" i="2"/>
  <c r="V575" i="2"/>
  <c r="BQ574" i="2"/>
  <c r="AP574" i="2"/>
  <c r="AG574" i="2" s="1"/>
  <c r="AO574" i="2"/>
  <c r="AN574" i="2"/>
  <c r="AQ574" i="2" s="1"/>
  <c r="AH574" i="2" s="1"/>
  <c r="AM574" i="2"/>
  <c r="AL574" i="2"/>
  <c r="AJ574" i="2"/>
  <c r="AF574" i="2"/>
  <c r="AD574" i="2"/>
  <c r="AC574" i="2"/>
  <c r="AB574" i="2"/>
  <c r="V574" i="2"/>
  <c r="BQ573" i="2"/>
  <c r="AQ573" i="2"/>
  <c r="AP573" i="2"/>
  <c r="AG573" i="2" s="1"/>
  <c r="AO573" i="2"/>
  <c r="AN573" i="2"/>
  <c r="AM573" i="2"/>
  <c r="AD573" i="2" s="1"/>
  <c r="AL573" i="2"/>
  <c r="AJ573" i="2"/>
  <c r="AH573" i="2"/>
  <c r="AF573" i="2"/>
  <c r="AE573" i="2"/>
  <c r="AC573" i="2"/>
  <c r="AB573" i="2"/>
  <c r="V573" i="2"/>
  <c r="BQ572" i="2"/>
  <c r="AP572" i="2"/>
  <c r="AG572" i="2" s="1"/>
  <c r="AO572" i="2"/>
  <c r="AN572" i="2"/>
  <c r="AM572" i="2"/>
  <c r="AL572" i="2"/>
  <c r="AJ572" i="2"/>
  <c r="AF572" i="2"/>
  <c r="AE572" i="2"/>
  <c r="AD572" i="2"/>
  <c r="AC572" i="2"/>
  <c r="AB572" i="2"/>
  <c r="V572" i="2"/>
  <c r="BQ571" i="2"/>
  <c r="AQ571" i="2"/>
  <c r="AH571" i="2" s="1"/>
  <c r="AP571" i="2"/>
  <c r="AG571" i="2" s="1"/>
  <c r="AO571" i="2"/>
  <c r="AN571" i="2"/>
  <c r="AE571" i="2" s="1"/>
  <c r="AM571" i="2"/>
  <c r="AL571" i="2"/>
  <c r="AJ571" i="2"/>
  <c r="AF571" i="2"/>
  <c r="AD571" i="2"/>
  <c r="AC571" i="2"/>
  <c r="AB571" i="2"/>
  <c r="V571" i="2"/>
  <c r="BQ570" i="2"/>
  <c r="AQ570" i="2"/>
  <c r="AH570" i="2" s="1"/>
  <c r="AP570" i="2"/>
  <c r="AG570" i="2" s="1"/>
  <c r="AO570" i="2"/>
  <c r="AN570" i="2"/>
  <c r="AM570" i="2"/>
  <c r="AD570" i="2" s="1"/>
  <c r="AL570" i="2"/>
  <c r="AJ570" i="2"/>
  <c r="AF570" i="2"/>
  <c r="AE570" i="2"/>
  <c r="AC570" i="2"/>
  <c r="AB570" i="2"/>
  <c r="V570" i="2"/>
  <c r="BQ569" i="2"/>
  <c r="AP569" i="2"/>
  <c r="AG569" i="2" s="1"/>
  <c r="AO569" i="2"/>
  <c r="AN569" i="2"/>
  <c r="AM569" i="2"/>
  <c r="AL569" i="2"/>
  <c r="AJ569" i="2"/>
  <c r="AF569" i="2"/>
  <c r="AE569" i="2"/>
  <c r="AD569" i="2"/>
  <c r="AC569" i="2"/>
  <c r="AB569" i="2"/>
  <c r="V569" i="2"/>
  <c r="BQ568" i="2"/>
  <c r="AP568" i="2"/>
  <c r="AG568" i="2" s="1"/>
  <c r="AO568" i="2"/>
  <c r="AN568" i="2"/>
  <c r="AQ568" i="2" s="1"/>
  <c r="AH568" i="2" s="1"/>
  <c r="AM568" i="2"/>
  <c r="AL568" i="2"/>
  <c r="AJ568" i="2"/>
  <c r="AF568" i="2"/>
  <c r="AE568" i="2"/>
  <c r="AD568" i="2"/>
  <c r="AC568" i="2"/>
  <c r="AB568" i="2"/>
  <c r="V568" i="2"/>
  <c r="BQ567" i="2"/>
  <c r="AP567" i="2"/>
  <c r="AG567" i="2" s="1"/>
  <c r="AO567" i="2"/>
  <c r="AN567" i="2"/>
  <c r="AE567" i="2" s="1"/>
  <c r="AM567" i="2"/>
  <c r="AL567" i="2"/>
  <c r="AJ567" i="2"/>
  <c r="AF567" i="2"/>
  <c r="AC567" i="2"/>
  <c r="AB567" i="2"/>
  <c r="V567" i="2"/>
  <c r="BQ566" i="2"/>
  <c r="AP566" i="2"/>
  <c r="AG566" i="2" s="1"/>
  <c r="AO566" i="2"/>
  <c r="AN566" i="2"/>
  <c r="AE566" i="2" s="1"/>
  <c r="AM566" i="2"/>
  <c r="AL566" i="2"/>
  <c r="AJ566" i="2"/>
  <c r="AF566" i="2"/>
  <c r="AC566" i="2"/>
  <c r="AB566" i="2"/>
  <c r="V566" i="2"/>
  <c r="BQ565" i="2"/>
  <c r="AQ565" i="2"/>
  <c r="AH565" i="2" s="1"/>
  <c r="AP565" i="2"/>
  <c r="AG565" i="2" s="1"/>
  <c r="AO565" i="2"/>
  <c r="AN565" i="2"/>
  <c r="AM565" i="2"/>
  <c r="AD565" i="2" s="1"/>
  <c r="AL565" i="2"/>
  <c r="AJ565" i="2"/>
  <c r="AF565" i="2"/>
  <c r="AE565" i="2"/>
  <c r="AC565" i="2"/>
  <c r="AB565" i="2"/>
  <c r="V565" i="2"/>
  <c r="BQ564" i="2"/>
  <c r="AQ564" i="2"/>
  <c r="AH564" i="2" s="1"/>
  <c r="AP564" i="2"/>
  <c r="AG564" i="2" s="1"/>
  <c r="AO564" i="2"/>
  <c r="AN564" i="2"/>
  <c r="AE564" i="2" s="1"/>
  <c r="AM564" i="2"/>
  <c r="AL564" i="2"/>
  <c r="AJ564" i="2"/>
  <c r="AF564" i="2"/>
  <c r="AD564" i="2"/>
  <c r="AC564" i="2"/>
  <c r="AB564" i="2"/>
  <c r="V564" i="2"/>
  <c r="BQ563" i="2"/>
  <c r="AP563" i="2"/>
  <c r="AG563" i="2" s="1"/>
  <c r="AO563" i="2"/>
  <c r="AN563" i="2"/>
  <c r="AM563" i="2"/>
  <c r="AL563" i="2"/>
  <c r="AJ563" i="2"/>
  <c r="AF563" i="2"/>
  <c r="AE563" i="2"/>
  <c r="AC563" i="2"/>
  <c r="AB563" i="2"/>
  <c r="V563" i="2"/>
  <c r="BQ562" i="2"/>
  <c r="AP562" i="2"/>
  <c r="AG562" i="2" s="1"/>
  <c r="AO562" i="2"/>
  <c r="AN562" i="2"/>
  <c r="AM562" i="2"/>
  <c r="AL562" i="2"/>
  <c r="AJ562" i="2"/>
  <c r="AF562" i="2"/>
  <c r="AD562" i="2"/>
  <c r="AC562" i="2"/>
  <c r="AB562" i="2"/>
  <c r="V562" i="2"/>
  <c r="BQ561" i="2"/>
  <c r="AP561" i="2"/>
  <c r="AG561" i="2" s="1"/>
  <c r="AO561" i="2"/>
  <c r="AN561" i="2"/>
  <c r="AE561" i="2" s="1"/>
  <c r="AM561" i="2"/>
  <c r="AL561" i="2"/>
  <c r="AJ561" i="2"/>
  <c r="AF561" i="2"/>
  <c r="AC561" i="2"/>
  <c r="AB561" i="2"/>
  <c r="V561" i="2"/>
  <c r="BQ560" i="2"/>
  <c r="AP560" i="2"/>
  <c r="AG560" i="2" s="1"/>
  <c r="AO560" i="2"/>
  <c r="AN560" i="2"/>
  <c r="AM560" i="2"/>
  <c r="AQ560" i="2" s="1"/>
  <c r="AH560" i="2" s="1"/>
  <c r="AL560" i="2"/>
  <c r="AJ560" i="2"/>
  <c r="AF560" i="2"/>
  <c r="AE560" i="2"/>
  <c r="AC560" i="2"/>
  <c r="AB560" i="2"/>
  <c r="V560" i="2"/>
  <c r="BQ559" i="2"/>
  <c r="AP559" i="2"/>
  <c r="AG559" i="2" s="1"/>
  <c r="AO559" i="2"/>
  <c r="AN559" i="2"/>
  <c r="AM559" i="2"/>
  <c r="AQ559" i="2" s="1"/>
  <c r="AH559" i="2" s="1"/>
  <c r="AL559" i="2"/>
  <c r="AJ559" i="2"/>
  <c r="AF559" i="2"/>
  <c r="AE559" i="2"/>
  <c r="AD559" i="2"/>
  <c r="AC559" i="2"/>
  <c r="AB559" i="2"/>
  <c r="V559" i="2"/>
  <c r="BQ558" i="2"/>
  <c r="AP558" i="2"/>
  <c r="AG558" i="2" s="1"/>
  <c r="AO558" i="2"/>
  <c r="AN558" i="2"/>
  <c r="AQ558" i="2" s="1"/>
  <c r="AH558" i="2" s="1"/>
  <c r="AM558" i="2"/>
  <c r="AL558" i="2"/>
  <c r="AJ558" i="2"/>
  <c r="AF558" i="2"/>
  <c r="AD558" i="2"/>
  <c r="AC558" i="2"/>
  <c r="AB558" i="2"/>
  <c r="V558" i="2"/>
  <c r="BQ557" i="2"/>
  <c r="AQ557" i="2"/>
  <c r="AP557" i="2"/>
  <c r="AG557" i="2" s="1"/>
  <c r="AO557" i="2"/>
  <c r="AN557" i="2"/>
  <c r="AM557" i="2"/>
  <c r="AD557" i="2" s="1"/>
  <c r="AL557" i="2"/>
  <c r="AJ557" i="2"/>
  <c r="AH557" i="2"/>
  <c r="AF557" i="2"/>
  <c r="AE557" i="2"/>
  <c r="AC557" i="2"/>
  <c r="AB557" i="2"/>
  <c r="V557" i="2"/>
  <c r="BQ556" i="2"/>
  <c r="AP556" i="2"/>
  <c r="AG556" i="2" s="1"/>
  <c r="AO556" i="2"/>
  <c r="AN556" i="2"/>
  <c r="AM556" i="2"/>
  <c r="AL556" i="2"/>
  <c r="AJ556" i="2"/>
  <c r="AF556" i="2"/>
  <c r="AE556" i="2"/>
  <c r="AD556" i="2"/>
  <c r="AC556" i="2"/>
  <c r="AB556" i="2"/>
  <c r="V556" i="2"/>
  <c r="BQ555" i="2"/>
  <c r="AQ555" i="2"/>
  <c r="AH555" i="2" s="1"/>
  <c r="AP555" i="2"/>
  <c r="AG555" i="2" s="1"/>
  <c r="AO555" i="2"/>
  <c r="AN555" i="2"/>
  <c r="AM555" i="2"/>
  <c r="AL555" i="2"/>
  <c r="AJ555" i="2"/>
  <c r="AF555" i="2"/>
  <c r="AE555" i="2"/>
  <c r="AD555" i="2"/>
  <c r="AC555" i="2"/>
  <c r="AB555" i="2"/>
  <c r="V555" i="2"/>
  <c r="BQ554" i="2"/>
  <c r="AQ554" i="2"/>
  <c r="AH554" i="2" s="1"/>
  <c r="AP554" i="2"/>
  <c r="AG554" i="2" s="1"/>
  <c r="AO554" i="2"/>
  <c r="AN554" i="2"/>
  <c r="AM554" i="2"/>
  <c r="AD554" i="2" s="1"/>
  <c r="AL554" i="2"/>
  <c r="AJ554" i="2"/>
  <c r="AF554" i="2"/>
  <c r="AE554" i="2"/>
  <c r="AC554" i="2"/>
  <c r="AB554" i="2"/>
  <c r="V554" i="2"/>
  <c r="BQ553" i="2"/>
  <c r="AP553" i="2"/>
  <c r="AG553" i="2" s="1"/>
  <c r="AO553" i="2"/>
  <c r="AN553" i="2"/>
  <c r="AM553" i="2"/>
  <c r="AQ553" i="2" s="1"/>
  <c r="AH553" i="2" s="1"/>
  <c r="AL553" i="2"/>
  <c r="AJ553" i="2"/>
  <c r="AF553" i="2"/>
  <c r="AE553" i="2"/>
  <c r="AD553" i="2"/>
  <c r="AC553" i="2"/>
  <c r="AB553" i="2"/>
  <c r="V553" i="2"/>
  <c r="BQ552" i="2"/>
  <c r="AP552" i="2"/>
  <c r="AG552" i="2" s="1"/>
  <c r="AO552" i="2"/>
  <c r="AN552" i="2"/>
  <c r="AQ552" i="2" s="1"/>
  <c r="AH552" i="2" s="1"/>
  <c r="AM552" i="2"/>
  <c r="AL552" i="2"/>
  <c r="AJ552" i="2"/>
  <c r="AF552" i="2"/>
  <c r="AE552" i="2"/>
  <c r="AD552" i="2"/>
  <c r="AC552" i="2"/>
  <c r="AB552" i="2"/>
  <c r="V552" i="2"/>
  <c r="BQ551" i="2"/>
  <c r="AP551" i="2"/>
  <c r="AG551" i="2" s="1"/>
  <c r="AO551" i="2"/>
  <c r="AN551" i="2"/>
  <c r="AE551" i="2" s="1"/>
  <c r="AM551" i="2"/>
  <c r="AL551" i="2"/>
  <c r="AJ551" i="2"/>
  <c r="AF551" i="2"/>
  <c r="AC551" i="2"/>
  <c r="AB551" i="2"/>
  <c r="V551" i="2"/>
  <c r="BQ550" i="2"/>
  <c r="AP550" i="2"/>
  <c r="AG550" i="2" s="1"/>
  <c r="AO550" i="2"/>
  <c r="AN550" i="2"/>
  <c r="AE550" i="2" s="1"/>
  <c r="AM550" i="2"/>
  <c r="AL550" i="2"/>
  <c r="AJ550" i="2"/>
  <c r="AF550" i="2"/>
  <c r="AC550" i="2"/>
  <c r="AB550" i="2"/>
  <c r="V550" i="2"/>
  <c r="BQ549" i="2"/>
  <c r="AQ549" i="2"/>
  <c r="AH549" i="2" s="1"/>
  <c r="AP549" i="2"/>
  <c r="AG549" i="2" s="1"/>
  <c r="AO549" i="2"/>
  <c r="AN549" i="2"/>
  <c r="AM549" i="2"/>
  <c r="AD549" i="2" s="1"/>
  <c r="AL549" i="2"/>
  <c r="AJ549" i="2"/>
  <c r="AF549" i="2"/>
  <c r="AE549" i="2"/>
  <c r="AC549" i="2"/>
  <c r="AB549" i="2"/>
  <c r="V549" i="2"/>
  <c r="BQ548" i="2"/>
  <c r="AP548" i="2"/>
  <c r="AG548" i="2" s="1"/>
  <c r="AO548" i="2"/>
  <c r="AN548" i="2"/>
  <c r="AM548" i="2"/>
  <c r="AL548" i="2"/>
  <c r="AJ548" i="2"/>
  <c r="AF548" i="2"/>
  <c r="AD548" i="2"/>
  <c r="AC548" i="2"/>
  <c r="AB548" i="2"/>
  <c r="V548" i="2"/>
  <c r="BQ547" i="2"/>
  <c r="AP547" i="2"/>
  <c r="AG547" i="2" s="1"/>
  <c r="AO547" i="2"/>
  <c r="AN547" i="2"/>
  <c r="AM547" i="2"/>
  <c r="AD547" i="2" s="1"/>
  <c r="AL547" i="2"/>
  <c r="AJ547" i="2"/>
  <c r="AF547" i="2"/>
  <c r="AE547" i="2"/>
  <c r="AC547" i="2"/>
  <c r="AB547" i="2"/>
  <c r="V547" i="2"/>
  <c r="BQ546" i="2"/>
  <c r="AP546" i="2"/>
  <c r="AG546" i="2" s="1"/>
  <c r="AO546" i="2"/>
  <c r="AN546" i="2"/>
  <c r="AM546" i="2"/>
  <c r="AL546" i="2"/>
  <c r="AJ546" i="2"/>
  <c r="AF546" i="2"/>
  <c r="AD546" i="2"/>
  <c r="AC546" i="2"/>
  <c r="AB546" i="2"/>
  <c r="V546" i="2"/>
  <c r="BQ545" i="2"/>
  <c r="AP545" i="2"/>
  <c r="AG545" i="2" s="1"/>
  <c r="AO545" i="2"/>
  <c r="AN545" i="2"/>
  <c r="AE545" i="2" s="1"/>
  <c r="AM545" i="2"/>
  <c r="AL545" i="2"/>
  <c r="AJ545" i="2"/>
  <c r="AF545" i="2"/>
  <c r="AC545" i="2"/>
  <c r="AB545" i="2"/>
  <c r="V545" i="2"/>
  <c r="BQ544" i="2"/>
  <c r="AP544" i="2"/>
  <c r="AG544" i="2" s="1"/>
  <c r="AO544" i="2"/>
  <c r="AN544" i="2"/>
  <c r="AM544" i="2"/>
  <c r="AL544" i="2"/>
  <c r="AJ544" i="2"/>
  <c r="AF544" i="2"/>
  <c r="AE544" i="2"/>
  <c r="AC544" i="2"/>
  <c r="AB544" i="2"/>
  <c r="V544" i="2"/>
  <c r="BQ543" i="2"/>
  <c r="AP543" i="2"/>
  <c r="AG543" i="2" s="1"/>
  <c r="AO543" i="2"/>
  <c r="AN543" i="2"/>
  <c r="AM543" i="2"/>
  <c r="AQ543" i="2" s="1"/>
  <c r="AH543" i="2" s="1"/>
  <c r="AL543" i="2"/>
  <c r="AJ543" i="2"/>
  <c r="AF543" i="2"/>
  <c r="AE543" i="2"/>
  <c r="AD543" i="2"/>
  <c r="AC543" i="2"/>
  <c r="AB543" i="2"/>
  <c r="V543" i="2"/>
  <c r="BQ542" i="2"/>
  <c r="AQ542" i="2"/>
  <c r="AH542" i="2" s="1"/>
  <c r="AP542" i="2"/>
  <c r="AG542" i="2" s="1"/>
  <c r="AO542" i="2"/>
  <c r="AN542" i="2"/>
  <c r="AE542" i="2" s="1"/>
  <c r="AM542" i="2"/>
  <c r="AL542" i="2"/>
  <c r="AJ542" i="2"/>
  <c r="AF542" i="2"/>
  <c r="AD542" i="2"/>
  <c r="AC542" i="2"/>
  <c r="AB542" i="2"/>
  <c r="V542" i="2"/>
  <c r="BQ541" i="2"/>
  <c r="AP541" i="2"/>
  <c r="AG541" i="2" s="1"/>
  <c r="AO541" i="2"/>
  <c r="AN541" i="2"/>
  <c r="AM541" i="2"/>
  <c r="AQ541" i="2" s="1"/>
  <c r="AH541" i="2" s="1"/>
  <c r="AL541" i="2"/>
  <c r="AJ541" i="2"/>
  <c r="AF541" i="2"/>
  <c r="AE541" i="2"/>
  <c r="AC541" i="2"/>
  <c r="AB541" i="2"/>
  <c r="V541" i="2"/>
  <c r="BQ540" i="2"/>
  <c r="AP540" i="2"/>
  <c r="AG540" i="2" s="1"/>
  <c r="AO540" i="2"/>
  <c r="AN540" i="2"/>
  <c r="AM540" i="2"/>
  <c r="AL540" i="2"/>
  <c r="AJ540" i="2"/>
  <c r="AF540" i="2"/>
  <c r="AE540" i="2"/>
  <c r="AD540" i="2"/>
  <c r="AC540" i="2"/>
  <c r="AB540" i="2"/>
  <c r="V540" i="2"/>
  <c r="BQ539" i="2"/>
  <c r="AQ539" i="2"/>
  <c r="AH539" i="2" s="1"/>
  <c r="AP539" i="2"/>
  <c r="AG539" i="2" s="1"/>
  <c r="AO539" i="2"/>
  <c r="AN539" i="2"/>
  <c r="AM539" i="2"/>
  <c r="AL539" i="2"/>
  <c r="AJ539" i="2"/>
  <c r="AF539" i="2"/>
  <c r="AE539" i="2"/>
  <c r="AD539" i="2"/>
  <c r="AC539" i="2"/>
  <c r="AB539" i="2"/>
  <c r="V539" i="2"/>
  <c r="BQ538" i="2"/>
  <c r="AQ538" i="2"/>
  <c r="AH538" i="2" s="1"/>
  <c r="AP538" i="2"/>
  <c r="AG538" i="2" s="1"/>
  <c r="AO538" i="2"/>
  <c r="AN538" i="2"/>
  <c r="AE538" i="2" s="1"/>
  <c r="AM538" i="2"/>
  <c r="AD538" i="2" s="1"/>
  <c r="AL538" i="2"/>
  <c r="AJ538" i="2"/>
  <c r="AF538" i="2"/>
  <c r="AC538" i="2"/>
  <c r="AB538" i="2"/>
  <c r="V538" i="2"/>
  <c r="BQ537" i="2"/>
  <c r="AP537" i="2"/>
  <c r="AG537" i="2" s="1"/>
  <c r="AO537" i="2"/>
  <c r="AN537" i="2"/>
  <c r="AM537" i="2"/>
  <c r="AQ537" i="2" s="1"/>
  <c r="AH537" i="2" s="1"/>
  <c r="AL537" i="2"/>
  <c r="AJ537" i="2"/>
  <c r="AF537" i="2"/>
  <c r="AE537" i="2"/>
  <c r="AD537" i="2"/>
  <c r="AC537" i="2"/>
  <c r="AB537" i="2"/>
  <c r="V537" i="2"/>
  <c r="BQ536" i="2"/>
  <c r="AP536" i="2"/>
  <c r="AG536" i="2" s="1"/>
  <c r="AO536" i="2"/>
  <c r="AN536" i="2"/>
  <c r="AQ536" i="2" s="1"/>
  <c r="AH536" i="2" s="1"/>
  <c r="AM536" i="2"/>
  <c r="AL536" i="2"/>
  <c r="AJ536" i="2"/>
  <c r="AF536" i="2"/>
  <c r="AE536" i="2"/>
  <c r="AD536" i="2"/>
  <c r="AC536" i="2"/>
  <c r="AB536" i="2"/>
  <c r="V536" i="2"/>
  <c r="BQ535" i="2"/>
  <c r="AP535" i="2"/>
  <c r="AG535" i="2" s="1"/>
  <c r="AO535" i="2"/>
  <c r="AN535" i="2"/>
  <c r="AE535" i="2" s="1"/>
  <c r="AM535" i="2"/>
  <c r="AL535" i="2"/>
  <c r="AJ535" i="2"/>
  <c r="AF535" i="2"/>
  <c r="AC535" i="2"/>
  <c r="AB535" i="2"/>
  <c r="V535" i="2"/>
  <c r="BQ534" i="2"/>
  <c r="AP534" i="2"/>
  <c r="AG534" i="2" s="1"/>
  <c r="AO534" i="2"/>
  <c r="AN534" i="2"/>
  <c r="AE534" i="2" s="1"/>
  <c r="AM534" i="2"/>
  <c r="AL534" i="2"/>
  <c r="AJ534" i="2"/>
  <c r="AF534" i="2"/>
  <c r="AC534" i="2"/>
  <c r="AB534" i="2"/>
  <c r="V534" i="2"/>
  <c r="BQ533" i="2"/>
  <c r="AQ533" i="2"/>
  <c r="AH533" i="2" s="1"/>
  <c r="AP533" i="2"/>
  <c r="AG533" i="2" s="1"/>
  <c r="AO533" i="2"/>
  <c r="AN533" i="2"/>
  <c r="AM533" i="2"/>
  <c r="AD533" i="2" s="1"/>
  <c r="AL533" i="2"/>
  <c r="AJ533" i="2"/>
  <c r="AF533" i="2"/>
  <c r="AE533" i="2"/>
  <c r="AC533" i="2"/>
  <c r="AB533" i="2"/>
  <c r="V533" i="2"/>
  <c r="BQ532" i="2"/>
  <c r="AP532" i="2"/>
  <c r="AG532" i="2" s="1"/>
  <c r="AO532" i="2"/>
  <c r="AN532" i="2"/>
  <c r="AE532" i="2" s="1"/>
  <c r="AM532" i="2"/>
  <c r="AL532" i="2"/>
  <c r="AJ532" i="2"/>
  <c r="AF532" i="2"/>
  <c r="AD532" i="2"/>
  <c r="AC532" i="2"/>
  <c r="AB532" i="2"/>
  <c r="V532" i="2"/>
  <c r="BQ531" i="2"/>
  <c r="AP531" i="2"/>
  <c r="AG531" i="2" s="1"/>
  <c r="AO531" i="2"/>
  <c r="AN531" i="2"/>
  <c r="AM531" i="2"/>
  <c r="AD531" i="2" s="1"/>
  <c r="AL531" i="2"/>
  <c r="AJ531" i="2"/>
  <c r="AF531" i="2"/>
  <c r="AE531" i="2"/>
  <c r="AC531" i="2"/>
  <c r="AB531" i="2"/>
  <c r="V531" i="2"/>
  <c r="BQ530" i="2"/>
  <c r="AP530" i="2"/>
  <c r="AG530" i="2" s="1"/>
  <c r="AO530" i="2"/>
  <c r="AN530" i="2"/>
  <c r="AM530" i="2"/>
  <c r="AL530" i="2"/>
  <c r="AJ530" i="2"/>
  <c r="AF530" i="2"/>
  <c r="AD530" i="2"/>
  <c r="AC530" i="2"/>
  <c r="AB530" i="2"/>
  <c r="V530" i="2"/>
  <c r="BQ529" i="2"/>
  <c r="AP529" i="2"/>
  <c r="AG529" i="2" s="1"/>
  <c r="AO529" i="2"/>
  <c r="AN529" i="2"/>
  <c r="AE529" i="2" s="1"/>
  <c r="AM529" i="2"/>
  <c r="AL529" i="2"/>
  <c r="AJ529" i="2"/>
  <c r="AF529" i="2"/>
  <c r="AC529" i="2"/>
  <c r="AB529" i="2"/>
  <c r="V529" i="2"/>
  <c r="BQ528" i="2"/>
  <c r="AP528" i="2"/>
  <c r="AG528" i="2" s="1"/>
  <c r="AO528" i="2"/>
  <c r="AN528" i="2"/>
  <c r="AM528" i="2"/>
  <c r="AQ528" i="2" s="1"/>
  <c r="AL528" i="2"/>
  <c r="AJ528" i="2"/>
  <c r="AH528" i="2"/>
  <c r="AF528" i="2"/>
  <c r="AE528" i="2"/>
  <c r="AD528" i="2"/>
  <c r="AC528" i="2"/>
  <c r="AB528" i="2"/>
  <c r="V528" i="2"/>
  <c r="BQ527" i="2"/>
  <c r="AP527" i="2"/>
  <c r="AG527" i="2" s="1"/>
  <c r="AO527" i="2"/>
  <c r="AN527" i="2"/>
  <c r="AM527" i="2"/>
  <c r="AQ527" i="2" s="1"/>
  <c r="AH527" i="2" s="1"/>
  <c r="AL527" i="2"/>
  <c r="AJ527" i="2"/>
  <c r="AF527" i="2"/>
  <c r="AE527" i="2"/>
  <c r="AD527" i="2"/>
  <c r="AC527" i="2"/>
  <c r="AB527" i="2"/>
  <c r="V527" i="2"/>
  <c r="BQ526" i="2"/>
  <c r="AQ526" i="2"/>
  <c r="AH526" i="2" s="1"/>
  <c r="AP526" i="2"/>
  <c r="AG526" i="2" s="1"/>
  <c r="AO526" i="2"/>
  <c r="AN526" i="2"/>
  <c r="AM526" i="2"/>
  <c r="AL526" i="2"/>
  <c r="AJ526" i="2"/>
  <c r="AF526" i="2"/>
  <c r="AE526" i="2"/>
  <c r="AD526" i="2"/>
  <c r="AC526" i="2"/>
  <c r="AB526" i="2"/>
  <c r="V526" i="2"/>
  <c r="BQ525" i="2"/>
  <c r="AP525" i="2"/>
  <c r="AG525" i="2" s="1"/>
  <c r="AO525" i="2"/>
  <c r="AN525" i="2"/>
  <c r="AM525" i="2"/>
  <c r="AQ525" i="2" s="1"/>
  <c r="AL525" i="2"/>
  <c r="AJ525" i="2"/>
  <c r="AH525" i="2"/>
  <c r="AF525" i="2"/>
  <c r="AE525" i="2"/>
  <c r="AD525" i="2"/>
  <c r="AC525" i="2"/>
  <c r="AB525" i="2"/>
  <c r="V525" i="2"/>
  <c r="BQ524" i="2"/>
  <c r="AP524" i="2"/>
  <c r="AG524" i="2" s="1"/>
  <c r="AO524" i="2"/>
  <c r="AN524" i="2"/>
  <c r="AM524" i="2"/>
  <c r="AL524" i="2"/>
  <c r="AJ524" i="2"/>
  <c r="AF524" i="2"/>
  <c r="AE524" i="2"/>
  <c r="AD524" i="2"/>
  <c r="AC524" i="2"/>
  <c r="AB524" i="2"/>
  <c r="V524" i="2"/>
  <c r="BQ523" i="2"/>
  <c r="AP523" i="2"/>
  <c r="AO523" i="2"/>
  <c r="AN523" i="2"/>
  <c r="AM523" i="2"/>
  <c r="AQ523" i="2" s="1"/>
  <c r="AH523" i="2" s="1"/>
  <c r="AL523" i="2"/>
  <c r="AJ523" i="2"/>
  <c r="AG523" i="2"/>
  <c r="AF523" i="2"/>
  <c r="AE523" i="2"/>
  <c r="AD523" i="2"/>
  <c r="AC523" i="2"/>
  <c r="AB523" i="2"/>
  <c r="V523" i="2"/>
  <c r="BQ522" i="2"/>
  <c r="AP522" i="2"/>
  <c r="AG522" i="2" s="1"/>
  <c r="AO522" i="2"/>
  <c r="AN522" i="2"/>
  <c r="AM522" i="2"/>
  <c r="AL522" i="2"/>
  <c r="AJ522" i="2"/>
  <c r="AF522" i="2"/>
  <c r="AE522" i="2"/>
  <c r="AD522" i="2"/>
  <c r="AC522" i="2"/>
  <c r="AB522" i="2"/>
  <c r="V522" i="2"/>
  <c r="BQ521" i="2"/>
  <c r="AP521" i="2"/>
  <c r="AG521" i="2" s="1"/>
  <c r="AO521" i="2"/>
  <c r="AN521" i="2"/>
  <c r="AM521" i="2"/>
  <c r="AL521" i="2"/>
  <c r="AJ521" i="2"/>
  <c r="AF521" i="2"/>
  <c r="AE521" i="2"/>
  <c r="AD521" i="2"/>
  <c r="AC521" i="2"/>
  <c r="AB521" i="2"/>
  <c r="V521" i="2"/>
  <c r="BQ520" i="2"/>
  <c r="AP520" i="2"/>
  <c r="AG520" i="2" s="1"/>
  <c r="AO520" i="2"/>
  <c r="AN520" i="2"/>
  <c r="AQ520" i="2" s="1"/>
  <c r="AH520" i="2" s="1"/>
  <c r="AM520" i="2"/>
  <c r="AL520" i="2"/>
  <c r="AJ520" i="2"/>
  <c r="AF520" i="2"/>
  <c r="AE520" i="2"/>
  <c r="AD520" i="2"/>
  <c r="AC520" i="2"/>
  <c r="AB520" i="2"/>
  <c r="V520" i="2"/>
  <c r="BQ519" i="2"/>
  <c r="AP519" i="2"/>
  <c r="AO519" i="2"/>
  <c r="AN519" i="2"/>
  <c r="AQ519" i="2" s="1"/>
  <c r="AH519" i="2" s="1"/>
  <c r="AM519" i="2"/>
  <c r="AL519" i="2"/>
  <c r="AJ519" i="2"/>
  <c r="AG519" i="2"/>
  <c r="AF519" i="2"/>
  <c r="AE519" i="2"/>
  <c r="AD519" i="2"/>
  <c r="AC519" i="2"/>
  <c r="AB519" i="2"/>
  <c r="V519" i="2"/>
  <c r="BQ518" i="2"/>
  <c r="AP518" i="2"/>
  <c r="AG518" i="2" s="1"/>
  <c r="AO518" i="2"/>
  <c r="AN518" i="2"/>
  <c r="AM518" i="2"/>
  <c r="AL518" i="2"/>
  <c r="AJ518" i="2"/>
  <c r="AF518" i="2"/>
  <c r="AE518" i="2"/>
  <c r="AD518" i="2"/>
  <c r="AC518" i="2"/>
  <c r="AB518" i="2"/>
  <c r="V518" i="2"/>
  <c r="BQ517" i="2"/>
  <c r="AP517" i="2"/>
  <c r="AQ517" i="2" s="1"/>
  <c r="AH517" i="2" s="1"/>
  <c r="AO517" i="2"/>
  <c r="AN517" i="2"/>
  <c r="AM517" i="2"/>
  <c r="AL517" i="2"/>
  <c r="AJ517" i="2"/>
  <c r="AG517" i="2"/>
  <c r="AF517" i="2"/>
  <c r="AE517" i="2"/>
  <c r="AD517" i="2"/>
  <c r="AC517" i="2"/>
  <c r="AB517" i="2"/>
  <c r="V517" i="2"/>
  <c r="BQ516" i="2"/>
  <c r="AP516" i="2"/>
  <c r="AG516" i="2" s="1"/>
  <c r="AO516" i="2"/>
  <c r="AN516" i="2"/>
  <c r="AM516" i="2"/>
  <c r="AL516" i="2"/>
  <c r="AJ516" i="2"/>
  <c r="AF516" i="2"/>
  <c r="AE516" i="2"/>
  <c r="AD516" i="2"/>
  <c r="AC516" i="2"/>
  <c r="AB516" i="2"/>
  <c r="V516" i="2"/>
  <c r="BQ515" i="2"/>
  <c r="AP515" i="2"/>
  <c r="AO515" i="2"/>
  <c r="AN515" i="2"/>
  <c r="AM515" i="2"/>
  <c r="AQ515" i="2" s="1"/>
  <c r="AH515" i="2" s="1"/>
  <c r="AL515" i="2"/>
  <c r="AJ515" i="2"/>
  <c r="AG515" i="2"/>
  <c r="AF515" i="2"/>
  <c r="AE515" i="2"/>
  <c r="AD515" i="2"/>
  <c r="AC515" i="2"/>
  <c r="AB515" i="2"/>
  <c r="V515" i="2"/>
  <c r="BQ514" i="2"/>
  <c r="AP514" i="2"/>
  <c r="AO514" i="2"/>
  <c r="AN514" i="2"/>
  <c r="AM514" i="2"/>
  <c r="AL514" i="2"/>
  <c r="AJ514" i="2"/>
  <c r="AG514" i="2"/>
  <c r="AF514" i="2"/>
  <c r="AE514" i="2"/>
  <c r="AD514" i="2"/>
  <c r="AC514" i="2"/>
  <c r="AB514" i="2"/>
  <c r="V514" i="2"/>
  <c r="BQ513" i="2"/>
  <c r="AP513" i="2"/>
  <c r="AO513" i="2"/>
  <c r="AN513" i="2"/>
  <c r="AM513" i="2"/>
  <c r="AQ513" i="2" s="1"/>
  <c r="AH513" i="2" s="1"/>
  <c r="AL513" i="2"/>
  <c r="AJ513" i="2"/>
  <c r="AG513" i="2"/>
  <c r="AF513" i="2"/>
  <c r="AE513" i="2"/>
  <c r="AD513" i="2"/>
  <c r="AC513" i="2"/>
  <c r="AB513" i="2"/>
  <c r="V513" i="2"/>
  <c r="BQ512" i="2"/>
  <c r="AP512" i="2"/>
  <c r="AG512" i="2" s="1"/>
  <c r="AO512" i="2"/>
  <c r="AN512" i="2"/>
  <c r="AE512" i="2" s="1"/>
  <c r="AM512" i="2"/>
  <c r="AL512" i="2"/>
  <c r="AJ512" i="2"/>
  <c r="AF512" i="2"/>
  <c r="AD512" i="2"/>
  <c r="AC512" i="2"/>
  <c r="AB512" i="2"/>
  <c r="V512" i="2"/>
  <c r="BQ511" i="2"/>
  <c r="AP511" i="2"/>
  <c r="AO511" i="2"/>
  <c r="AN511" i="2"/>
  <c r="AE511" i="2" s="1"/>
  <c r="AM511" i="2"/>
  <c r="AL511" i="2"/>
  <c r="AJ511" i="2"/>
  <c r="AG511" i="2"/>
  <c r="AF511" i="2"/>
  <c r="AD511" i="2"/>
  <c r="AC511" i="2"/>
  <c r="AB511" i="2"/>
  <c r="V511" i="2"/>
  <c r="BQ510" i="2"/>
  <c r="AP510" i="2"/>
  <c r="AG510" i="2" s="1"/>
  <c r="AO510" i="2"/>
  <c r="AN510" i="2"/>
  <c r="AE510" i="2" s="1"/>
  <c r="AM510" i="2"/>
  <c r="AL510" i="2"/>
  <c r="AJ510" i="2"/>
  <c r="AF510" i="2"/>
  <c r="AD510" i="2"/>
  <c r="AC510" i="2"/>
  <c r="AB510" i="2"/>
  <c r="V510" i="2"/>
  <c r="BQ509" i="2"/>
  <c r="AP509" i="2"/>
  <c r="AG509" i="2" s="1"/>
  <c r="AO509" i="2"/>
  <c r="AN509" i="2"/>
  <c r="AE509" i="2" s="1"/>
  <c r="AM509" i="2"/>
  <c r="AL509" i="2"/>
  <c r="AJ509" i="2"/>
  <c r="AF509" i="2"/>
  <c r="AD509" i="2"/>
  <c r="AC509" i="2"/>
  <c r="AB509" i="2"/>
  <c r="V509" i="2"/>
  <c r="BQ508" i="2"/>
  <c r="AP508" i="2"/>
  <c r="AO508" i="2"/>
  <c r="AN508" i="2"/>
  <c r="AE508" i="2" s="1"/>
  <c r="AM508" i="2"/>
  <c r="AL508" i="2"/>
  <c r="AJ508" i="2"/>
  <c r="AF508" i="2"/>
  <c r="AD508" i="2"/>
  <c r="AC508" i="2"/>
  <c r="AB508" i="2"/>
  <c r="V508" i="2"/>
  <c r="BQ507" i="2"/>
  <c r="AP507" i="2"/>
  <c r="AO507" i="2"/>
  <c r="AN507" i="2"/>
  <c r="AE507" i="2" s="1"/>
  <c r="AM507" i="2"/>
  <c r="AL507" i="2"/>
  <c r="AJ507" i="2"/>
  <c r="AF507" i="2"/>
  <c r="AD507" i="2"/>
  <c r="AC507" i="2"/>
  <c r="AB507" i="2"/>
  <c r="V507" i="2"/>
  <c r="BQ506" i="2"/>
  <c r="AP506" i="2"/>
  <c r="AO506" i="2"/>
  <c r="AN506" i="2"/>
  <c r="AE506" i="2" s="1"/>
  <c r="AM506" i="2"/>
  <c r="AL506" i="2"/>
  <c r="AJ506" i="2"/>
  <c r="AF506" i="2"/>
  <c r="AD506" i="2"/>
  <c r="AC506" i="2"/>
  <c r="AB506" i="2"/>
  <c r="V506" i="2"/>
  <c r="BQ505" i="2"/>
  <c r="AP505" i="2"/>
  <c r="AQ505" i="2" s="1"/>
  <c r="AO505" i="2"/>
  <c r="AN505" i="2"/>
  <c r="AE505" i="2" s="1"/>
  <c r="AM505" i="2"/>
  <c r="AL505" i="2"/>
  <c r="AJ505" i="2"/>
  <c r="AH505" i="2"/>
  <c r="AG505" i="2"/>
  <c r="AF505" i="2"/>
  <c r="AD505" i="2"/>
  <c r="AC505" i="2"/>
  <c r="AB505" i="2"/>
  <c r="V505" i="2"/>
  <c r="BQ504" i="2"/>
  <c r="AP504" i="2"/>
  <c r="AQ504" i="2" s="1"/>
  <c r="AH504" i="2" s="1"/>
  <c r="AO504" i="2"/>
  <c r="AN504" i="2"/>
  <c r="AE504" i="2" s="1"/>
  <c r="AM504" i="2"/>
  <c r="AL504" i="2"/>
  <c r="AJ504" i="2"/>
  <c r="AF504" i="2"/>
  <c r="AD504" i="2"/>
  <c r="AC504" i="2"/>
  <c r="AB504" i="2"/>
  <c r="V504" i="2"/>
  <c r="BQ503" i="2"/>
  <c r="AP503" i="2"/>
  <c r="AO503" i="2"/>
  <c r="AN503" i="2"/>
  <c r="AE503" i="2" s="1"/>
  <c r="AM503" i="2"/>
  <c r="AQ503" i="2" s="1"/>
  <c r="AL503" i="2"/>
  <c r="AJ503" i="2"/>
  <c r="AH503" i="2"/>
  <c r="AG503" i="2"/>
  <c r="AF503" i="2"/>
  <c r="AD503" i="2"/>
  <c r="AC503" i="2"/>
  <c r="AB503" i="2"/>
  <c r="V503" i="2"/>
  <c r="BQ502" i="2"/>
  <c r="AP502" i="2"/>
  <c r="AO502" i="2"/>
  <c r="AN502" i="2"/>
  <c r="AE502" i="2" s="1"/>
  <c r="AM502" i="2"/>
  <c r="AL502" i="2"/>
  <c r="AJ502" i="2"/>
  <c r="AF502" i="2"/>
  <c r="AD502" i="2"/>
  <c r="AC502" i="2"/>
  <c r="AB502" i="2"/>
  <c r="V502" i="2"/>
  <c r="BQ501" i="2"/>
  <c r="AP501" i="2"/>
  <c r="AO501" i="2"/>
  <c r="AN501" i="2"/>
  <c r="AE501" i="2" s="1"/>
  <c r="AM501" i="2"/>
  <c r="AL501" i="2"/>
  <c r="AJ501" i="2"/>
  <c r="AF501" i="2"/>
  <c r="AD501" i="2"/>
  <c r="AC501" i="2"/>
  <c r="AB501" i="2"/>
  <c r="V501" i="2"/>
  <c r="BQ500" i="2"/>
  <c r="AP500" i="2"/>
  <c r="AG500" i="2" s="1"/>
  <c r="AO500" i="2"/>
  <c r="AN500" i="2"/>
  <c r="AE500" i="2" s="1"/>
  <c r="AM500" i="2"/>
  <c r="AL500" i="2"/>
  <c r="AJ500" i="2"/>
  <c r="AF500" i="2"/>
  <c r="AD500" i="2"/>
  <c r="AC500" i="2"/>
  <c r="AB500" i="2"/>
  <c r="V500" i="2"/>
  <c r="BQ499" i="2"/>
  <c r="AP499" i="2"/>
  <c r="AG499" i="2" s="1"/>
  <c r="AO499" i="2"/>
  <c r="AN499" i="2"/>
  <c r="AE499" i="2" s="1"/>
  <c r="AM499" i="2"/>
  <c r="AL499" i="2"/>
  <c r="AJ499" i="2"/>
  <c r="AF499" i="2"/>
  <c r="AC499" i="2"/>
  <c r="AB499" i="2"/>
  <c r="V499" i="2"/>
  <c r="BQ498" i="2"/>
  <c r="AP498" i="2"/>
  <c r="AG498" i="2" s="1"/>
  <c r="AO498" i="2"/>
  <c r="AN498" i="2"/>
  <c r="AE498" i="2" s="1"/>
  <c r="AM498" i="2"/>
  <c r="AL498" i="2"/>
  <c r="AJ498" i="2"/>
  <c r="AF498" i="2"/>
  <c r="AD498" i="2"/>
  <c r="AC498" i="2"/>
  <c r="AB498" i="2"/>
  <c r="V498" i="2"/>
  <c r="BQ497" i="2"/>
  <c r="AP497" i="2"/>
  <c r="AO497" i="2"/>
  <c r="AN497" i="2"/>
  <c r="AE497" i="2" s="1"/>
  <c r="AM497" i="2"/>
  <c r="AL497" i="2"/>
  <c r="AJ497" i="2"/>
  <c r="AG497" i="2"/>
  <c r="AF497" i="2"/>
  <c r="AD497" i="2"/>
  <c r="AC497" i="2"/>
  <c r="AB497" i="2"/>
  <c r="V497" i="2"/>
  <c r="BQ496" i="2"/>
  <c r="AP496" i="2"/>
  <c r="AG496" i="2" s="1"/>
  <c r="AO496" i="2"/>
  <c r="AN496" i="2"/>
  <c r="AE496" i="2" s="1"/>
  <c r="AM496" i="2"/>
  <c r="AQ496" i="2" s="1"/>
  <c r="AH496" i="2" s="1"/>
  <c r="AL496" i="2"/>
  <c r="AJ496" i="2"/>
  <c r="AF496" i="2"/>
  <c r="AD496" i="2"/>
  <c r="AC496" i="2"/>
  <c r="AB496" i="2"/>
  <c r="V496" i="2"/>
  <c r="BQ495" i="2"/>
  <c r="AP495" i="2"/>
  <c r="AO495" i="2"/>
  <c r="AF495" i="2" s="1"/>
  <c r="AN495" i="2"/>
  <c r="AE495" i="2" s="1"/>
  <c r="AM495" i="2"/>
  <c r="AL495" i="2"/>
  <c r="AJ495" i="2"/>
  <c r="AG495" i="2"/>
  <c r="AD495" i="2"/>
  <c r="AC495" i="2"/>
  <c r="AB495" i="2"/>
  <c r="V495" i="2"/>
  <c r="BQ494" i="2"/>
  <c r="AP494" i="2"/>
  <c r="AG494" i="2" s="1"/>
  <c r="AO494" i="2"/>
  <c r="AN494" i="2"/>
  <c r="AE494" i="2" s="1"/>
  <c r="AM494" i="2"/>
  <c r="AD494" i="2" s="1"/>
  <c r="AL494" i="2"/>
  <c r="AJ494" i="2"/>
  <c r="AF494" i="2"/>
  <c r="AC494" i="2"/>
  <c r="AB494" i="2"/>
  <c r="V494" i="2"/>
  <c r="BQ493" i="2"/>
  <c r="AP493" i="2"/>
  <c r="AG493" i="2" s="1"/>
  <c r="AO493" i="2"/>
  <c r="AN493" i="2"/>
  <c r="AE493" i="2" s="1"/>
  <c r="AM493" i="2"/>
  <c r="AL493" i="2"/>
  <c r="AJ493" i="2"/>
  <c r="AF493" i="2"/>
  <c r="AD493" i="2"/>
  <c r="AC493" i="2"/>
  <c r="AB493" i="2"/>
  <c r="V493" i="2"/>
  <c r="BQ492" i="2"/>
  <c r="AP492" i="2"/>
  <c r="AG492" i="2" s="1"/>
  <c r="AO492" i="2"/>
  <c r="AN492" i="2"/>
  <c r="AE492" i="2" s="1"/>
  <c r="AM492" i="2"/>
  <c r="AL492" i="2"/>
  <c r="AJ492" i="2"/>
  <c r="AF492" i="2"/>
  <c r="AD492" i="2"/>
  <c r="AC492" i="2"/>
  <c r="AB492" i="2"/>
  <c r="V492" i="2"/>
  <c r="BQ491" i="2"/>
  <c r="AP491" i="2"/>
  <c r="AG491" i="2" s="1"/>
  <c r="AO491" i="2"/>
  <c r="AN491" i="2"/>
  <c r="AE491" i="2" s="1"/>
  <c r="AM491" i="2"/>
  <c r="AD491" i="2" s="1"/>
  <c r="AL491" i="2"/>
  <c r="AJ491" i="2"/>
  <c r="AF491" i="2"/>
  <c r="AC491" i="2"/>
  <c r="AB491" i="2"/>
  <c r="V491" i="2"/>
  <c r="BQ490" i="2"/>
  <c r="AP490" i="2"/>
  <c r="AG490" i="2" s="1"/>
  <c r="AO490" i="2"/>
  <c r="AN490" i="2"/>
  <c r="AE490" i="2" s="1"/>
  <c r="AM490" i="2"/>
  <c r="AD490" i="2" s="1"/>
  <c r="AL490" i="2"/>
  <c r="AJ490" i="2"/>
  <c r="AF490" i="2"/>
  <c r="AC490" i="2"/>
  <c r="AB490" i="2"/>
  <c r="V490" i="2"/>
  <c r="BQ489" i="2"/>
  <c r="AP489" i="2"/>
  <c r="AO489" i="2"/>
  <c r="AN489" i="2"/>
  <c r="AE489" i="2" s="1"/>
  <c r="AM489" i="2"/>
  <c r="AL489" i="2"/>
  <c r="AJ489" i="2"/>
  <c r="AG489" i="2"/>
  <c r="AF489" i="2"/>
  <c r="AD489" i="2"/>
  <c r="AC489" i="2"/>
  <c r="AB489" i="2"/>
  <c r="V489" i="2"/>
  <c r="BQ488" i="2"/>
  <c r="AP488" i="2"/>
  <c r="AQ488" i="2" s="1"/>
  <c r="AO488" i="2"/>
  <c r="AN488" i="2"/>
  <c r="AE488" i="2" s="1"/>
  <c r="AM488" i="2"/>
  <c r="AL488" i="2"/>
  <c r="AJ488" i="2"/>
  <c r="AH488" i="2"/>
  <c r="AG488" i="2"/>
  <c r="AF488" i="2"/>
  <c r="AD488" i="2"/>
  <c r="AC488" i="2"/>
  <c r="AB488" i="2"/>
  <c r="V488" i="2"/>
  <c r="BQ487" i="2"/>
  <c r="AP487" i="2"/>
  <c r="AQ487" i="2" s="1"/>
  <c r="AH487" i="2" s="1"/>
  <c r="AO487" i="2"/>
  <c r="AN487" i="2"/>
  <c r="AE487" i="2" s="1"/>
  <c r="AM487" i="2"/>
  <c r="AL487" i="2"/>
  <c r="AJ487" i="2"/>
  <c r="AF487" i="2"/>
  <c r="AD487" i="2"/>
  <c r="AC487" i="2"/>
  <c r="AB487" i="2"/>
  <c r="V487" i="2"/>
  <c r="BQ486" i="2"/>
  <c r="AP486" i="2"/>
  <c r="AO486" i="2"/>
  <c r="AN486" i="2"/>
  <c r="AE486" i="2" s="1"/>
  <c r="AM486" i="2"/>
  <c r="AL486" i="2"/>
  <c r="AJ486" i="2"/>
  <c r="AF486" i="2"/>
  <c r="AD486" i="2"/>
  <c r="AC486" i="2"/>
  <c r="AB486" i="2"/>
  <c r="V486" i="2"/>
  <c r="BQ485" i="2"/>
  <c r="AP485" i="2"/>
  <c r="AO485" i="2"/>
  <c r="AN485" i="2"/>
  <c r="AE485" i="2" s="1"/>
  <c r="AM485" i="2"/>
  <c r="AL485" i="2"/>
  <c r="AJ485" i="2"/>
  <c r="AF485" i="2"/>
  <c r="AD485" i="2"/>
  <c r="AC485" i="2"/>
  <c r="AB485" i="2"/>
  <c r="V485" i="2"/>
  <c r="BQ484" i="2"/>
  <c r="AP484" i="2"/>
  <c r="AO484" i="2"/>
  <c r="AN484" i="2"/>
  <c r="AE484" i="2" s="1"/>
  <c r="AM484" i="2"/>
  <c r="AL484" i="2"/>
  <c r="AJ484" i="2"/>
  <c r="AF484" i="2"/>
  <c r="AD484" i="2"/>
  <c r="AC484" i="2"/>
  <c r="AB484" i="2"/>
  <c r="V484" i="2"/>
  <c r="BQ483" i="2"/>
  <c r="AP483" i="2"/>
  <c r="AO483" i="2"/>
  <c r="AN483" i="2"/>
  <c r="AE483" i="2" s="1"/>
  <c r="AM483" i="2"/>
  <c r="AL483" i="2"/>
  <c r="AJ483" i="2"/>
  <c r="AF483" i="2"/>
  <c r="AD483" i="2"/>
  <c r="AC483" i="2"/>
  <c r="AB483" i="2"/>
  <c r="V483" i="2"/>
  <c r="BQ482" i="2"/>
  <c r="AP482" i="2"/>
  <c r="AO482" i="2"/>
  <c r="AN482" i="2"/>
  <c r="AE482" i="2" s="1"/>
  <c r="AM482" i="2"/>
  <c r="AL482" i="2"/>
  <c r="AJ482" i="2"/>
  <c r="AF482" i="2"/>
  <c r="AD482" i="2"/>
  <c r="AC482" i="2"/>
  <c r="AB482" i="2"/>
  <c r="V482" i="2"/>
  <c r="BQ481" i="2"/>
  <c r="AP481" i="2"/>
  <c r="AO481" i="2"/>
  <c r="AN481" i="2"/>
  <c r="AE481" i="2" s="1"/>
  <c r="AM481" i="2"/>
  <c r="AL481" i="2"/>
  <c r="AJ481" i="2"/>
  <c r="AG481" i="2"/>
  <c r="AF481" i="2"/>
  <c r="AD481" i="2"/>
  <c r="AC481" i="2"/>
  <c r="AB481" i="2"/>
  <c r="V481" i="2"/>
  <c r="BQ480" i="2"/>
  <c r="AP480" i="2"/>
  <c r="AQ480" i="2" s="1"/>
  <c r="AH480" i="2" s="1"/>
  <c r="AO480" i="2"/>
  <c r="AN480" i="2"/>
  <c r="AE480" i="2" s="1"/>
  <c r="AM480" i="2"/>
  <c r="AL480" i="2"/>
  <c r="AC480" i="2" s="1"/>
  <c r="AJ480" i="2"/>
  <c r="AG480" i="2"/>
  <c r="AF480" i="2"/>
  <c r="AD480" i="2"/>
  <c r="AB480" i="2"/>
  <c r="V480" i="2"/>
  <c r="BQ479" i="2"/>
  <c r="AP479" i="2"/>
  <c r="AQ479" i="2" s="1"/>
  <c r="AO479" i="2"/>
  <c r="AN479" i="2"/>
  <c r="AE479" i="2" s="1"/>
  <c r="AM479" i="2"/>
  <c r="AL479" i="2"/>
  <c r="AJ479" i="2"/>
  <c r="AH479" i="2"/>
  <c r="AG479" i="2"/>
  <c r="AF479" i="2"/>
  <c r="AD479" i="2"/>
  <c r="AC479" i="2"/>
  <c r="AB479" i="2"/>
  <c r="V479" i="2"/>
  <c r="BQ478" i="2"/>
  <c r="AP478" i="2"/>
  <c r="AO478" i="2"/>
  <c r="AN478" i="2"/>
  <c r="AE478" i="2" s="1"/>
  <c r="AM478" i="2"/>
  <c r="AL478" i="2"/>
  <c r="AJ478" i="2"/>
  <c r="AF478" i="2"/>
  <c r="AD478" i="2"/>
  <c r="AC478" i="2"/>
  <c r="AB478" i="2"/>
  <c r="V478" i="2"/>
  <c r="BQ477" i="2"/>
  <c r="AP477" i="2"/>
  <c r="AO477" i="2"/>
  <c r="AN477" i="2"/>
  <c r="AE477" i="2" s="1"/>
  <c r="AM477" i="2"/>
  <c r="AL477" i="2"/>
  <c r="AJ477" i="2"/>
  <c r="AF477" i="2"/>
  <c r="AD477" i="2"/>
  <c r="AC477" i="2"/>
  <c r="AB477" i="2"/>
  <c r="V477" i="2"/>
  <c r="BQ476" i="2"/>
  <c r="AP476" i="2"/>
  <c r="AO476" i="2"/>
  <c r="AN476" i="2"/>
  <c r="AE476" i="2" s="1"/>
  <c r="AM476" i="2"/>
  <c r="AL476" i="2"/>
  <c r="AC476" i="2" s="1"/>
  <c r="AJ476" i="2"/>
  <c r="AF476" i="2"/>
  <c r="AD476" i="2"/>
  <c r="AB476" i="2"/>
  <c r="V476" i="2"/>
  <c r="BQ475" i="2"/>
  <c r="AP475" i="2"/>
  <c r="AO475" i="2"/>
  <c r="AN475" i="2"/>
  <c r="AE475" i="2" s="1"/>
  <c r="AM475" i="2"/>
  <c r="AL475" i="2"/>
  <c r="AC475" i="2" s="1"/>
  <c r="AJ475" i="2"/>
  <c r="AF475" i="2"/>
  <c r="AD475" i="2"/>
  <c r="AB475" i="2"/>
  <c r="V475" i="2"/>
  <c r="BQ474" i="2"/>
  <c r="AP474" i="2"/>
  <c r="AO474" i="2"/>
  <c r="AN474" i="2"/>
  <c r="AE474" i="2" s="1"/>
  <c r="AM474" i="2"/>
  <c r="AL474" i="2"/>
  <c r="AJ474" i="2"/>
  <c r="AF474" i="2"/>
  <c r="AD474" i="2"/>
  <c r="AC474" i="2"/>
  <c r="AB474" i="2"/>
  <c r="V474" i="2"/>
  <c r="BQ473" i="2"/>
  <c r="AP473" i="2"/>
  <c r="AQ473" i="2" s="1"/>
  <c r="AH473" i="2" s="1"/>
  <c r="AO473" i="2"/>
  <c r="AN473" i="2"/>
  <c r="AE473" i="2" s="1"/>
  <c r="AM473" i="2"/>
  <c r="AL473" i="2"/>
  <c r="AJ473" i="2"/>
  <c r="AF473" i="2"/>
  <c r="AD473" i="2"/>
  <c r="AC473" i="2"/>
  <c r="AB473" i="2"/>
  <c r="V473" i="2"/>
  <c r="BQ472" i="2"/>
  <c r="AP472" i="2"/>
  <c r="AO472" i="2"/>
  <c r="AN472" i="2"/>
  <c r="AE472" i="2" s="1"/>
  <c r="AM472" i="2"/>
  <c r="AL472" i="2"/>
  <c r="AJ472" i="2"/>
  <c r="AG472" i="2"/>
  <c r="AF472" i="2"/>
  <c r="AD472" i="2"/>
  <c r="AC472" i="2"/>
  <c r="AB472" i="2"/>
  <c r="V472" i="2"/>
  <c r="BQ471" i="2"/>
  <c r="AP471" i="2"/>
  <c r="AO471" i="2"/>
  <c r="AN471" i="2"/>
  <c r="AE471" i="2" s="1"/>
  <c r="AM471" i="2"/>
  <c r="AL471" i="2"/>
  <c r="AC471" i="2" s="1"/>
  <c r="AJ471" i="2"/>
  <c r="AF471" i="2"/>
  <c r="AD471" i="2"/>
  <c r="AB471" i="2"/>
  <c r="V471" i="2"/>
  <c r="BQ470" i="2"/>
  <c r="AP470" i="2"/>
  <c r="AO470" i="2"/>
  <c r="AN470" i="2"/>
  <c r="AE470" i="2" s="1"/>
  <c r="AM470" i="2"/>
  <c r="AL470" i="2"/>
  <c r="AJ470" i="2"/>
  <c r="AF470" i="2"/>
  <c r="AD470" i="2"/>
  <c r="AC470" i="2"/>
  <c r="AB470" i="2"/>
  <c r="V470" i="2"/>
  <c r="BQ469" i="2"/>
  <c r="AP469" i="2"/>
  <c r="AO469" i="2"/>
  <c r="AN469" i="2"/>
  <c r="AE469" i="2" s="1"/>
  <c r="AM469" i="2"/>
  <c r="AL469" i="2"/>
  <c r="AJ469" i="2"/>
  <c r="AF469" i="2"/>
  <c r="AD469" i="2"/>
  <c r="AC469" i="2"/>
  <c r="AB469" i="2"/>
  <c r="V469" i="2"/>
  <c r="BQ468" i="2"/>
  <c r="AP468" i="2"/>
  <c r="AO468" i="2"/>
  <c r="AN468" i="2"/>
  <c r="AE468" i="2" s="1"/>
  <c r="AM468" i="2"/>
  <c r="AL468" i="2"/>
  <c r="AJ468" i="2"/>
  <c r="AF468" i="2"/>
  <c r="AD468" i="2"/>
  <c r="AC468" i="2"/>
  <c r="AB468" i="2"/>
  <c r="V468" i="2"/>
  <c r="BQ467" i="2"/>
  <c r="AP467" i="2"/>
  <c r="AO467" i="2"/>
  <c r="AN467" i="2"/>
  <c r="AE467" i="2" s="1"/>
  <c r="AM467" i="2"/>
  <c r="AL467" i="2"/>
  <c r="AJ467" i="2"/>
  <c r="AF467" i="2"/>
  <c r="AD467" i="2"/>
  <c r="AC467" i="2"/>
  <c r="AB467" i="2"/>
  <c r="V467" i="2"/>
  <c r="BQ466" i="2"/>
  <c r="AP466" i="2"/>
  <c r="AO466" i="2"/>
  <c r="AN466" i="2"/>
  <c r="AE466" i="2" s="1"/>
  <c r="AM466" i="2"/>
  <c r="AL466" i="2"/>
  <c r="AJ466" i="2"/>
  <c r="AF466" i="2"/>
  <c r="AD466" i="2"/>
  <c r="AC466" i="2"/>
  <c r="AB466" i="2"/>
  <c r="V466" i="2"/>
  <c r="BQ465" i="2"/>
  <c r="AP465" i="2"/>
  <c r="AQ465" i="2" s="1"/>
  <c r="AO465" i="2"/>
  <c r="AN465" i="2"/>
  <c r="AE465" i="2" s="1"/>
  <c r="AM465" i="2"/>
  <c r="AL465" i="2"/>
  <c r="AJ465" i="2"/>
  <c r="AH465" i="2"/>
  <c r="AG465" i="2"/>
  <c r="AF465" i="2"/>
  <c r="AD465" i="2"/>
  <c r="AC465" i="2"/>
  <c r="AB465" i="2"/>
  <c r="V465" i="2"/>
  <c r="BQ464" i="2"/>
  <c r="AP464" i="2"/>
  <c r="AQ464" i="2" s="1"/>
  <c r="AO464" i="2"/>
  <c r="AN464" i="2"/>
  <c r="AE464" i="2" s="1"/>
  <c r="AM464" i="2"/>
  <c r="AL464" i="2"/>
  <c r="AJ464" i="2"/>
  <c r="AH464" i="2"/>
  <c r="AG464" i="2"/>
  <c r="AF464" i="2"/>
  <c r="AD464" i="2"/>
  <c r="AC464" i="2"/>
  <c r="AB464" i="2"/>
  <c r="V464" i="2"/>
  <c r="BQ463" i="2"/>
  <c r="AP463" i="2"/>
  <c r="AQ463" i="2" s="1"/>
  <c r="AO463" i="2"/>
  <c r="AN463" i="2"/>
  <c r="AE463" i="2" s="1"/>
  <c r="AM463" i="2"/>
  <c r="AL463" i="2"/>
  <c r="AJ463" i="2"/>
  <c r="AH463" i="2"/>
  <c r="AG463" i="2"/>
  <c r="AF463" i="2"/>
  <c r="AD463" i="2"/>
  <c r="AC463" i="2"/>
  <c r="AB463" i="2"/>
  <c r="V463" i="2"/>
  <c r="BQ462" i="2"/>
  <c r="AQ462" i="2"/>
  <c r="AH462" i="2" s="1"/>
  <c r="AP462" i="2"/>
  <c r="AO462" i="2"/>
  <c r="AN462" i="2"/>
  <c r="AE462" i="2" s="1"/>
  <c r="AM462" i="2"/>
  <c r="AL462" i="2"/>
  <c r="AJ462" i="2"/>
  <c r="AG462" i="2"/>
  <c r="AF462" i="2"/>
  <c r="AD462" i="2"/>
  <c r="AC462" i="2"/>
  <c r="AB462" i="2"/>
  <c r="V462" i="2"/>
  <c r="BQ461" i="2"/>
  <c r="AP461" i="2"/>
  <c r="AG461" i="2" s="1"/>
  <c r="AO461" i="2"/>
  <c r="AN461" i="2"/>
  <c r="AE461" i="2" s="1"/>
  <c r="AM461" i="2"/>
  <c r="AL461" i="2"/>
  <c r="AJ461" i="2"/>
  <c r="AF461" i="2"/>
  <c r="AC461" i="2"/>
  <c r="AB461" i="2"/>
  <c r="V461" i="2"/>
  <c r="BQ460" i="2"/>
  <c r="AP460" i="2"/>
  <c r="AG460" i="2" s="1"/>
  <c r="AO460" i="2"/>
  <c r="AN460" i="2"/>
  <c r="AM460" i="2"/>
  <c r="AL460" i="2"/>
  <c r="AJ460" i="2"/>
  <c r="AF460" i="2"/>
  <c r="AD460" i="2"/>
  <c r="AC460" i="2"/>
  <c r="AB460" i="2"/>
  <c r="V460" i="2"/>
  <c r="BQ459" i="2"/>
  <c r="AQ459" i="2"/>
  <c r="AP459" i="2"/>
  <c r="AG459" i="2" s="1"/>
  <c r="AO459" i="2"/>
  <c r="AN459" i="2"/>
  <c r="AE459" i="2" s="1"/>
  <c r="AM459" i="2"/>
  <c r="AL459" i="2"/>
  <c r="AJ459" i="2"/>
  <c r="AF459" i="2"/>
  <c r="AD459" i="2"/>
  <c r="AC459" i="2"/>
  <c r="AB459" i="2"/>
  <c r="V459" i="2"/>
  <c r="BQ458" i="2"/>
  <c r="AP458" i="2"/>
  <c r="AG458" i="2" s="1"/>
  <c r="AO458" i="2"/>
  <c r="AN458" i="2"/>
  <c r="AE458" i="2" s="1"/>
  <c r="AM458" i="2"/>
  <c r="AD458" i="2" s="1"/>
  <c r="AL458" i="2"/>
  <c r="AJ458" i="2"/>
  <c r="AF458" i="2"/>
  <c r="AC458" i="2"/>
  <c r="AB458" i="2"/>
  <c r="V458" i="2"/>
  <c r="BQ457" i="2"/>
  <c r="AP457" i="2"/>
  <c r="AG457" i="2" s="1"/>
  <c r="AO457" i="2"/>
  <c r="AN457" i="2"/>
  <c r="AE457" i="2" s="1"/>
  <c r="AM457" i="2"/>
  <c r="AD457" i="2" s="1"/>
  <c r="AL457" i="2"/>
  <c r="AJ457" i="2"/>
  <c r="AF457" i="2"/>
  <c r="AC457" i="2"/>
  <c r="AB457" i="2"/>
  <c r="V457" i="2"/>
  <c r="BQ456" i="2"/>
  <c r="AP456" i="2"/>
  <c r="AG456" i="2" s="1"/>
  <c r="AO456" i="2"/>
  <c r="AN456" i="2"/>
  <c r="AE456" i="2" s="1"/>
  <c r="AM456" i="2"/>
  <c r="AD456" i="2" s="1"/>
  <c r="AL456" i="2"/>
  <c r="AJ456" i="2"/>
  <c r="AF456" i="2"/>
  <c r="AC456" i="2"/>
  <c r="AB456" i="2"/>
  <c r="V456" i="2"/>
  <c r="BQ455" i="2"/>
  <c r="AP455" i="2"/>
  <c r="AG455" i="2" s="1"/>
  <c r="AO455" i="2"/>
  <c r="AN455" i="2"/>
  <c r="AE455" i="2" s="1"/>
  <c r="AM455" i="2"/>
  <c r="AL455" i="2"/>
  <c r="AJ455" i="2"/>
  <c r="AF455" i="2"/>
  <c r="AC455" i="2"/>
  <c r="AB455" i="2"/>
  <c r="V455" i="2"/>
  <c r="BQ454" i="2"/>
  <c r="AP454" i="2"/>
  <c r="AO454" i="2"/>
  <c r="AF454" i="2" s="1"/>
  <c r="AN454" i="2"/>
  <c r="AE454" i="2" s="1"/>
  <c r="AM454" i="2"/>
  <c r="AD454" i="2" s="1"/>
  <c r="AL454" i="2"/>
  <c r="AJ454" i="2"/>
  <c r="AG454" i="2"/>
  <c r="AC454" i="2"/>
  <c r="AB454" i="2"/>
  <c r="V454" i="2"/>
  <c r="BQ453" i="2"/>
  <c r="AP453" i="2"/>
  <c r="AG453" i="2" s="1"/>
  <c r="AO453" i="2"/>
  <c r="AF453" i="2" s="1"/>
  <c r="AN453" i="2"/>
  <c r="AM453" i="2"/>
  <c r="AD453" i="2" s="1"/>
  <c r="AL453" i="2"/>
  <c r="AJ453" i="2"/>
  <c r="AC453" i="2"/>
  <c r="AB453" i="2"/>
  <c r="V453" i="2"/>
  <c r="BQ452" i="2"/>
  <c r="AP452" i="2"/>
  <c r="AO452" i="2"/>
  <c r="AN452" i="2"/>
  <c r="AE452" i="2" s="1"/>
  <c r="AM452" i="2"/>
  <c r="AQ452" i="2" s="1"/>
  <c r="AL452" i="2"/>
  <c r="AJ452" i="2"/>
  <c r="AG452" i="2"/>
  <c r="AF452" i="2"/>
  <c r="AD452" i="2"/>
  <c r="AC452" i="2"/>
  <c r="AB452" i="2"/>
  <c r="V452" i="2"/>
  <c r="BQ451" i="2"/>
  <c r="AP451" i="2"/>
  <c r="AO451" i="2"/>
  <c r="AN451" i="2"/>
  <c r="AE451" i="2" s="1"/>
  <c r="AM451" i="2"/>
  <c r="AQ451" i="2" s="1"/>
  <c r="AL451" i="2"/>
  <c r="AJ451" i="2"/>
  <c r="AH451" i="2"/>
  <c r="AG451" i="2"/>
  <c r="AF451" i="2"/>
  <c r="AD451" i="2"/>
  <c r="AC451" i="2"/>
  <c r="AB451" i="2"/>
  <c r="V451" i="2"/>
  <c r="BQ450" i="2"/>
  <c r="AP450" i="2"/>
  <c r="AO450" i="2"/>
  <c r="AN450" i="2"/>
  <c r="AE450" i="2" s="1"/>
  <c r="AM450" i="2"/>
  <c r="AQ450" i="2" s="1"/>
  <c r="AH450" i="2" s="1"/>
  <c r="AL450" i="2"/>
  <c r="AJ450" i="2"/>
  <c r="AG450" i="2"/>
  <c r="AF450" i="2"/>
  <c r="AD450" i="2"/>
  <c r="AC450" i="2"/>
  <c r="AB450" i="2"/>
  <c r="V450" i="2"/>
  <c r="BQ449" i="2"/>
  <c r="AP449" i="2"/>
  <c r="AO449" i="2"/>
  <c r="AN449" i="2"/>
  <c r="AE449" i="2" s="1"/>
  <c r="AM449" i="2"/>
  <c r="AL449" i="2"/>
  <c r="AJ449" i="2"/>
  <c r="AG449" i="2"/>
  <c r="AF449" i="2"/>
  <c r="AD449" i="2"/>
  <c r="AC449" i="2"/>
  <c r="AB449" i="2"/>
  <c r="V449" i="2"/>
  <c r="BQ448" i="2"/>
  <c r="AP448" i="2"/>
  <c r="AG448" i="2" s="1"/>
  <c r="AO448" i="2"/>
  <c r="AN448" i="2"/>
  <c r="AE448" i="2" s="1"/>
  <c r="AM448" i="2"/>
  <c r="AL448" i="2"/>
  <c r="AC448" i="2" s="1"/>
  <c r="AJ448" i="2"/>
  <c r="AF448" i="2"/>
  <c r="AD448" i="2"/>
  <c r="AB448" i="2"/>
  <c r="V448" i="2"/>
  <c r="BQ447" i="2"/>
  <c r="AP447" i="2"/>
  <c r="AO447" i="2"/>
  <c r="AN447" i="2"/>
  <c r="AE447" i="2" s="1"/>
  <c r="AM447" i="2"/>
  <c r="AL447" i="2"/>
  <c r="AJ447" i="2"/>
  <c r="AG447" i="2"/>
  <c r="AF447" i="2"/>
  <c r="AC447" i="2"/>
  <c r="AB447" i="2"/>
  <c r="V447" i="2"/>
  <c r="BQ446" i="2"/>
  <c r="AP446" i="2"/>
  <c r="AO446" i="2"/>
  <c r="AN446" i="2"/>
  <c r="AE446" i="2" s="1"/>
  <c r="AM446" i="2"/>
  <c r="AL446" i="2"/>
  <c r="AJ446" i="2"/>
  <c r="AG446" i="2"/>
  <c r="AF446" i="2"/>
  <c r="AD446" i="2"/>
  <c r="AB446" i="2"/>
  <c r="V446" i="2"/>
  <c r="BQ445" i="2"/>
  <c r="AP445" i="2"/>
  <c r="AG445" i="2" s="1"/>
  <c r="AO445" i="2"/>
  <c r="AF445" i="2" s="1"/>
  <c r="AN445" i="2"/>
  <c r="AE445" i="2" s="1"/>
  <c r="AM445" i="2"/>
  <c r="AQ445" i="2" s="1"/>
  <c r="AH445" i="2" s="1"/>
  <c r="AL445" i="2"/>
  <c r="AJ445" i="2"/>
  <c r="AC445" i="2"/>
  <c r="AB445" i="2"/>
  <c r="V445" i="2"/>
  <c r="BQ444" i="2"/>
  <c r="AQ444" i="2"/>
  <c r="AH444" i="2" s="1"/>
  <c r="AP444" i="2"/>
  <c r="AG444" i="2" s="1"/>
  <c r="AO444" i="2"/>
  <c r="AN444" i="2"/>
  <c r="AE444" i="2" s="1"/>
  <c r="AM444" i="2"/>
  <c r="AL444" i="2"/>
  <c r="AJ444" i="2"/>
  <c r="AF444" i="2"/>
  <c r="AD444" i="2"/>
  <c r="AC444" i="2"/>
  <c r="AB444" i="2"/>
  <c r="V444" i="2"/>
  <c r="BQ443" i="2"/>
  <c r="AP443" i="2"/>
  <c r="AG443" i="2" s="1"/>
  <c r="AO443" i="2"/>
  <c r="AN443" i="2"/>
  <c r="AE443" i="2" s="1"/>
  <c r="AM443" i="2"/>
  <c r="AD443" i="2" s="1"/>
  <c r="AL443" i="2"/>
  <c r="AJ443" i="2"/>
  <c r="AF443" i="2"/>
  <c r="AC443" i="2"/>
  <c r="AB443" i="2"/>
  <c r="V443" i="2"/>
  <c r="BQ442" i="2"/>
  <c r="AP442" i="2"/>
  <c r="AG442" i="2" s="1"/>
  <c r="AO442" i="2"/>
  <c r="AN442" i="2"/>
  <c r="AM442" i="2"/>
  <c r="AD442" i="2" s="1"/>
  <c r="AL442" i="2"/>
  <c r="AJ442" i="2"/>
  <c r="AF442" i="2"/>
  <c r="AC442" i="2"/>
  <c r="AB442" i="2"/>
  <c r="V442" i="2"/>
  <c r="BQ441" i="2"/>
  <c r="AP441" i="2"/>
  <c r="AG441" i="2" s="1"/>
  <c r="AO441" i="2"/>
  <c r="AF441" i="2" s="1"/>
  <c r="AN441" i="2"/>
  <c r="AM441" i="2"/>
  <c r="AD441" i="2" s="1"/>
  <c r="AL441" i="2"/>
  <c r="AJ441" i="2"/>
  <c r="AC441" i="2"/>
  <c r="AB441" i="2"/>
  <c r="V441" i="2"/>
  <c r="BQ440" i="2"/>
  <c r="AP440" i="2"/>
  <c r="AG440" i="2" s="1"/>
  <c r="AO440" i="2"/>
  <c r="AN440" i="2"/>
  <c r="AM440" i="2"/>
  <c r="AD440" i="2" s="1"/>
  <c r="AL440" i="2"/>
  <c r="AJ440" i="2"/>
  <c r="AF440" i="2"/>
  <c r="AC440" i="2"/>
  <c r="AB440" i="2"/>
  <c r="V440" i="2"/>
  <c r="BQ439" i="2"/>
  <c r="AP439" i="2"/>
  <c r="AG439" i="2" s="1"/>
  <c r="AO439" i="2"/>
  <c r="AF439" i="2" s="1"/>
  <c r="AN439" i="2"/>
  <c r="AM439" i="2"/>
  <c r="AD439" i="2" s="1"/>
  <c r="AL439" i="2"/>
  <c r="AJ439" i="2"/>
  <c r="AC439" i="2"/>
  <c r="AB439" i="2"/>
  <c r="V439" i="2"/>
  <c r="BQ438" i="2"/>
  <c r="AP438" i="2"/>
  <c r="AG438" i="2" s="1"/>
  <c r="AO438" i="2"/>
  <c r="AN438" i="2"/>
  <c r="AM438" i="2"/>
  <c r="AD438" i="2" s="1"/>
  <c r="AL438" i="2"/>
  <c r="AJ438" i="2"/>
  <c r="AF438" i="2"/>
  <c r="AC438" i="2"/>
  <c r="AB438" i="2"/>
  <c r="V438" i="2"/>
  <c r="BQ437" i="2"/>
  <c r="AP437" i="2"/>
  <c r="AG437" i="2" s="1"/>
  <c r="AO437" i="2"/>
  <c r="AN437" i="2"/>
  <c r="AM437" i="2"/>
  <c r="AD437" i="2" s="1"/>
  <c r="AL437" i="2"/>
  <c r="AJ437" i="2"/>
  <c r="AF437" i="2"/>
  <c r="AC437" i="2"/>
  <c r="AB437" i="2"/>
  <c r="V437" i="2"/>
  <c r="BQ436" i="2"/>
  <c r="AP436" i="2"/>
  <c r="AG436" i="2" s="1"/>
  <c r="AO436" i="2"/>
  <c r="AN436" i="2"/>
  <c r="AM436" i="2"/>
  <c r="AD436" i="2" s="1"/>
  <c r="AL436" i="2"/>
  <c r="AC436" i="2" s="1"/>
  <c r="AJ436" i="2"/>
  <c r="AF436" i="2"/>
  <c r="AB436" i="2"/>
  <c r="V436" i="2"/>
  <c r="BQ435" i="2"/>
  <c r="AP435" i="2"/>
  <c r="AG435" i="2" s="1"/>
  <c r="AO435" i="2"/>
  <c r="AN435" i="2"/>
  <c r="AM435" i="2"/>
  <c r="AD435" i="2" s="1"/>
  <c r="AL435" i="2"/>
  <c r="AJ435" i="2"/>
  <c r="AF435" i="2"/>
  <c r="AC435" i="2"/>
  <c r="AB435" i="2"/>
  <c r="V435" i="2"/>
  <c r="BQ434" i="2"/>
  <c r="AP434" i="2"/>
  <c r="AG434" i="2" s="1"/>
  <c r="AO434" i="2"/>
  <c r="AN434" i="2"/>
  <c r="AM434" i="2"/>
  <c r="AD434" i="2" s="1"/>
  <c r="AL434" i="2"/>
  <c r="AC434" i="2" s="1"/>
  <c r="AJ434" i="2"/>
  <c r="AF434" i="2"/>
  <c r="AB434" i="2"/>
  <c r="V434" i="2"/>
  <c r="BQ433" i="2"/>
  <c r="AP433" i="2"/>
  <c r="AG433" i="2" s="1"/>
  <c r="AO433" i="2"/>
  <c r="AN433" i="2"/>
  <c r="AM433" i="2"/>
  <c r="AD433" i="2" s="1"/>
  <c r="AL433" i="2"/>
  <c r="AJ433" i="2"/>
  <c r="AF433" i="2"/>
  <c r="AC433" i="2"/>
  <c r="AB433" i="2"/>
  <c r="V433" i="2"/>
  <c r="BQ432" i="2"/>
  <c r="AP432" i="2"/>
  <c r="AG432" i="2" s="1"/>
  <c r="AO432" i="2"/>
  <c r="AN432" i="2"/>
  <c r="AM432" i="2"/>
  <c r="AD432" i="2" s="1"/>
  <c r="AL432" i="2"/>
  <c r="AC432" i="2" s="1"/>
  <c r="AJ432" i="2"/>
  <c r="AF432" i="2"/>
  <c r="AB432" i="2"/>
  <c r="V432" i="2"/>
  <c r="BQ431" i="2"/>
  <c r="AP431" i="2"/>
  <c r="AG431" i="2" s="1"/>
  <c r="AO431" i="2"/>
  <c r="AN431" i="2"/>
  <c r="AM431" i="2"/>
  <c r="AD431" i="2" s="1"/>
  <c r="AL431" i="2"/>
  <c r="AJ431" i="2"/>
  <c r="AF431" i="2"/>
  <c r="AC431" i="2"/>
  <c r="AB431" i="2"/>
  <c r="V431" i="2"/>
  <c r="BQ430" i="2"/>
  <c r="AP430" i="2"/>
  <c r="AG430" i="2" s="1"/>
  <c r="AO430" i="2"/>
  <c r="AN430" i="2"/>
  <c r="AM430" i="2"/>
  <c r="AD430" i="2" s="1"/>
  <c r="AL430" i="2"/>
  <c r="AJ430" i="2"/>
  <c r="AF430" i="2"/>
  <c r="AC430" i="2"/>
  <c r="AB430" i="2"/>
  <c r="V430" i="2"/>
  <c r="BQ429" i="2"/>
  <c r="AP429" i="2"/>
  <c r="AG429" i="2" s="1"/>
  <c r="AO429" i="2"/>
  <c r="AN429" i="2"/>
  <c r="AM429" i="2"/>
  <c r="AD429" i="2" s="1"/>
  <c r="AL429" i="2"/>
  <c r="AJ429" i="2"/>
  <c r="AF429" i="2"/>
  <c r="AC429" i="2"/>
  <c r="AB429" i="2"/>
  <c r="V429" i="2"/>
  <c r="BQ428" i="2"/>
  <c r="AP428" i="2"/>
  <c r="AG428" i="2" s="1"/>
  <c r="AO428" i="2"/>
  <c r="AN428" i="2"/>
  <c r="AM428" i="2"/>
  <c r="AD428" i="2" s="1"/>
  <c r="AL428" i="2"/>
  <c r="AJ428" i="2"/>
  <c r="AF428" i="2"/>
  <c r="AC428" i="2"/>
  <c r="AB428" i="2"/>
  <c r="V428" i="2"/>
  <c r="BQ427" i="2"/>
  <c r="AP427" i="2"/>
  <c r="AG427" i="2" s="1"/>
  <c r="AO427" i="2"/>
  <c r="AF427" i="2" s="1"/>
  <c r="AN427" i="2"/>
  <c r="AM427" i="2"/>
  <c r="AD427" i="2" s="1"/>
  <c r="AL427" i="2"/>
  <c r="AJ427" i="2"/>
  <c r="AC427" i="2"/>
  <c r="AB427" i="2"/>
  <c r="V427" i="2"/>
  <c r="BQ426" i="2"/>
  <c r="AP426" i="2"/>
  <c r="AG426" i="2" s="1"/>
  <c r="AO426" i="2"/>
  <c r="AN426" i="2"/>
  <c r="AM426" i="2"/>
  <c r="AD426" i="2" s="1"/>
  <c r="AL426" i="2"/>
  <c r="AJ426" i="2"/>
  <c r="AF426" i="2"/>
  <c r="AC426" i="2"/>
  <c r="AB426" i="2"/>
  <c r="V426" i="2"/>
  <c r="BQ425" i="2"/>
  <c r="AP425" i="2"/>
  <c r="AG425" i="2" s="1"/>
  <c r="AO425" i="2"/>
  <c r="AF425" i="2" s="1"/>
  <c r="AN425" i="2"/>
  <c r="AM425" i="2"/>
  <c r="AD425" i="2" s="1"/>
  <c r="AL425" i="2"/>
  <c r="AJ425" i="2"/>
  <c r="AC425" i="2"/>
  <c r="AB425" i="2"/>
  <c r="V425" i="2"/>
  <c r="BQ424" i="2"/>
  <c r="AP424" i="2"/>
  <c r="AG424" i="2" s="1"/>
  <c r="AO424" i="2"/>
  <c r="AN424" i="2"/>
  <c r="AM424" i="2"/>
  <c r="AD424" i="2" s="1"/>
  <c r="AL424" i="2"/>
  <c r="AJ424" i="2"/>
  <c r="AF424" i="2"/>
  <c r="AC424" i="2"/>
  <c r="AB424" i="2"/>
  <c r="V424" i="2"/>
  <c r="BQ423" i="2"/>
  <c r="AP423" i="2"/>
  <c r="AG423" i="2" s="1"/>
  <c r="AO423" i="2"/>
  <c r="AF423" i="2" s="1"/>
  <c r="AN423" i="2"/>
  <c r="AM423" i="2"/>
  <c r="AD423" i="2" s="1"/>
  <c r="AL423" i="2"/>
  <c r="AJ423" i="2"/>
  <c r="AC423" i="2"/>
  <c r="AB423" i="2"/>
  <c r="V423" i="2"/>
  <c r="BQ422" i="2"/>
  <c r="AP422" i="2"/>
  <c r="AG422" i="2" s="1"/>
  <c r="AO422" i="2"/>
  <c r="AN422" i="2"/>
  <c r="AM422" i="2"/>
  <c r="AD422" i="2" s="1"/>
  <c r="AL422" i="2"/>
  <c r="AJ422" i="2"/>
  <c r="AF422" i="2"/>
  <c r="AC422" i="2"/>
  <c r="AB422" i="2"/>
  <c r="V422" i="2"/>
  <c r="BQ421" i="2"/>
  <c r="AP421" i="2"/>
  <c r="AG421" i="2" s="1"/>
  <c r="AO421" i="2"/>
  <c r="AN421" i="2"/>
  <c r="AM421" i="2"/>
  <c r="AD421" i="2" s="1"/>
  <c r="AL421" i="2"/>
  <c r="AJ421" i="2"/>
  <c r="AF421" i="2"/>
  <c r="AC421" i="2"/>
  <c r="AB421" i="2"/>
  <c r="V421" i="2"/>
  <c r="BQ420" i="2"/>
  <c r="AP420" i="2"/>
  <c r="AG420" i="2" s="1"/>
  <c r="AO420" i="2"/>
  <c r="AN420" i="2"/>
  <c r="AM420" i="2"/>
  <c r="AD420" i="2" s="1"/>
  <c r="AL420" i="2"/>
  <c r="AC420" i="2" s="1"/>
  <c r="AJ420" i="2"/>
  <c r="AF420" i="2"/>
  <c r="AB420" i="2"/>
  <c r="V420" i="2"/>
  <c r="BQ419" i="2"/>
  <c r="AP419" i="2"/>
  <c r="AG419" i="2" s="1"/>
  <c r="AO419" i="2"/>
  <c r="AN419" i="2"/>
  <c r="AM419" i="2"/>
  <c r="AD419" i="2" s="1"/>
  <c r="AL419" i="2"/>
  <c r="AJ419" i="2"/>
  <c r="AF419" i="2"/>
  <c r="AC419" i="2"/>
  <c r="AB419" i="2"/>
  <c r="V419" i="2"/>
  <c r="BQ418" i="2"/>
  <c r="AP418" i="2"/>
  <c r="AG418" i="2" s="1"/>
  <c r="AO418" i="2"/>
  <c r="AN418" i="2"/>
  <c r="AM418" i="2"/>
  <c r="AD418" i="2" s="1"/>
  <c r="AL418" i="2"/>
  <c r="AC418" i="2" s="1"/>
  <c r="AJ418" i="2"/>
  <c r="AF418" i="2"/>
  <c r="AB418" i="2"/>
  <c r="V418" i="2"/>
  <c r="BQ417" i="2"/>
  <c r="AP417" i="2"/>
  <c r="AG417" i="2" s="1"/>
  <c r="AO417" i="2"/>
  <c r="AN417" i="2"/>
  <c r="AM417" i="2"/>
  <c r="AD417" i="2" s="1"/>
  <c r="AL417" i="2"/>
  <c r="AJ417" i="2"/>
  <c r="AF417" i="2"/>
  <c r="AC417" i="2"/>
  <c r="AB417" i="2"/>
  <c r="V417" i="2"/>
  <c r="BQ416" i="2"/>
  <c r="AP416" i="2"/>
  <c r="AG416" i="2" s="1"/>
  <c r="AO416" i="2"/>
  <c r="AN416" i="2"/>
  <c r="AM416" i="2"/>
  <c r="AD416" i="2" s="1"/>
  <c r="AL416" i="2"/>
  <c r="AC416" i="2" s="1"/>
  <c r="AJ416" i="2"/>
  <c r="AF416" i="2"/>
  <c r="AB416" i="2"/>
  <c r="V416" i="2"/>
  <c r="BQ415" i="2"/>
  <c r="AP415" i="2"/>
  <c r="AG415" i="2" s="1"/>
  <c r="AO415" i="2"/>
  <c r="AN415" i="2"/>
  <c r="AM415" i="2"/>
  <c r="AD415" i="2" s="1"/>
  <c r="AL415" i="2"/>
  <c r="AJ415" i="2"/>
  <c r="AF415" i="2"/>
  <c r="AC415" i="2"/>
  <c r="AB415" i="2"/>
  <c r="V415" i="2"/>
  <c r="BQ414" i="2"/>
  <c r="AP414" i="2"/>
  <c r="AG414" i="2" s="1"/>
  <c r="AO414" i="2"/>
  <c r="AN414" i="2"/>
  <c r="AM414" i="2"/>
  <c r="AD414" i="2" s="1"/>
  <c r="AL414" i="2"/>
  <c r="AJ414" i="2"/>
  <c r="AF414" i="2"/>
  <c r="AC414" i="2"/>
  <c r="AB414" i="2"/>
  <c r="V414" i="2"/>
  <c r="BQ413" i="2"/>
  <c r="AP413" i="2"/>
  <c r="AG413" i="2" s="1"/>
  <c r="AO413" i="2"/>
  <c r="AN413" i="2"/>
  <c r="AM413" i="2"/>
  <c r="AD413" i="2" s="1"/>
  <c r="AL413" i="2"/>
  <c r="AJ413" i="2"/>
  <c r="AF413" i="2"/>
  <c r="AC413" i="2"/>
  <c r="AB413" i="2"/>
  <c r="V413" i="2"/>
  <c r="BQ412" i="2"/>
  <c r="AP412" i="2"/>
  <c r="AG412" i="2" s="1"/>
  <c r="AO412" i="2"/>
  <c r="AN412" i="2"/>
  <c r="AE412" i="2" s="1"/>
  <c r="AM412" i="2"/>
  <c r="AD412" i="2" s="1"/>
  <c r="AL412" i="2"/>
  <c r="AJ412" i="2"/>
  <c r="AF412" i="2"/>
  <c r="AC412" i="2"/>
  <c r="AB412" i="2"/>
  <c r="V412" i="2"/>
  <c r="BQ411" i="2"/>
  <c r="AP411" i="2"/>
  <c r="AG411" i="2" s="1"/>
  <c r="AO411" i="2"/>
  <c r="AF411" i="2" s="1"/>
  <c r="AN411" i="2"/>
  <c r="AE411" i="2" s="1"/>
  <c r="AM411" i="2"/>
  <c r="AD411" i="2" s="1"/>
  <c r="AL411" i="2"/>
  <c r="AJ411" i="2"/>
  <c r="AC411" i="2"/>
  <c r="AB411" i="2"/>
  <c r="V411" i="2"/>
  <c r="BQ410" i="2"/>
  <c r="AP410" i="2"/>
  <c r="AG410" i="2" s="1"/>
  <c r="AO410" i="2"/>
  <c r="AN410" i="2"/>
  <c r="AE410" i="2" s="1"/>
  <c r="AM410" i="2"/>
  <c r="AD410" i="2" s="1"/>
  <c r="AL410" i="2"/>
  <c r="AJ410" i="2"/>
  <c r="AF410" i="2"/>
  <c r="AC410" i="2"/>
  <c r="AB410" i="2"/>
  <c r="V410" i="2"/>
  <c r="BQ409" i="2"/>
  <c r="AP409" i="2"/>
  <c r="AO409" i="2"/>
  <c r="AN409" i="2"/>
  <c r="AE409" i="2" s="1"/>
  <c r="AM409" i="2"/>
  <c r="AD409" i="2" s="1"/>
  <c r="AL409" i="2"/>
  <c r="AJ409" i="2"/>
  <c r="AF409" i="2"/>
  <c r="AC409" i="2"/>
  <c r="AB409" i="2"/>
  <c r="V409" i="2"/>
  <c r="BQ408" i="2"/>
  <c r="AP408" i="2"/>
  <c r="AG408" i="2" s="1"/>
  <c r="AO408" i="2"/>
  <c r="AN408" i="2"/>
  <c r="AE408" i="2" s="1"/>
  <c r="AM408" i="2"/>
  <c r="AD408" i="2" s="1"/>
  <c r="AL408" i="2"/>
  <c r="AJ408" i="2"/>
  <c r="AF408" i="2"/>
  <c r="AC408" i="2"/>
  <c r="AB408" i="2"/>
  <c r="V408" i="2"/>
  <c r="BQ407" i="2"/>
  <c r="AP407" i="2"/>
  <c r="AG407" i="2" s="1"/>
  <c r="AO407" i="2"/>
  <c r="AN407" i="2"/>
  <c r="AE407" i="2" s="1"/>
  <c r="AM407" i="2"/>
  <c r="AD407" i="2" s="1"/>
  <c r="AL407" i="2"/>
  <c r="AC407" i="2" s="1"/>
  <c r="AJ407" i="2"/>
  <c r="AF407" i="2"/>
  <c r="AB407" i="2"/>
  <c r="V407" i="2"/>
  <c r="BQ406" i="2"/>
  <c r="AP406" i="2"/>
  <c r="AG406" i="2" s="1"/>
  <c r="AO406" i="2"/>
  <c r="AN406" i="2"/>
  <c r="AE406" i="2" s="1"/>
  <c r="AM406" i="2"/>
  <c r="AD406" i="2" s="1"/>
  <c r="AL406" i="2"/>
  <c r="AJ406" i="2"/>
  <c r="AF406" i="2"/>
  <c r="AC406" i="2"/>
  <c r="AB406" i="2"/>
  <c r="V406" i="2"/>
  <c r="BQ405" i="2"/>
  <c r="AP405" i="2"/>
  <c r="AG405" i="2" s="1"/>
  <c r="AO405" i="2"/>
  <c r="AN405" i="2"/>
  <c r="AE405" i="2" s="1"/>
  <c r="AM405" i="2"/>
  <c r="AD405" i="2" s="1"/>
  <c r="AL405" i="2"/>
  <c r="AC405" i="2" s="1"/>
  <c r="AJ405" i="2"/>
  <c r="AF405" i="2"/>
  <c r="AB405" i="2"/>
  <c r="V405" i="2"/>
  <c r="BQ404" i="2"/>
  <c r="AP404" i="2"/>
  <c r="AG404" i="2" s="1"/>
  <c r="AO404" i="2"/>
  <c r="AN404" i="2"/>
  <c r="AE404" i="2" s="1"/>
  <c r="AM404" i="2"/>
  <c r="AL404" i="2"/>
  <c r="AJ404" i="2"/>
  <c r="AF404" i="2"/>
  <c r="AC404" i="2"/>
  <c r="AB404" i="2"/>
  <c r="V404" i="2"/>
  <c r="BQ403" i="2"/>
  <c r="AP403" i="2"/>
  <c r="AG403" i="2" s="1"/>
  <c r="AO403" i="2"/>
  <c r="AN403" i="2"/>
  <c r="AE403" i="2" s="1"/>
  <c r="AM403" i="2"/>
  <c r="AD403" i="2" s="1"/>
  <c r="AL403" i="2"/>
  <c r="AC403" i="2" s="1"/>
  <c r="AJ403" i="2"/>
  <c r="AF403" i="2"/>
  <c r="AB403" i="2"/>
  <c r="V403" i="2"/>
  <c r="BQ402" i="2"/>
  <c r="AP402" i="2"/>
  <c r="AG402" i="2" s="1"/>
  <c r="AO402" i="2"/>
  <c r="AF402" i="2" s="1"/>
  <c r="AN402" i="2"/>
  <c r="AE402" i="2" s="1"/>
  <c r="AM402" i="2"/>
  <c r="AD402" i="2" s="1"/>
  <c r="AL402" i="2"/>
  <c r="AJ402" i="2"/>
  <c r="AC402" i="2"/>
  <c r="AB402" i="2"/>
  <c r="V402" i="2"/>
  <c r="BQ401" i="2"/>
  <c r="AP401" i="2"/>
  <c r="AG401" i="2" s="1"/>
  <c r="AO401" i="2"/>
  <c r="AN401" i="2"/>
  <c r="AE401" i="2" s="1"/>
  <c r="AM401" i="2"/>
  <c r="AD401" i="2" s="1"/>
  <c r="AL401" i="2"/>
  <c r="AJ401" i="2"/>
  <c r="AF401" i="2"/>
  <c r="AC401" i="2"/>
  <c r="AB401" i="2"/>
  <c r="V401" i="2"/>
  <c r="BQ400" i="2"/>
  <c r="AP400" i="2"/>
  <c r="AG400" i="2" s="1"/>
  <c r="AO400" i="2"/>
  <c r="AN400" i="2"/>
  <c r="AE400" i="2" s="1"/>
  <c r="AM400" i="2"/>
  <c r="AL400" i="2"/>
  <c r="AJ400" i="2"/>
  <c r="AF400" i="2"/>
  <c r="AC400" i="2"/>
  <c r="AB400" i="2"/>
  <c r="V400" i="2"/>
  <c r="BQ399" i="2"/>
  <c r="AP399" i="2"/>
  <c r="AO399" i="2"/>
  <c r="AN399" i="2"/>
  <c r="AE399" i="2" s="1"/>
  <c r="AM399" i="2"/>
  <c r="AD399" i="2" s="1"/>
  <c r="AL399" i="2"/>
  <c r="AJ399" i="2"/>
  <c r="AG399" i="2"/>
  <c r="AF399" i="2"/>
  <c r="AC399" i="2"/>
  <c r="AB399" i="2"/>
  <c r="V399" i="2"/>
  <c r="BQ398" i="2"/>
  <c r="AP398" i="2"/>
  <c r="AQ398" i="2" s="1"/>
  <c r="AH398" i="2" s="1"/>
  <c r="AO398" i="2"/>
  <c r="AN398" i="2"/>
  <c r="AE398" i="2" s="1"/>
  <c r="AM398" i="2"/>
  <c r="AD398" i="2" s="1"/>
  <c r="AL398" i="2"/>
  <c r="AC398" i="2" s="1"/>
  <c r="AJ398" i="2"/>
  <c r="AF398" i="2"/>
  <c r="AB398" i="2"/>
  <c r="V398" i="2"/>
  <c r="BQ397" i="2"/>
  <c r="AP397" i="2"/>
  <c r="AO397" i="2"/>
  <c r="AF397" i="2" s="1"/>
  <c r="AN397" i="2"/>
  <c r="AE397" i="2" s="1"/>
  <c r="AM397" i="2"/>
  <c r="AD397" i="2" s="1"/>
  <c r="AL397" i="2"/>
  <c r="AJ397" i="2"/>
  <c r="AG397" i="2"/>
  <c r="AC397" i="2"/>
  <c r="AB397" i="2"/>
  <c r="V397" i="2"/>
  <c r="BQ396" i="2"/>
  <c r="AP396" i="2"/>
  <c r="AG396" i="2" s="1"/>
  <c r="AO396" i="2"/>
  <c r="AN396" i="2"/>
  <c r="AE396" i="2" s="1"/>
  <c r="AM396" i="2"/>
  <c r="AD396" i="2" s="1"/>
  <c r="AL396" i="2"/>
  <c r="AJ396" i="2"/>
  <c r="AF396" i="2"/>
  <c r="AC396" i="2"/>
  <c r="AB396" i="2"/>
  <c r="V396" i="2"/>
  <c r="BQ395" i="2"/>
  <c r="AP395" i="2"/>
  <c r="AG395" i="2" s="1"/>
  <c r="AO395" i="2"/>
  <c r="AN395" i="2"/>
  <c r="AE395" i="2" s="1"/>
  <c r="AM395" i="2"/>
  <c r="AL395" i="2"/>
  <c r="AC395" i="2" s="1"/>
  <c r="AJ395" i="2"/>
  <c r="AF395" i="2"/>
  <c r="AB395" i="2"/>
  <c r="V395" i="2"/>
  <c r="BQ394" i="2"/>
  <c r="AP394" i="2"/>
  <c r="AQ394" i="2" s="1"/>
  <c r="AH394" i="2" s="1"/>
  <c r="AO394" i="2"/>
  <c r="AN394" i="2"/>
  <c r="AE394" i="2" s="1"/>
  <c r="AM394" i="2"/>
  <c r="AD394" i="2" s="1"/>
  <c r="AL394" i="2"/>
  <c r="AJ394" i="2"/>
  <c r="AG394" i="2"/>
  <c r="AF394" i="2"/>
  <c r="AC394" i="2"/>
  <c r="AB394" i="2"/>
  <c r="V394" i="2"/>
  <c r="BQ393" i="2"/>
  <c r="AP393" i="2"/>
  <c r="AG393" i="2" s="1"/>
  <c r="AO393" i="2"/>
  <c r="AN393" i="2"/>
  <c r="AM393" i="2"/>
  <c r="AD393" i="2" s="1"/>
  <c r="AL393" i="2"/>
  <c r="AJ393" i="2"/>
  <c r="AF393" i="2"/>
  <c r="AC393" i="2"/>
  <c r="AB393" i="2"/>
  <c r="V393" i="2"/>
  <c r="BQ392" i="2"/>
  <c r="AP392" i="2"/>
  <c r="AG392" i="2" s="1"/>
  <c r="AO392" i="2"/>
  <c r="AF392" i="2" s="1"/>
  <c r="AN392" i="2"/>
  <c r="AE392" i="2" s="1"/>
  <c r="AM392" i="2"/>
  <c r="AD392" i="2" s="1"/>
  <c r="AL392" i="2"/>
  <c r="AJ392" i="2"/>
  <c r="AC392" i="2"/>
  <c r="AB392" i="2"/>
  <c r="V392" i="2"/>
  <c r="BQ391" i="2"/>
  <c r="AP391" i="2"/>
  <c r="AG391" i="2" s="1"/>
  <c r="AO391" i="2"/>
  <c r="AF391" i="2" s="1"/>
  <c r="AN391" i="2"/>
  <c r="AE391" i="2" s="1"/>
  <c r="AM391" i="2"/>
  <c r="AD391" i="2" s="1"/>
  <c r="AL391" i="2"/>
  <c r="AJ391" i="2"/>
  <c r="AC391" i="2"/>
  <c r="AB391" i="2"/>
  <c r="V391" i="2"/>
  <c r="BQ390" i="2"/>
  <c r="AP390" i="2"/>
  <c r="AG390" i="2" s="1"/>
  <c r="AO390" i="2"/>
  <c r="AN390" i="2"/>
  <c r="AE390" i="2" s="1"/>
  <c r="AM390" i="2"/>
  <c r="AL390" i="2"/>
  <c r="AC390" i="2" s="1"/>
  <c r="AJ390" i="2"/>
  <c r="AF390" i="2"/>
  <c r="AB390" i="2"/>
  <c r="V390" i="2"/>
  <c r="BQ389" i="2"/>
  <c r="AP389" i="2"/>
  <c r="AO389" i="2"/>
  <c r="AN389" i="2"/>
  <c r="AE389" i="2" s="1"/>
  <c r="AM389" i="2"/>
  <c r="AL389" i="2"/>
  <c r="AJ389" i="2"/>
  <c r="AG389" i="2"/>
  <c r="AF389" i="2"/>
  <c r="AC389" i="2"/>
  <c r="AB389" i="2"/>
  <c r="V389" i="2"/>
  <c r="BQ388" i="2"/>
  <c r="AP388" i="2"/>
  <c r="AG388" i="2" s="1"/>
  <c r="AO388" i="2"/>
  <c r="AF388" i="2" s="1"/>
  <c r="AN388" i="2"/>
  <c r="AE388" i="2" s="1"/>
  <c r="AM388" i="2"/>
  <c r="AD388" i="2" s="1"/>
  <c r="AL388" i="2"/>
  <c r="AJ388" i="2"/>
  <c r="AC388" i="2"/>
  <c r="AB388" i="2"/>
  <c r="V388" i="2"/>
  <c r="BQ387" i="2"/>
  <c r="AP387" i="2"/>
  <c r="AO387" i="2"/>
  <c r="AN387" i="2"/>
  <c r="AM387" i="2"/>
  <c r="AL387" i="2"/>
  <c r="AC387" i="2" s="1"/>
  <c r="AJ387" i="2"/>
  <c r="AG387" i="2"/>
  <c r="AF387" i="2"/>
  <c r="AE387" i="2"/>
  <c r="AB387" i="2"/>
  <c r="V387" i="2"/>
  <c r="BQ386" i="2"/>
  <c r="AP386" i="2"/>
  <c r="AO386" i="2"/>
  <c r="AN386" i="2"/>
  <c r="AM386" i="2"/>
  <c r="AD386" i="2" s="1"/>
  <c r="AL386" i="2"/>
  <c r="AJ386" i="2"/>
  <c r="AG386" i="2"/>
  <c r="AF386" i="2"/>
  <c r="AE386" i="2"/>
  <c r="AC386" i="2"/>
  <c r="AB386" i="2"/>
  <c r="V386" i="2"/>
  <c r="BQ385" i="2"/>
  <c r="AP385" i="2"/>
  <c r="AO385" i="2"/>
  <c r="AF385" i="2" s="1"/>
  <c r="AN385" i="2"/>
  <c r="AM385" i="2"/>
  <c r="AL385" i="2"/>
  <c r="AJ385" i="2"/>
  <c r="AG385" i="2"/>
  <c r="AE385" i="2"/>
  <c r="AD385" i="2"/>
  <c r="AC385" i="2"/>
  <c r="AB385" i="2"/>
  <c r="V385" i="2"/>
  <c r="BQ384" i="2"/>
  <c r="AP384" i="2"/>
  <c r="AO384" i="2"/>
  <c r="AN384" i="2"/>
  <c r="AM384" i="2"/>
  <c r="AD384" i="2" s="1"/>
  <c r="AL384" i="2"/>
  <c r="AJ384" i="2"/>
  <c r="AG384" i="2"/>
  <c r="AF384" i="2"/>
  <c r="AE384" i="2"/>
  <c r="AC384" i="2"/>
  <c r="AB384" i="2"/>
  <c r="V384" i="2"/>
  <c r="BQ383" i="2"/>
  <c r="AP383" i="2"/>
  <c r="AG383" i="2" s="1"/>
  <c r="AO383" i="2"/>
  <c r="AN383" i="2"/>
  <c r="AM383" i="2"/>
  <c r="AL383" i="2"/>
  <c r="AJ383" i="2"/>
  <c r="AF383" i="2"/>
  <c r="AE383" i="2"/>
  <c r="AD383" i="2"/>
  <c r="AB383" i="2"/>
  <c r="V383" i="2"/>
  <c r="BQ382" i="2"/>
  <c r="AP382" i="2"/>
  <c r="AO382" i="2"/>
  <c r="AF382" i="2" s="1"/>
  <c r="AN382" i="2"/>
  <c r="AM382" i="2"/>
  <c r="AL382" i="2"/>
  <c r="AJ382" i="2"/>
  <c r="AE382" i="2"/>
  <c r="AD382" i="2"/>
  <c r="AC382" i="2"/>
  <c r="AB382" i="2"/>
  <c r="V382" i="2"/>
  <c r="BQ381" i="2"/>
  <c r="AP381" i="2"/>
  <c r="AO381" i="2"/>
  <c r="AF381" i="2" s="1"/>
  <c r="AN381" i="2"/>
  <c r="AE381" i="2" s="1"/>
  <c r="AM381" i="2"/>
  <c r="AD381" i="2" s="1"/>
  <c r="AL381" i="2"/>
  <c r="AC381" i="2" s="1"/>
  <c r="AJ381" i="2"/>
  <c r="AB381" i="2"/>
  <c r="V381" i="2"/>
  <c r="BQ380" i="2"/>
  <c r="AP380" i="2"/>
  <c r="AO380" i="2"/>
  <c r="AN380" i="2"/>
  <c r="AM380" i="2"/>
  <c r="AD380" i="2" s="1"/>
  <c r="AL380" i="2"/>
  <c r="AJ380" i="2"/>
  <c r="AF380" i="2"/>
  <c r="AE380" i="2"/>
  <c r="AC380" i="2"/>
  <c r="AB380" i="2"/>
  <c r="V380" i="2"/>
  <c r="BQ379" i="2"/>
  <c r="AP379" i="2"/>
  <c r="AO379" i="2"/>
  <c r="AN379" i="2"/>
  <c r="AM379" i="2"/>
  <c r="AL379" i="2"/>
  <c r="AC379" i="2" s="1"/>
  <c r="AJ379" i="2"/>
  <c r="AF379" i="2"/>
  <c r="AE379" i="2"/>
  <c r="AD379" i="2"/>
  <c r="AB379" i="2"/>
  <c r="V379" i="2"/>
  <c r="BQ378" i="2"/>
  <c r="AP378" i="2"/>
  <c r="AO378" i="2"/>
  <c r="AN378" i="2"/>
  <c r="AM378" i="2"/>
  <c r="AD378" i="2" s="1"/>
  <c r="AL378" i="2"/>
  <c r="AJ378" i="2"/>
  <c r="AF378" i="2"/>
  <c r="AE378" i="2"/>
  <c r="AC378" i="2"/>
  <c r="AB378" i="2"/>
  <c r="V378" i="2"/>
  <c r="BQ377" i="2"/>
  <c r="AP377" i="2"/>
  <c r="AQ377" i="2" s="1"/>
  <c r="AH377" i="2" s="1"/>
  <c r="AO377" i="2"/>
  <c r="AN377" i="2"/>
  <c r="AM377" i="2"/>
  <c r="AL377" i="2"/>
  <c r="AJ377" i="2"/>
  <c r="AF377" i="2"/>
  <c r="AE377" i="2"/>
  <c r="AD377" i="2"/>
  <c r="AC377" i="2"/>
  <c r="AB377" i="2"/>
  <c r="V377" i="2"/>
  <c r="BQ376" i="2"/>
  <c r="AP376" i="2"/>
  <c r="AQ376" i="2" s="1"/>
  <c r="AH376" i="2" s="1"/>
  <c r="AO376" i="2"/>
  <c r="AF376" i="2" s="1"/>
  <c r="AN376" i="2"/>
  <c r="AE376" i="2" s="1"/>
  <c r="AM376" i="2"/>
  <c r="AD376" i="2" s="1"/>
  <c r="AL376" i="2"/>
  <c r="AJ376" i="2"/>
  <c r="AC376" i="2"/>
  <c r="AB376" i="2"/>
  <c r="V376" i="2"/>
  <c r="BQ375" i="2"/>
  <c r="AP375" i="2"/>
  <c r="AO375" i="2"/>
  <c r="AN375" i="2"/>
  <c r="AE375" i="2" s="1"/>
  <c r="AM375" i="2"/>
  <c r="AL375" i="2"/>
  <c r="AC375" i="2" s="1"/>
  <c r="AJ375" i="2"/>
  <c r="AF375" i="2"/>
  <c r="AD375" i="2"/>
  <c r="AB375" i="2"/>
  <c r="V375" i="2"/>
  <c r="BQ374" i="2"/>
  <c r="AP374" i="2"/>
  <c r="AQ374" i="2" s="1"/>
  <c r="AH374" i="2" s="1"/>
  <c r="AO374" i="2"/>
  <c r="AN374" i="2"/>
  <c r="AM374" i="2"/>
  <c r="AD374" i="2" s="1"/>
  <c r="AL374" i="2"/>
  <c r="AJ374" i="2"/>
  <c r="AF374" i="2"/>
  <c r="AE374" i="2"/>
  <c r="AC374" i="2"/>
  <c r="AB374" i="2"/>
  <c r="V374" i="2"/>
  <c r="BQ373" i="2"/>
  <c r="AP373" i="2"/>
  <c r="AO373" i="2"/>
  <c r="AN373" i="2"/>
  <c r="AE373" i="2" s="1"/>
  <c r="AM373" i="2"/>
  <c r="AL373" i="2"/>
  <c r="AJ373" i="2"/>
  <c r="AF373" i="2"/>
  <c r="AD373" i="2"/>
  <c r="AC373" i="2"/>
  <c r="AB373" i="2"/>
  <c r="V373" i="2"/>
  <c r="BQ372" i="2"/>
  <c r="AP372" i="2"/>
  <c r="AO372" i="2"/>
  <c r="AF372" i="2" s="1"/>
  <c r="AN372" i="2"/>
  <c r="AM372" i="2"/>
  <c r="AL372" i="2"/>
  <c r="AJ372" i="2"/>
  <c r="AE372" i="2"/>
  <c r="AD372" i="2"/>
  <c r="AC372" i="2"/>
  <c r="AB372" i="2"/>
  <c r="V372" i="2"/>
  <c r="BQ371" i="2"/>
  <c r="AP371" i="2"/>
  <c r="AO371" i="2"/>
  <c r="AF371" i="2" s="1"/>
  <c r="AN371" i="2"/>
  <c r="AE371" i="2" s="1"/>
  <c r="AM371" i="2"/>
  <c r="AL371" i="2"/>
  <c r="AC371" i="2" s="1"/>
  <c r="AJ371" i="2"/>
  <c r="AD371" i="2"/>
  <c r="AB371" i="2"/>
  <c r="V371" i="2"/>
  <c r="BQ370" i="2"/>
  <c r="AP370" i="2"/>
  <c r="AO370" i="2"/>
  <c r="AF370" i="2" s="1"/>
  <c r="AN370" i="2"/>
  <c r="AE370" i="2" s="1"/>
  <c r="AM370" i="2"/>
  <c r="AD370" i="2" s="1"/>
  <c r="AL370" i="2"/>
  <c r="AC370" i="2" s="1"/>
  <c r="AJ370" i="2"/>
  <c r="AB370" i="2"/>
  <c r="V370" i="2"/>
  <c r="BQ369" i="2"/>
  <c r="AP369" i="2"/>
  <c r="AO369" i="2"/>
  <c r="AN369" i="2"/>
  <c r="AM369" i="2"/>
  <c r="AL369" i="2"/>
  <c r="AC369" i="2" s="1"/>
  <c r="AJ369" i="2"/>
  <c r="AF369" i="2"/>
  <c r="AE369" i="2"/>
  <c r="AD369" i="2"/>
  <c r="AB369" i="2"/>
  <c r="V369" i="2"/>
  <c r="BQ368" i="2"/>
  <c r="AP368" i="2"/>
  <c r="AO368" i="2"/>
  <c r="AF368" i="2" s="1"/>
  <c r="AN368" i="2"/>
  <c r="AM368" i="2"/>
  <c r="AL368" i="2"/>
  <c r="AJ368" i="2"/>
  <c r="AE368" i="2"/>
  <c r="AD368" i="2"/>
  <c r="AC368" i="2"/>
  <c r="AB368" i="2"/>
  <c r="V368" i="2"/>
  <c r="BQ367" i="2"/>
  <c r="AP367" i="2"/>
  <c r="AQ367" i="2" s="1"/>
  <c r="AO367" i="2"/>
  <c r="AN367" i="2"/>
  <c r="AM367" i="2"/>
  <c r="AL367" i="2"/>
  <c r="AC367" i="2" s="1"/>
  <c r="AJ367" i="2"/>
  <c r="AF367" i="2"/>
  <c r="AE367" i="2"/>
  <c r="AD367" i="2"/>
  <c r="AB367" i="2"/>
  <c r="V367" i="2"/>
  <c r="BQ366" i="2"/>
  <c r="AP366" i="2"/>
  <c r="AO366" i="2"/>
  <c r="AF366" i="2" s="1"/>
  <c r="AN366" i="2"/>
  <c r="AM366" i="2"/>
  <c r="AL366" i="2"/>
  <c r="AJ366" i="2"/>
  <c r="AE366" i="2"/>
  <c r="AD366" i="2"/>
  <c r="AC366" i="2"/>
  <c r="AB366" i="2"/>
  <c r="V366" i="2"/>
  <c r="BQ365" i="2"/>
  <c r="AP365" i="2"/>
  <c r="AO365" i="2"/>
  <c r="AF365" i="2" s="1"/>
  <c r="AN365" i="2"/>
  <c r="AE365" i="2" s="1"/>
  <c r="AM365" i="2"/>
  <c r="AD365" i="2" s="1"/>
  <c r="AL365" i="2"/>
  <c r="AC365" i="2" s="1"/>
  <c r="AJ365" i="2"/>
  <c r="AB365" i="2"/>
  <c r="V365" i="2"/>
  <c r="BQ364" i="2"/>
  <c r="AP364" i="2"/>
  <c r="AO364" i="2"/>
  <c r="AN364" i="2"/>
  <c r="AM364" i="2"/>
  <c r="AD364" i="2" s="1"/>
  <c r="AL364" i="2"/>
  <c r="AC364" i="2" s="1"/>
  <c r="AJ364" i="2"/>
  <c r="AF364" i="2"/>
  <c r="AE364" i="2"/>
  <c r="AB364" i="2"/>
  <c r="V364" i="2"/>
  <c r="BQ363" i="2"/>
  <c r="AP363" i="2"/>
  <c r="AO363" i="2"/>
  <c r="AN363" i="2"/>
  <c r="AM363" i="2"/>
  <c r="AL363" i="2"/>
  <c r="AJ363" i="2"/>
  <c r="AF363" i="2"/>
  <c r="AE363" i="2"/>
  <c r="AD363" i="2"/>
  <c r="AC363" i="2"/>
  <c r="AB363" i="2"/>
  <c r="V363" i="2"/>
  <c r="BQ362" i="2"/>
  <c r="AP362" i="2"/>
  <c r="AO362" i="2"/>
  <c r="AN362" i="2"/>
  <c r="AM362" i="2"/>
  <c r="AD362" i="2" s="1"/>
  <c r="AL362" i="2"/>
  <c r="AJ362" i="2"/>
  <c r="AF362" i="2"/>
  <c r="AE362" i="2"/>
  <c r="AC362" i="2"/>
  <c r="AB362" i="2"/>
  <c r="V362" i="2"/>
  <c r="BQ361" i="2"/>
  <c r="AP361" i="2"/>
  <c r="AQ361" i="2" s="1"/>
  <c r="AO361" i="2"/>
  <c r="AN361" i="2"/>
  <c r="AE361" i="2" s="1"/>
  <c r="AM361" i="2"/>
  <c r="AL361" i="2"/>
  <c r="AJ361" i="2"/>
  <c r="AF361" i="2"/>
  <c r="AD361" i="2"/>
  <c r="AC361" i="2"/>
  <c r="AB361" i="2"/>
  <c r="V361" i="2"/>
  <c r="BQ360" i="2"/>
  <c r="AP360" i="2"/>
  <c r="AO360" i="2"/>
  <c r="AF360" i="2" s="1"/>
  <c r="AN360" i="2"/>
  <c r="AE360" i="2" s="1"/>
  <c r="AM360" i="2"/>
  <c r="AD360" i="2" s="1"/>
  <c r="AL360" i="2"/>
  <c r="AJ360" i="2"/>
  <c r="AC360" i="2"/>
  <c r="AB360" i="2"/>
  <c r="V360" i="2"/>
  <c r="BQ359" i="2"/>
  <c r="AP359" i="2"/>
  <c r="AO359" i="2"/>
  <c r="AN359" i="2"/>
  <c r="AE359" i="2" s="1"/>
  <c r="AM359" i="2"/>
  <c r="AD359" i="2" s="1"/>
  <c r="AL359" i="2"/>
  <c r="AC359" i="2" s="1"/>
  <c r="AJ359" i="2"/>
  <c r="AF359" i="2"/>
  <c r="AB359" i="2"/>
  <c r="V359" i="2"/>
  <c r="BQ358" i="2"/>
  <c r="AP358" i="2"/>
  <c r="AQ358" i="2" s="1"/>
  <c r="AH358" i="2" s="1"/>
  <c r="AO358" i="2"/>
  <c r="AN358" i="2"/>
  <c r="AM358" i="2"/>
  <c r="AL358" i="2"/>
  <c r="AJ358" i="2"/>
  <c r="AF358" i="2"/>
  <c r="AE358" i="2"/>
  <c r="AD358" i="2"/>
  <c r="AC358" i="2"/>
  <c r="AB358" i="2"/>
  <c r="V358" i="2"/>
  <c r="BQ357" i="2"/>
  <c r="AP357" i="2"/>
  <c r="AO357" i="2"/>
  <c r="AN357" i="2"/>
  <c r="AE357" i="2" s="1"/>
  <c r="AM357" i="2"/>
  <c r="AL357" i="2"/>
  <c r="AJ357" i="2"/>
  <c r="AF357" i="2"/>
  <c r="AD357" i="2"/>
  <c r="AC357" i="2"/>
  <c r="AB357" i="2"/>
  <c r="V357" i="2"/>
  <c r="BQ356" i="2"/>
  <c r="AP356" i="2"/>
  <c r="AO356" i="2"/>
  <c r="AF356" i="2" s="1"/>
  <c r="AN356" i="2"/>
  <c r="AM356" i="2"/>
  <c r="AL356" i="2"/>
  <c r="AJ356" i="2"/>
  <c r="AE356" i="2"/>
  <c r="AD356" i="2"/>
  <c r="AC356" i="2"/>
  <c r="AB356" i="2"/>
  <c r="V356" i="2"/>
  <c r="BQ355" i="2"/>
  <c r="AP355" i="2"/>
  <c r="AO355" i="2"/>
  <c r="AF355" i="2" s="1"/>
  <c r="AN355" i="2"/>
  <c r="AE355" i="2" s="1"/>
  <c r="AM355" i="2"/>
  <c r="AL355" i="2"/>
  <c r="AJ355" i="2"/>
  <c r="AD355" i="2"/>
  <c r="AC355" i="2"/>
  <c r="AB355" i="2"/>
  <c r="V355" i="2"/>
  <c r="BQ354" i="2"/>
  <c r="AP354" i="2"/>
  <c r="AO354" i="2"/>
  <c r="AF354" i="2" s="1"/>
  <c r="AN354" i="2"/>
  <c r="AE354" i="2" s="1"/>
  <c r="AM354" i="2"/>
  <c r="AD354" i="2" s="1"/>
  <c r="AL354" i="2"/>
  <c r="AC354" i="2" s="1"/>
  <c r="AJ354" i="2"/>
  <c r="AB354" i="2"/>
  <c r="V354" i="2"/>
  <c r="BQ353" i="2"/>
  <c r="AP353" i="2"/>
  <c r="AO353" i="2"/>
  <c r="AN353" i="2"/>
  <c r="AE353" i="2" s="1"/>
  <c r="AM353" i="2"/>
  <c r="AL353" i="2"/>
  <c r="AC353" i="2" s="1"/>
  <c r="AJ353" i="2"/>
  <c r="AF353" i="2"/>
  <c r="AD353" i="2"/>
  <c r="AB353" i="2"/>
  <c r="V353" i="2"/>
  <c r="BQ352" i="2"/>
  <c r="AP352" i="2"/>
  <c r="AO352" i="2"/>
  <c r="AF352" i="2" s="1"/>
  <c r="AN352" i="2"/>
  <c r="AM352" i="2"/>
  <c r="AL352" i="2"/>
  <c r="AJ352" i="2"/>
  <c r="AE352" i="2"/>
  <c r="AD352" i="2"/>
  <c r="AC352" i="2"/>
  <c r="AB352" i="2"/>
  <c r="V352" i="2"/>
  <c r="BQ351" i="2"/>
  <c r="AP351" i="2"/>
  <c r="AQ351" i="2" s="1"/>
  <c r="AH351" i="2" s="1"/>
  <c r="AO351" i="2"/>
  <c r="AN351" i="2"/>
  <c r="AM351" i="2"/>
  <c r="AL351" i="2"/>
  <c r="AC351" i="2" s="1"/>
  <c r="AJ351" i="2"/>
  <c r="AF351" i="2"/>
  <c r="AE351" i="2"/>
  <c r="AD351" i="2"/>
  <c r="AB351" i="2"/>
  <c r="V351" i="2"/>
  <c r="BQ350" i="2"/>
  <c r="AP350" i="2"/>
  <c r="AO350" i="2"/>
  <c r="AF350" i="2" s="1"/>
  <c r="AN350" i="2"/>
  <c r="AM350" i="2"/>
  <c r="AD350" i="2" s="1"/>
  <c r="AL350" i="2"/>
  <c r="AJ350" i="2"/>
  <c r="AE350" i="2"/>
  <c r="AC350" i="2"/>
  <c r="AB350" i="2"/>
  <c r="V350" i="2"/>
  <c r="BQ349" i="2"/>
  <c r="AP349" i="2"/>
  <c r="AO349" i="2"/>
  <c r="AF349" i="2" s="1"/>
  <c r="AN349" i="2"/>
  <c r="AE349" i="2" s="1"/>
  <c r="AM349" i="2"/>
  <c r="AD349" i="2" s="1"/>
  <c r="AL349" i="2"/>
  <c r="AC349" i="2" s="1"/>
  <c r="AJ349" i="2"/>
  <c r="AB349" i="2"/>
  <c r="V349" i="2"/>
  <c r="BQ348" i="2"/>
  <c r="AP348" i="2"/>
  <c r="AO348" i="2"/>
  <c r="AF348" i="2" s="1"/>
  <c r="AN348" i="2"/>
  <c r="AM348" i="2"/>
  <c r="AD348" i="2" s="1"/>
  <c r="AL348" i="2"/>
  <c r="AJ348" i="2"/>
  <c r="AE348" i="2"/>
  <c r="AC348" i="2"/>
  <c r="AB348" i="2"/>
  <c r="V348" i="2"/>
  <c r="BQ347" i="2"/>
  <c r="AP347" i="2"/>
  <c r="AO347" i="2"/>
  <c r="AN347" i="2"/>
  <c r="AM347" i="2"/>
  <c r="AL347" i="2"/>
  <c r="AJ347" i="2"/>
  <c r="AF347" i="2"/>
  <c r="AE347" i="2"/>
  <c r="AD347" i="2"/>
  <c r="AC347" i="2"/>
  <c r="AB347" i="2"/>
  <c r="V347" i="2"/>
  <c r="BQ346" i="2"/>
  <c r="AP346" i="2"/>
  <c r="AO346" i="2"/>
  <c r="AN346" i="2"/>
  <c r="AM346" i="2"/>
  <c r="AL346" i="2"/>
  <c r="AJ346" i="2"/>
  <c r="AF346" i="2"/>
  <c r="AE346" i="2"/>
  <c r="AD346" i="2"/>
  <c r="AC346" i="2"/>
  <c r="AB346" i="2"/>
  <c r="V346" i="2"/>
  <c r="BQ345" i="2"/>
  <c r="AP345" i="2"/>
  <c r="AO345" i="2"/>
  <c r="AN345" i="2"/>
  <c r="AE345" i="2" s="1"/>
  <c r="AM345" i="2"/>
  <c r="AL345" i="2"/>
  <c r="AJ345" i="2"/>
  <c r="AF345" i="2"/>
  <c r="AD345" i="2"/>
  <c r="AC345" i="2"/>
  <c r="AB345" i="2"/>
  <c r="V345" i="2"/>
  <c r="BQ344" i="2"/>
  <c r="AP344" i="2"/>
  <c r="AO344" i="2"/>
  <c r="AF344" i="2" s="1"/>
  <c r="AN344" i="2"/>
  <c r="AE344" i="2" s="1"/>
  <c r="AM344" i="2"/>
  <c r="AD344" i="2" s="1"/>
  <c r="AL344" i="2"/>
  <c r="AJ344" i="2"/>
  <c r="AC344" i="2"/>
  <c r="AB344" i="2"/>
  <c r="V344" i="2"/>
  <c r="BQ343" i="2"/>
  <c r="AP343" i="2"/>
  <c r="AO343" i="2"/>
  <c r="AN343" i="2"/>
  <c r="AE343" i="2" s="1"/>
  <c r="AM343" i="2"/>
  <c r="AL343" i="2"/>
  <c r="AC343" i="2" s="1"/>
  <c r="AJ343" i="2"/>
  <c r="AF343" i="2"/>
  <c r="AD343" i="2"/>
  <c r="AB343" i="2"/>
  <c r="V343" i="2"/>
  <c r="BQ342" i="2"/>
  <c r="AP342" i="2"/>
  <c r="AO342" i="2"/>
  <c r="AN342" i="2"/>
  <c r="AM342" i="2"/>
  <c r="AD342" i="2" s="1"/>
  <c r="AL342" i="2"/>
  <c r="AJ342" i="2"/>
  <c r="AF342" i="2"/>
  <c r="AE342" i="2"/>
  <c r="AC342" i="2"/>
  <c r="AB342" i="2"/>
  <c r="V342" i="2"/>
  <c r="BQ341" i="2"/>
  <c r="AP341" i="2"/>
  <c r="AG341" i="2" s="1"/>
  <c r="AO341" i="2"/>
  <c r="AN341" i="2"/>
  <c r="AM341" i="2"/>
  <c r="AL341" i="2"/>
  <c r="AQ341" i="2" s="1"/>
  <c r="AH341" i="2" s="1"/>
  <c r="AJ341" i="2"/>
  <c r="AF341" i="2"/>
  <c r="AE341" i="2"/>
  <c r="AD341" i="2"/>
  <c r="AC341" i="2"/>
  <c r="AB341" i="2"/>
  <c r="V341" i="2"/>
  <c r="BQ340" i="2"/>
  <c r="AQ340" i="2"/>
  <c r="AP340" i="2"/>
  <c r="AG340" i="2" s="1"/>
  <c r="AO340" i="2"/>
  <c r="AN340" i="2"/>
  <c r="AM340" i="2"/>
  <c r="AL340" i="2"/>
  <c r="AJ340" i="2"/>
  <c r="AF340" i="2"/>
  <c r="AE340" i="2"/>
  <c r="AD340" i="2"/>
  <c r="AC340" i="2"/>
  <c r="AB340" i="2"/>
  <c r="V340" i="2"/>
  <c r="BQ339" i="2"/>
  <c r="AP339" i="2"/>
  <c r="AG339" i="2" s="1"/>
  <c r="AO339" i="2"/>
  <c r="AQ339" i="2" s="1"/>
  <c r="AH339" i="2" s="1"/>
  <c r="AN339" i="2"/>
  <c r="AM339" i="2"/>
  <c r="AL339" i="2"/>
  <c r="AJ339" i="2"/>
  <c r="AE339" i="2"/>
  <c r="AD339" i="2"/>
  <c r="AC339" i="2"/>
  <c r="AB339" i="2"/>
  <c r="V339" i="2"/>
  <c r="BQ338" i="2"/>
  <c r="AP338" i="2"/>
  <c r="AG338" i="2" s="1"/>
  <c r="AO338" i="2"/>
  <c r="AF338" i="2" s="1"/>
  <c r="AN338" i="2"/>
  <c r="AM338" i="2"/>
  <c r="AQ338" i="2" s="1"/>
  <c r="AH338" i="2" s="1"/>
  <c r="AL338" i="2"/>
  <c r="AJ338" i="2"/>
  <c r="AE338" i="2"/>
  <c r="AC338" i="2"/>
  <c r="AB338" i="2"/>
  <c r="V338" i="2"/>
  <c r="BQ337" i="2"/>
  <c r="AQ337" i="2"/>
  <c r="AH337" i="2" s="1"/>
  <c r="AP337" i="2"/>
  <c r="AG337" i="2" s="1"/>
  <c r="AO337" i="2"/>
  <c r="AF337" i="2" s="1"/>
  <c r="AN337" i="2"/>
  <c r="AM337" i="2"/>
  <c r="AD337" i="2" s="1"/>
  <c r="AL337" i="2"/>
  <c r="AJ337" i="2"/>
  <c r="AE337" i="2"/>
  <c r="AC337" i="2"/>
  <c r="AB337" i="2"/>
  <c r="V337" i="2"/>
  <c r="BQ336" i="2"/>
  <c r="AP336" i="2"/>
  <c r="AG336" i="2" s="1"/>
  <c r="AO336" i="2"/>
  <c r="AF336" i="2" s="1"/>
  <c r="AN336" i="2"/>
  <c r="AE336" i="2" s="1"/>
  <c r="AM336" i="2"/>
  <c r="AD336" i="2" s="1"/>
  <c r="AL336" i="2"/>
  <c r="AC336" i="2" s="1"/>
  <c r="AJ336" i="2"/>
  <c r="AB336" i="2"/>
  <c r="V336" i="2"/>
  <c r="BQ335" i="2"/>
  <c r="AP335" i="2"/>
  <c r="AG335" i="2" s="1"/>
  <c r="AO335" i="2"/>
  <c r="AN335" i="2"/>
  <c r="AQ335" i="2" s="1"/>
  <c r="AH335" i="2" s="1"/>
  <c r="AM335" i="2"/>
  <c r="AL335" i="2"/>
  <c r="AC335" i="2" s="1"/>
  <c r="AJ335" i="2"/>
  <c r="AF335" i="2"/>
  <c r="AD335" i="2"/>
  <c r="AB335" i="2"/>
  <c r="V335" i="2"/>
  <c r="BQ334" i="2"/>
  <c r="AP334" i="2"/>
  <c r="AG334" i="2" s="1"/>
  <c r="AO334" i="2"/>
  <c r="AN334" i="2"/>
  <c r="AM334" i="2"/>
  <c r="AL334" i="2"/>
  <c r="AQ334" i="2" s="1"/>
  <c r="AH334" i="2" s="1"/>
  <c r="AJ334" i="2"/>
  <c r="AF334" i="2"/>
  <c r="AE334" i="2"/>
  <c r="AD334" i="2"/>
  <c r="AC334" i="2"/>
  <c r="AB334" i="2"/>
  <c r="V334" i="2"/>
  <c r="BQ333" i="2"/>
  <c r="AP333" i="2"/>
  <c r="AG333" i="2" s="1"/>
  <c r="AO333" i="2"/>
  <c r="AN333" i="2"/>
  <c r="AM333" i="2"/>
  <c r="AL333" i="2"/>
  <c r="AJ333" i="2"/>
  <c r="AF333" i="2"/>
  <c r="AE333" i="2"/>
  <c r="AD333" i="2"/>
  <c r="AC333" i="2"/>
  <c r="AB333" i="2"/>
  <c r="V333" i="2"/>
  <c r="BQ332" i="2"/>
  <c r="AP332" i="2"/>
  <c r="AG332" i="2" s="1"/>
  <c r="AO332" i="2"/>
  <c r="AN332" i="2"/>
  <c r="AE332" i="2" s="1"/>
  <c r="AM332" i="2"/>
  <c r="AL332" i="2"/>
  <c r="AC332" i="2" s="1"/>
  <c r="AJ332" i="2"/>
  <c r="AF332" i="2"/>
  <c r="AD332" i="2"/>
  <c r="AB332" i="2"/>
  <c r="V332" i="2"/>
  <c r="BQ331" i="2"/>
  <c r="AP331" i="2"/>
  <c r="AG331" i="2" s="1"/>
  <c r="AO331" i="2"/>
  <c r="AF331" i="2" s="1"/>
  <c r="AN331" i="2"/>
  <c r="AM331" i="2"/>
  <c r="AD331" i="2" s="1"/>
  <c r="AL331" i="2"/>
  <c r="AJ331" i="2"/>
  <c r="AC331" i="2"/>
  <c r="AB331" i="2"/>
  <c r="V331" i="2"/>
  <c r="BQ330" i="2"/>
  <c r="AP330" i="2"/>
  <c r="AG330" i="2" s="1"/>
  <c r="AO330" i="2"/>
  <c r="AF330" i="2" s="1"/>
  <c r="AN330" i="2"/>
  <c r="AE330" i="2" s="1"/>
  <c r="AM330" i="2"/>
  <c r="AD330" i="2" s="1"/>
  <c r="AL330" i="2"/>
  <c r="AC330" i="2" s="1"/>
  <c r="AJ330" i="2"/>
  <c r="AB330" i="2"/>
  <c r="V330" i="2"/>
  <c r="BQ329" i="2"/>
  <c r="AQ329" i="2"/>
  <c r="AH329" i="2" s="1"/>
  <c r="AP329" i="2"/>
  <c r="AG329" i="2" s="1"/>
  <c r="AO329" i="2"/>
  <c r="AF329" i="2" s="1"/>
  <c r="AN329" i="2"/>
  <c r="AE329" i="2" s="1"/>
  <c r="AM329" i="2"/>
  <c r="AD329" i="2" s="1"/>
  <c r="AL329" i="2"/>
  <c r="AJ329" i="2"/>
  <c r="AC329" i="2"/>
  <c r="AB329" i="2"/>
  <c r="V329" i="2"/>
  <c r="BQ328" i="2"/>
  <c r="AP328" i="2"/>
  <c r="AG328" i="2" s="1"/>
  <c r="AO328" i="2"/>
  <c r="AF328" i="2" s="1"/>
  <c r="AN328" i="2"/>
  <c r="AM328" i="2"/>
  <c r="AL328" i="2"/>
  <c r="AC328" i="2" s="1"/>
  <c r="AJ328" i="2"/>
  <c r="AE328" i="2"/>
  <c r="AB328" i="2"/>
  <c r="V328" i="2"/>
  <c r="BQ327" i="2"/>
  <c r="AP327" i="2"/>
  <c r="AG327" i="2" s="1"/>
  <c r="AO327" i="2"/>
  <c r="AF327" i="2" s="1"/>
  <c r="AN327" i="2"/>
  <c r="AE327" i="2" s="1"/>
  <c r="AM327" i="2"/>
  <c r="AD327" i="2" s="1"/>
  <c r="AL327" i="2"/>
  <c r="AJ327" i="2"/>
  <c r="AC327" i="2"/>
  <c r="AB327" i="2"/>
  <c r="V327" i="2"/>
  <c r="BQ326" i="2"/>
  <c r="AP326" i="2"/>
  <c r="AG326" i="2" s="1"/>
  <c r="AO326" i="2"/>
  <c r="AF326" i="2" s="1"/>
  <c r="AN326" i="2"/>
  <c r="AM326" i="2"/>
  <c r="AD326" i="2" s="1"/>
  <c r="AL326" i="2"/>
  <c r="AJ326" i="2"/>
  <c r="AE326" i="2"/>
  <c r="AC326" i="2"/>
  <c r="AB326" i="2"/>
  <c r="V326" i="2"/>
  <c r="BQ325" i="2"/>
  <c r="AP325" i="2"/>
  <c r="AG325" i="2" s="1"/>
  <c r="AO325" i="2"/>
  <c r="AN325" i="2"/>
  <c r="AE325" i="2" s="1"/>
  <c r="AM325" i="2"/>
  <c r="AL325" i="2"/>
  <c r="AJ325" i="2"/>
  <c r="AF325" i="2"/>
  <c r="AC325" i="2"/>
  <c r="AB325" i="2"/>
  <c r="V325" i="2"/>
  <c r="BQ324" i="2"/>
  <c r="AP324" i="2"/>
  <c r="AG324" i="2" s="1"/>
  <c r="AO324" i="2"/>
  <c r="AF324" i="2" s="1"/>
  <c r="AN324" i="2"/>
  <c r="AE324" i="2" s="1"/>
  <c r="AM324" i="2"/>
  <c r="AD324" i="2" s="1"/>
  <c r="AL324" i="2"/>
  <c r="AJ324" i="2"/>
  <c r="AC324" i="2"/>
  <c r="AB324" i="2"/>
  <c r="V324" i="2"/>
  <c r="BQ323" i="2"/>
  <c r="AP323" i="2"/>
  <c r="AG323" i="2" s="1"/>
  <c r="AO323" i="2"/>
  <c r="AN323" i="2"/>
  <c r="AM323" i="2"/>
  <c r="AD323" i="2" s="1"/>
  <c r="AL323" i="2"/>
  <c r="AJ323" i="2"/>
  <c r="AF323" i="2"/>
  <c r="AC323" i="2"/>
  <c r="AB323" i="2"/>
  <c r="V323" i="2"/>
  <c r="BQ322" i="2"/>
  <c r="AP322" i="2"/>
  <c r="AG322" i="2" s="1"/>
  <c r="AO322" i="2"/>
  <c r="AN322" i="2"/>
  <c r="AE322" i="2" s="1"/>
  <c r="AM322" i="2"/>
  <c r="AD322" i="2" s="1"/>
  <c r="AL322" i="2"/>
  <c r="AQ322" i="2" s="1"/>
  <c r="AH322" i="2" s="1"/>
  <c r="AJ322" i="2"/>
  <c r="AF322" i="2"/>
  <c r="AB322" i="2"/>
  <c r="V322" i="2"/>
  <c r="BQ321" i="2"/>
  <c r="AP321" i="2"/>
  <c r="AG321" i="2" s="1"/>
  <c r="AO321" i="2"/>
  <c r="AF321" i="2" s="1"/>
  <c r="AN321" i="2"/>
  <c r="AM321" i="2"/>
  <c r="AD321" i="2" s="1"/>
  <c r="AL321" i="2"/>
  <c r="AC321" i="2" s="1"/>
  <c r="AJ321" i="2"/>
  <c r="AE321" i="2"/>
  <c r="AB321" i="2"/>
  <c r="V321" i="2"/>
  <c r="BQ320" i="2"/>
  <c r="AP320" i="2"/>
  <c r="AG320" i="2" s="1"/>
  <c r="AO320" i="2"/>
  <c r="AN320" i="2"/>
  <c r="AE320" i="2" s="1"/>
  <c r="AM320" i="2"/>
  <c r="AL320" i="2"/>
  <c r="AC320" i="2" s="1"/>
  <c r="AJ320" i="2"/>
  <c r="AF320" i="2"/>
  <c r="AB320" i="2"/>
  <c r="V320" i="2"/>
  <c r="BQ319" i="2"/>
  <c r="AP319" i="2"/>
  <c r="AG319" i="2" s="1"/>
  <c r="AO319" i="2"/>
  <c r="AF319" i="2" s="1"/>
  <c r="AN319" i="2"/>
  <c r="AE319" i="2" s="1"/>
  <c r="AM319" i="2"/>
  <c r="AD319" i="2" s="1"/>
  <c r="AL319" i="2"/>
  <c r="AJ319" i="2"/>
  <c r="AC319" i="2"/>
  <c r="AB319" i="2"/>
  <c r="V319" i="2"/>
  <c r="BQ318" i="2"/>
  <c r="AP318" i="2"/>
  <c r="AG318" i="2" s="1"/>
  <c r="AO318" i="2"/>
  <c r="AF318" i="2" s="1"/>
  <c r="AN318" i="2"/>
  <c r="AM318" i="2"/>
  <c r="AQ318" i="2" s="1"/>
  <c r="AH318" i="2" s="1"/>
  <c r="AL318" i="2"/>
  <c r="AJ318" i="2"/>
  <c r="AE318" i="2"/>
  <c r="AD318" i="2"/>
  <c r="AC318" i="2"/>
  <c r="AB318" i="2"/>
  <c r="V318" i="2"/>
  <c r="BQ317" i="2"/>
  <c r="AP317" i="2"/>
  <c r="AG317" i="2" s="1"/>
  <c r="AO317" i="2"/>
  <c r="AN317" i="2"/>
  <c r="AE317" i="2" s="1"/>
  <c r="AM317" i="2"/>
  <c r="AL317" i="2"/>
  <c r="AC317" i="2" s="1"/>
  <c r="AJ317" i="2"/>
  <c r="AF317" i="2"/>
  <c r="AB317" i="2"/>
  <c r="V317" i="2"/>
  <c r="BQ316" i="2"/>
  <c r="AP316" i="2"/>
  <c r="AG316" i="2" s="1"/>
  <c r="AO316" i="2"/>
  <c r="AN316" i="2"/>
  <c r="AE316" i="2" s="1"/>
  <c r="AM316" i="2"/>
  <c r="AD316" i="2" s="1"/>
  <c r="AL316" i="2"/>
  <c r="AC316" i="2" s="1"/>
  <c r="AJ316" i="2"/>
  <c r="AF316" i="2"/>
  <c r="AB316" i="2"/>
  <c r="V316" i="2"/>
  <c r="BQ315" i="2"/>
  <c r="AP315" i="2"/>
  <c r="AG315" i="2" s="1"/>
  <c r="AO315" i="2"/>
  <c r="AF315" i="2" s="1"/>
  <c r="AN315" i="2"/>
  <c r="AQ315" i="2" s="1"/>
  <c r="AH315" i="2" s="1"/>
  <c r="AM315" i="2"/>
  <c r="AD315" i="2" s="1"/>
  <c r="AL315" i="2"/>
  <c r="AJ315" i="2"/>
  <c r="AC315" i="2"/>
  <c r="AB315" i="2"/>
  <c r="V315" i="2"/>
  <c r="BQ314" i="2"/>
  <c r="AP314" i="2"/>
  <c r="AG314" i="2" s="1"/>
  <c r="AO314" i="2"/>
  <c r="AN314" i="2"/>
  <c r="AM314" i="2"/>
  <c r="AD314" i="2" s="1"/>
  <c r="AL314" i="2"/>
  <c r="AJ314" i="2"/>
  <c r="AF314" i="2"/>
  <c r="AE314" i="2"/>
  <c r="AC314" i="2"/>
  <c r="AB314" i="2"/>
  <c r="V314" i="2"/>
  <c r="BQ313" i="2"/>
  <c r="AQ313" i="2"/>
  <c r="AH313" i="2" s="1"/>
  <c r="AP313" i="2"/>
  <c r="AG313" i="2" s="1"/>
  <c r="AO313" i="2"/>
  <c r="AF313" i="2" s="1"/>
  <c r="AN313" i="2"/>
  <c r="AM313" i="2"/>
  <c r="AD313" i="2" s="1"/>
  <c r="AL313" i="2"/>
  <c r="AJ313" i="2"/>
  <c r="AE313" i="2"/>
  <c r="AC313" i="2"/>
  <c r="AB313" i="2"/>
  <c r="V313" i="2"/>
  <c r="BQ312" i="2"/>
  <c r="AP312" i="2"/>
  <c r="AG312" i="2" s="1"/>
  <c r="AO312" i="2"/>
  <c r="AF312" i="2" s="1"/>
  <c r="AN312" i="2"/>
  <c r="AM312" i="2"/>
  <c r="AL312" i="2"/>
  <c r="AC312" i="2" s="1"/>
  <c r="AJ312" i="2"/>
  <c r="AE312" i="2"/>
  <c r="AB312" i="2"/>
  <c r="V312" i="2"/>
  <c r="BQ311" i="2"/>
  <c r="AP311" i="2"/>
  <c r="AG311" i="2" s="1"/>
  <c r="AO311" i="2"/>
  <c r="AF311" i="2" s="1"/>
  <c r="AN311" i="2"/>
  <c r="AE311" i="2" s="1"/>
  <c r="AM311" i="2"/>
  <c r="AD311" i="2" s="1"/>
  <c r="AL311" i="2"/>
  <c r="AC311" i="2" s="1"/>
  <c r="AJ311" i="2"/>
  <c r="AB311" i="2"/>
  <c r="V311" i="2"/>
  <c r="BQ310" i="2"/>
  <c r="AP310" i="2"/>
  <c r="AG310" i="2" s="1"/>
  <c r="AO310" i="2"/>
  <c r="AF310" i="2" s="1"/>
  <c r="AN310" i="2"/>
  <c r="AM310" i="2"/>
  <c r="AD310" i="2" s="1"/>
  <c r="AL310" i="2"/>
  <c r="AC310" i="2" s="1"/>
  <c r="AJ310" i="2"/>
  <c r="AE310" i="2"/>
  <c r="AB310" i="2"/>
  <c r="V310" i="2"/>
  <c r="BQ309" i="2"/>
  <c r="AP309" i="2"/>
  <c r="AG309" i="2" s="1"/>
  <c r="AO309" i="2"/>
  <c r="AF309" i="2" s="1"/>
  <c r="AN309" i="2"/>
  <c r="AM309" i="2"/>
  <c r="AQ309" i="2" s="1"/>
  <c r="AH309" i="2" s="1"/>
  <c r="AL309" i="2"/>
  <c r="AJ309" i="2"/>
  <c r="AE309" i="2"/>
  <c r="AC309" i="2"/>
  <c r="AB309" i="2"/>
  <c r="V309" i="2"/>
  <c r="BQ308" i="2"/>
  <c r="AP308" i="2"/>
  <c r="AG308" i="2" s="1"/>
  <c r="AO308" i="2"/>
  <c r="AQ308" i="2" s="1"/>
  <c r="AH308" i="2" s="1"/>
  <c r="AN308" i="2"/>
  <c r="AE308" i="2" s="1"/>
  <c r="AM308" i="2"/>
  <c r="AD308" i="2" s="1"/>
  <c r="AL308" i="2"/>
  <c r="AJ308" i="2"/>
  <c r="AF308" i="2"/>
  <c r="AC308" i="2"/>
  <c r="AB308" i="2"/>
  <c r="V308" i="2"/>
  <c r="BQ307" i="2"/>
  <c r="AP307" i="2"/>
  <c r="AG307" i="2" s="1"/>
  <c r="AO307" i="2"/>
  <c r="AF307" i="2" s="1"/>
  <c r="AN307" i="2"/>
  <c r="AM307" i="2"/>
  <c r="AD307" i="2" s="1"/>
  <c r="AL307" i="2"/>
  <c r="AC307" i="2" s="1"/>
  <c r="AJ307" i="2"/>
  <c r="AE307" i="2"/>
  <c r="AB307" i="2"/>
  <c r="V307" i="2"/>
  <c r="BQ306" i="2"/>
  <c r="AP306" i="2"/>
  <c r="AG306" i="2" s="1"/>
  <c r="AO306" i="2"/>
  <c r="AN306" i="2"/>
  <c r="AE306" i="2" s="1"/>
  <c r="AM306" i="2"/>
  <c r="AD306" i="2" s="1"/>
  <c r="AL306" i="2"/>
  <c r="AJ306" i="2"/>
  <c r="AF306" i="2"/>
  <c r="AC306" i="2"/>
  <c r="AB306" i="2"/>
  <c r="V306" i="2"/>
  <c r="BQ305" i="2"/>
  <c r="AP305" i="2"/>
  <c r="AG305" i="2" s="1"/>
  <c r="AO305" i="2"/>
  <c r="AF305" i="2" s="1"/>
  <c r="AN305" i="2"/>
  <c r="AM305" i="2"/>
  <c r="AD305" i="2" s="1"/>
  <c r="AL305" i="2"/>
  <c r="AQ305" i="2" s="1"/>
  <c r="AH305" i="2" s="1"/>
  <c r="AJ305" i="2"/>
  <c r="AE305" i="2"/>
  <c r="AC305" i="2"/>
  <c r="AB305" i="2"/>
  <c r="V305" i="2"/>
  <c r="BQ304" i="2"/>
  <c r="AP304" i="2"/>
  <c r="AG304" i="2" s="1"/>
  <c r="AO304" i="2"/>
  <c r="AN304" i="2"/>
  <c r="AM304" i="2"/>
  <c r="AD304" i="2" s="1"/>
  <c r="AL304" i="2"/>
  <c r="AJ304" i="2"/>
  <c r="AF304" i="2"/>
  <c r="AE304" i="2"/>
  <c r="AC304" i="2"/>
  <c r="AB304" i="2"/>
  <c r="V304" i="2"/>
  <c r="BQ303" i="2"/>
  <c r="AP303" i="2"/>
  <c r="AG303" i="2" s="1"/>
  <c r="AO303" i="2"/>
  <c r="AF303" i="2" s="1"/>
  <c r="AN303" i="2"/>
  <c r="AM303" i="2"/>
  <c r="AD303" i="2" s="1"/>
  <c r="AL303" i="2"/>
  <c r="AC303" i="2" s="1"/>
  <c r="AJ303" i="2"/>
  <c r="AE303" i="2"/>
  <c r="AB303" i="2"/>
  <c r="V303" i="2"/>
  <c r="BQ302" i="2"/>
  <c r="AP302" i="2"/>
  <c r="AG302" i="2" s="1"/>
  <c r="AO302" i="2"/>
  <c r="AN302" i="2"/>
  <c r="AE302" i="2" s="1"/>
  <c r="AM302" i="2"/>
  <c r="AD302" i="2" s="1"/>
  <c r="AL302" i="2"/>
  <c r="AC302" i="2" s="1"/>
  <c r="AJ302" i="2"/>
  <c r="AF302" i="2"/>
  <c r="AB302" i="2"/>
  <c r="V302" i="2"/>
  <c r="BQ301" i="2"/>
  <c r="AP301" i="2"/>
  <c r="AG301" i="2" s="1"/>
  <c r="AO301" i="2"/>
  <c r="AF301" i="2" s="1"/>
  <c r="AN301" i="2"/>
  <c r="AE301" i="2" s="1"/>
  <c r="AM301" i="2"/>
  <c r="AD301" i="2" s="1"/>
  <c r="AL301" i="2"/>
  <c r="AC301" i="2" s="1"/>
  <c r="AJ301" i="2"/>
  <c r="AB301" i="2"/>
  <c r="V301" i="2"/>
  <c r="BQ300" i="2"/>
  <c r="AP300" i="2"/>
  <c r="AG300" i="2" s="1"/>
  <c r="AO300" i="2"/>
  <c r="AN300" i="2"/>
  <c r="AM300" i="2"/>
  <c r="AD300" i="2" s="1"/>
  <c r="AL300" i="2"/>
  <c r="AJ300" i="2"/>
  <c r="AF300" i="2"/>
  <c r="AE300" i="2"/>
  <c r="AC300" i="2"/>
  <c r="AB300" i="2"/>
  <c r="V300" i="2"/>
  <c r="BQ299" i="2"/>
  <c r="AP299" i="2"/>
  <c r="AG299" i="2" s="1"/>
  <c r="AO299" i="2"/>
  <c r="AF299" i="2" s="1"/>
  <c r="AN299" i="2"/>
  <c r="AM299" i="2"/>
  <c r="AD299" i="2" s="1"/>
  <c r="AL299" i="2"/>
  <c r="AJ299" i="2"/>
  <c r="AE299" i="2"/>
  <c r="AC299" i="2"/>
  <c r="AB299" i="2"/>
  <c r="V299" i="2"/>
  <c r="BQ298" i="2"/>
  <c r="AP298" i="2"/>
  <c r="AG298" i="2" s="1"/>
  <c r="AO298" i="2"/>
  <c r="AN298" i="2"/>
  <c r="AE298" i="2" s="1"/>
  <c r="AM298" i="2"/>
  <c r="AD298" i="2" s="1"/>
  <c r="AL298" i="2"/>
  <c r="AC298" i="2" s="1"/>
  <c r="AJ298" i="2"/>
  <c r="AF298" i="2"/>
  <c r="AB298" i="2"/>
  <c r="V298" i="2"/>
  <c r="BQ297" i="2"/>
  <c r="AQ297" i="2"/>
  <c r="AH297" i="2" s="1"/>
  <c r="AP297" i="2"/>
  <c r="AG297" i="2" s="1"/>
  <c r="AO297" i="2"/>
  <c r="AF297" i="2" s="1"/>
  <c r="AN297" i="2"/>
  <c r="AE297" i="2" s="1"/>
  <c r="AM297" i="2"/>
  <c r="AD297" i="2" s="1"/>
  <c r="AL297" i="2"/>
  <c r="AC297" i="2" s="1"/>
  <c r="AJ297" i="2"/>
  <c r="AB297" i="2"/>
  <c r="V297" i="2"/>
  <c r="BQ296" i="2"/>
  <c r="AP296" i="2"/>
  <c r="AG296" i="2" s="1"/>
  <c r="AO296" i="2"/>
  <c r="AF296" i="2" s="1"/>
  <c r="AN296" i="2"/>
  <c r="AM296" i="2"/>
  <c r="AD296" i="2" s="1"/>
  <c r="AL296" i="2"/>
  <c r="AQ296" i="2" s="1"/>
  <c r="AH296" i="2" s="1"/>
  <c r="AJ296" i="2"/>
  <c r="AE296" i="2"/>
  <c r="AB296" i="2"/>
  <c r="V296" i="2"/>
  <c r="BQ295" i="2"/>
  <c r="AP295" i="2"/>
  <c r="AG295" i="2" s="1"/>
  <c r="AO295" i="2"/>
  <c r="AF295" i="2" s="1"/>
  <c r="AN295" i="2"/>
  <c r="AM295" i="2"/>
  <c r="AD295" i="2" s="1"/>
  <c r="AL295" i="2"/>
  <c r="AQ295" i="2" s="1"/>
  <c r="AH295" i="2" s="1"/>
  <c r="AJ295" i="2"/>
  <c r="AE295" i="2"/>
  <c r="AC295" i="2"/>
  <c r="AB295" i="2"/>
  <c r="V295" i="2"/>
  <c r="BQ294" i="2"/>
  <c r="AP294" i="2"/>
  <c r="AG294" i="2" s="1"/>
  <c r="AO294" i="2"/>
  <c r="AN294" i="2"/>
  <c r="AE294" i="2" s="1"/>
  <c r="AM294" i="2"/>
  <c r="AD294" i="2" s="1"/>
  <c r="AL294" i="2"/>
  <c r="AJ294" i="2"/>
  <c r="AF294" i="2"/>
  <c r="AC294" i="2"/>
  <c r="AB294" i="2"/>
  <c r="V294" i="2"/>
  <c r="BQ293" i="2"/>
  <c r="AP293" i="2"/>
  <c r="AG293" i="2" s="1"/>
  <c r="AO293" i="2"/>
  <c r="AF293" i="2" s="1"/>
  <c r="AN293" i="2"/>
  <c r="AM293" i="2"/>
  <c r="AD293" i="2" s="1"/>
  <c r="AL293" i="2"/>
  <c r="AJ293" i="2"/>
  <c r="AE293" i="2"/>
  <c r="AC293" i="2"/>
  <c r="AB293" i="2"/>
  <c r="V293" i="2"/>
  <c r="BQ292" i="2"/>
  <c r="AP292" i="2"/>
  <c r="AG292" i="2" s="1"/>
  <c r="AO292" i="2"/>
  <c r="AN292" i="2"/>
  <c r="AE292" i="2" s="1"/>
  <c r="AM292" i="2"/>
  <c r="AD292" i="2" s="1"/>
  <c r="AL292" i="2"/>
  <c r="AC292" i="2" s="1"/>
  <c r="AJ292" i="2"/>
  <c r="AF292" i="2"/>
  <c r="AB292" i="2"/>
  <c r="V292" i="2"/>
  <c r="BQ291" i="2"/>
  <c r="AP291" i="2"/>
  <c r="AG291" i="2" s="1"/>
  <c r="AO291" i="2"/>
  <c r="AN291" i="2"/>
  <c r="AM291" i="2"/>
  <c r="AD291" i="2" s="1"/>
  <c r="AL291" i="2"/>
  <c r="AQ291" i="2" s="1"/>
  <c r="AH291" i="2" s="1"/>
  <c r="AJ291" i="2"/>
  <c r="AF291" i="2"/>
  <c r="AE291" i="2"/>
  <c r="AB291" i="2"/>
  <c r="V291" i="2"/>
  <c r="BQ290" i="2"/>
  <c r="AP290" i="2"/>
  <c r="AG290" i="2" s="1"/>
  <c r="AO290" i="2"/>
  <c r="AF290" i="2" s="1"/>
  <c r="AN290" i="2"/>
  <c r="AM290" i="2"/>
  <c r="AD290" i="2" s="1"/>
  <c r="AL290" i="2"/>
  <c r="AJ290" i="2"/>
  <c r="AE290" i="2"/>
  <c r="AC290" i="2"/>
  <c r="AB290" i="2"/>
  <c r="V290" i="2"/>
  <c r="BQ289" i="2"/>
  <c r="AP289" i="2"/>
  <c r="AG289" i="2" s="1"/>
  <c r="AO289" i="2"/>
  <c r="AN289" i="2"/>
  <c r="AM289" i="2"/>
  <c r="AD289" i="2" s="1"/>
  <c r="AL289" i="2"/>
  <c r="AQ289" i="2" s="1"/>
  <c r="AH289" i="2" s="1"/>
  <c r="AJ289" i="2"/>
  <c r="AF289" i="2"/>
  <c r="AE289" i="2"/>
  <c r="AC289" i="2"/>
  <c r="AB289" i="2"/>
  <c r="V289" i="2"/>
  <c r="BQ288" i="2"/>
  <c r="AP288" i="2"/>
  <c r="AG288" i="2" s="1"/>
  <c r="AO288" i="2"/>
  <c r="AF288" i="2" s="1"/>
  <c r="AN288" i="2"/>
  <c r="AQ288" i="2" s="1"/>
  <c r="AH288" i="2" s="1"/>
  <c r="AM288" i="2"/>
  <c r="AD288" i="2" s="1"/>
  <c r="AL288" i="2"/>
  <c r="AJ288" i="2"/>
  <c r="AE288" i="2"/>
  <c r="AC288" i="2"/>
  <c r="AB288" i="2"/>
  <c r="V288" i="2"/>
  <c r="BQ287" i="2"/>
  <c r="AP287" i="2"/>
  <c r="AG287" i="2" s="1"/>
  <c r="AO287" i="2"/>
  <c r="AF287" i="2" s="1"/>
  <c r="AN287" i="2"/>
  <c r="AM287" i="2"/>
  <c r="AD287" i="2" s="1"/>
  <c r="AL287" i="2"/>
  <c r="AC287" i="2" s="1"/>
  <c r="AJ287" i="2"/>
  <c r="AE287" i="2"/>
  <c r="AB287" i="2"/>
  <c r="V287" i="2"/>
  <c r="BQ286" i="2"/>
  <c r="AP286" i="2"/>
  <c r="AG286" i="2" s="1"/>
  <c r="AO286" i="2"/>
  <c r="AN286" i="2"/>
  <c r="AE286" i="2" s="1"/>
  <c r="AM286" i="2"/>
  <c r="AD286" i="2" s="1"/>
  <c r="AL286" i="2"/>
  <c r="AJ286" i="2"/>
  <c r="AF286" i="2"/>
  <c r="AC286" i="2"/>
  <c r="AB286" i="2"/>
  <c r="V286" i="2"/>
  <c r="BQ285" i="2"/>
  <c r="AP285" i="2"/>
  <c r="AG285" i="2" s="1"/>
  <c r="AO285" i="2"/>
  <c r="AN285" i="2"/>
  <c r="AE285" i="2" s="1"/>
  <c r="AM285" i="2"/>
  <c r="AD285" i="2" s="1"/>
  <c r="AL285" i="2"/>
  <c r="AQ285" i="2" s="1"/>
  <c r="AH285" i="2" s="1"/>
  <c r="AJ285" i="2"/>
  <c r="AF285" i="2"/>
  <c r="AC285" i="2"/>
  <c r="AB285" i="2"/>
  <c r="V285" i="2"/>
  <c r="BQ284" i="2"/>
  <c r="AP284" i="2"/>
  <c r="AG284" i="2" s="1"/>
  <c r="AO284" i="2"/>
  <c r="AN284" i="2"/>
  <c r="AE284" i="2" s="1"/>
  <c r="AM284" i="2"/>
  <c r="AD284" i="2" s="1"/>
  <c r="AL284" i="2"/>
  <c r="AJ284" i="2"/>
  <c r="AF284" i="2"/>
  <c r="AC284" i="2"/>
  <c r="AB284" i="2"/>
  <c r="V284" i="2"/>
  <c r="BQ283" i="2"/>
  <c r="AP283" i="2"/>
  <c r="AG283" i="2" s="1"/>
  <c r="AO283" i="2"/>
  <c r="AF283" i="2" s="1"/>
  <c r="AN283" i="2"/>
  <c r="AM283" i="2"/>
  <c r="AD283" i="2" s="1"/>
  <c r="AL283" i="2"/>
  <c r="AJ283" i="2"/>
  <c r="AE283" i="2"/>
  <c r="AC283" i="2"/>
  <c r="AB283" i="2"/>
  <c r="V283" i="2"/>
  <c r="BQ282" i="2"/>
  <c r="AP282" i="2"/>
  <c r="AG282" i="2" s="1"/>
  <c r="AO282" i="2"/>
  <c r="AN282" i="2"/>
  <c r="AE282" i="2" s="1"/>
  <c r="AM282" i="2"/>
  <c r="AD282" i="2" s="1"/>
  <c r="AL282" i="2"/>
  <c r="AJ282" i="2"/>
  <c r="AF282" i="2"/>
  <c r="AC282" i="2"/>
  <c r="AB282" i="2"/>
  <c r="V282" i="2"/>
  <c r="BQ281" i="2"/>
  <c r="AP281" i="2"/>
  <c r="AG281" i="2" s="1"/>
  <c r="AO281" i="2"/>
  <c r="AN281" i="2"/>
  <c r="AM281" i="2"/>
  <c r="AD281" i="2" s="1"/>
  <c r="AL281" i="2"/>
  <c r="AC281" i="2" s="1"/>
  <c r="AJ281" i="2"/>
  <c r="AF281" i="2"/>
  <c r="AE281" i="2"/>
  <c r="AB281" i="2"/>
  <c r="V281" i="2"/>
  <c r="BQ280" i="2"/>
  <c r="AP280" i="2"/>
  <c r="AG280" i="2" s="1"/>
  <c r="AO280" i="2"/>
  <c r="AN280" i="2"/>
  <c r="AM280" i="2"/>
  <c r="AD280" i="2" s="1"/>
  <c r="AL280" i="2"/>
  <c r="AQ280" i="2" s="1"/>
  <c r="AH280" i="2" s="1"/>
  <c r="AJ280" i="2"/>
  <c r="AF280" i="2"/>
  <c r="AE280" i="2"/>
  <c r="AC280" i="2"/>
  <c r="AB280" i="2"/>
  <c r="V280" i="2"/>
  <c r="BQ279" i="2"/>
  <c r="AP279" i="2"/>
  <c r="AG279" i="2" s="1"/>
  <c r="AO279" i="2"/>
  <c r="AN279" i="2"/>
  <c r="AM279" i="2"/>
  <c r="AD279" i="2" s="1"/>
  <c r="AL279" i="2"/>
  <c r="AJ279" i="2"/>
  <c r="AF279" i="2"/>
  <c r="AE279" i="2"/>
  <c r="AC279" i="2"/>
  <c r="AB279" i="2"/>
  <c r="V279" i="2"/>
  <c r="BQ278" i="2"/>
  <c r="AP278" i="2"/>
  <c r="AG278" i="2" s="1"/>
  <c r="AO278" i="2"/>
  <c r="AN278" i="2"/>
  <c r="AE278" i="2" s="1"/>
  <c r="AM278" i="2"/>
  <c r="AD278" i="2" s="1"/>
  <c r="AL278" i="2"/>
  <c r="AC278" i="2" s="1"/>
  <c r="AJ278" i="2"/>
  <c r="AF278" i="2"/>
  <c r="AB278" i="2"/>
  <c r="V278" i="2"/>
  <c r="BQ277" i="2"/>
  <c r="AP277" i="2"/>
  <c r="AG277" i="2" s="1"/>
  <c r="AO277" i="2"/>
  <c r="AF277" i="2" s="1"/>
  <c r="AN277" i="2"/>
  <c r="AM277" i="2"/>
  <c r="AD277" i="2" s="1"/>
  <c r="AL277" i="2"/>
  <c r="AJ277" i="2"/>
  <c r="AE277" i="2"/>
  <c r="AC277" i="2"/>
  <c r="AB277" i="2"/>
  <c r="V277" i="2"/>
  <c r="BQ276" i="2"/>
  <c r="AP276" i="2"/>
  <c r="AG276" i="2" s="1"/>
  <c r="AO276" i="2"/>
  <c r="AF276" i="2" s="1"/>
  <c r="AN276" i="2"/>
  <c r="AE276" i="2" s="1"/>
  <c r="AM276" i="2"/>
  <c r="AD276" i="2" s="1"/>
  <c r="AL276" i="2"/>
  <c r="AQ276" i="2" s="1"/>
  <c r="AH276" i="2" s="1"/>
  <c r="AJ276" i="2"/>
  <c r="AC276" i="2"/>
  <c r="AB276" i="2"/>
  <c r="V276" i="2"/>
  <c r="BQ275" i="2"/>
  <c r="AP275" i="2"/>
  <c r="AG275" i="2" s="1"/>
  <c r="AO275" i="2"/>
  <c r="AF275" i="2" s="1"/>
  <c r="AN275" i="2"/>
  <c r="AM275" i="2"/>
  <c r="AD275" i="2" s="1"/>
  <c r="AL275" i="2"/>
  <c r="AC275" i="2" s="1"/>
  <c r="AJ275" i="2"/>
  <c r="AE275" i="2"/>
  <c r="AB275" i="2"/>
  <c r="V275" i="2"/>
  <c r="BQ274" i="2"/>
  <c r="AP274" i="2"/>
  <c r="AG274" i="2" s="1"/>
  <c r="AO274" i="2"/>
  <c r="AF274" i="2" s="1"/>
  <c r="AN274" i="2"/>
  <c r="AE274" i="2" s="1"/>
  <c r="AM274" i="2"/>
  <c r="AD274" i="2" s="1"/>
  <c r="AL274" i="2"/>
  <c r="AJ274" i="2"/>
  <c r="AC274" i="2"/>
  <c r="AB274" i="2"/>
  <c r="V274" i="2"/>
  <c r="BQ273" i="2"/>
  <c r="AP273" i="2"/>
  <c r="AG273" i="2" s="1"/>
  <c r="AO273" i="2"/>
  <c r="AN273" i="2"/>
  <c r="AM273" i="2"/>
  <c r="AD273" i="2" s="1"/>
  <c r="AL273" i="2"/>
  <c r="AJ273" i="2"/>
  <c r="AF273" i="2"/>
  <c r="AE273" i="2"/>
  <c r="AC273" i="2"/>
  <c r="AB273" i="2"/>
  <c r="V273" i="2"/>
  <c r="BQ272" i="2"/>
  <c r="AQ272" i="2"/>
  <c r="AH272" i="2" s="1"/>
  <c r="AP272" i="2"/>
  <c r="AG272" i="2" s="1"/>
  <c r="AO272" i="2"/>
  <c r="AN272" i="2"/>
  <c r="AE272" i="2" s="1"/>
  <c r="AM272" i="2"/>
  <c r="AD272" i="2" s="1"/>
  <c r="AL272" i="2"/>
  <c r="AJ272" i="2"/>
  <c r="AF272" i="2"/>
  <c r="AC272" i="2"/>
  <c r="AB272" i="2"/>
  <c r="V272" i="2"/>
  <c r="BQ271" i="2"/>
  <c r="AP271" i="2"/>
  <c r="AG271" i="2" s="1"/>
  <c r="AO271" i="2"/>
  <c r="AF271" i="2" s="1"/>
  <c r="AN271" i="2"/>
  <c r="AM271" i="2"/>
  <c r="AD271" i="2" s="1"/>
  <c r="AL271" i="2"/>
  <c r="AC271" i="2" s="1"/>
  <c r="AJ271" i="2"/>
  <c r="AE271" i="2"/>
  <c r="AB271" i="2"/>
  <c r="V271" i="2"/>
  <c r="BQ270" i="2"/>
  <c r="AP270" i="2"/>
  <c r="AG270" i="2" s="1"/>
  <c r="AO270" i="2"/>
  <c r="AN270" i="2"/>
  <c r="AM270" i="2"/>
  <c r="AD270" i="2" s="1"/>
  <c r="AL270" i="2"/>
  <c r="AJ270" i="2"/>
  <c r="AF270" i="2"/>
  <c r="AE270" i="2"/>
  <c r="AC270" i="2"/>
  <c r="AB270" i="2"/>
  <c r="V270" i="2"/>
  <c r="BQ269" i="2"/>
  <c r="AP269" i="2"/>
  <c r="AG269" i="2" s="1"/>
  <c r="AO269" i="2"/>
  <c r="AN269" i="2"/>
  <c r="AE269" i="2" s="1"/>
  <c r="AM269" i="2"/>
  <c r="AD269" i="2" s="1"/>
  <c r="AL269" i="2"/>
  <c r="AC269" i="2" s="1"/>
  <c r="AJ269" i="2"/>
  <c r="AF269" i="2"/>
  <c r="AB269" i="2"/>
  <c r="V269" i="2"/>
  <c r="BQ268" i="2"/>
  <c r="AP268" i="2"/>
  <c r="AG268" i="2" s="1"/>
  <c r="AO268" i="2"/>
  <c r="AN268" i="2"/>
  <c r="AE268" i="2" s="1"/>
  <c r="AM268" i="2"/>
  <c r="AD268" i="2" s="1"/>
  <c r="AL268" i="2"/>
  <c r="AJ268" i="2"/>
  <c r="AF268" i="2"/>
  <c r="AC268" i="2"/>
  <c r="AB268" i="2"/>
  <c r="V268" i="2"/>
  <c r="BQ267" i="2"/>
  <c r="AP267" i="2"/>
  <c r="AG267" i="2" s="1"/>
  <c r="AO267" i="2"/>
  <c r="AQ267" i="2" s="1"/>
  <c r="AH267" i="2" s="1"/>
  <c r="AN267" i="2"/>
  <c r="AM267" i="2"/>
  <c r="AD267" i="2" s="1"/>
  <c r="AL267" i="2"/>
  <c r="AJ267" i="2"/>
  <c r="AE267" i="2"/>
  <c r="AC267" i="2"/>
  <c r="AB267" i="2"/>
  <c r="V267" i="2"/>
  <c r="BQ266" i="2"/>
  <c r="AP266" i="2"/>
  <c r="AG266" i="2" s="1"/>
  <c r="AO266" i="2"/>
  <c r="AN266" i="2"/>
  <c r="AE266" i="2" s="1"/>
  <c r="AM266" i="2"/>
  <c r="AD266" i="2" s="1"/>
  <c r="AL266" i="2"/>
  <c r="AC266" i="2" s="1"/>
  <c r="AJ266" i="2"/>
  <c r="AF266" i="2"/>
  <c r="AB266" i="2"/>
  <c r="V266" i="2"/>
  <c r="BQ265" i="2"/>
  <c r="AP265" i="2"/>
  <c r="AG265" i="2" s="1"/>
  <c r="AO265" i="2"/>
  <c r="AF265" i="2" s="1"/>
  <c r="AN265" i="2"/>
  <c r="AM265" i="2"/>
  <c r="AD265" i="2" s="1"/>
  <c r="AL265" i="2"/>
  <c r="AC265" i="2" s="1"/>
  <c r="AJ265" i="2"/>
  <c r="AE265" i="2"/>
  <c r="AB265" i="2"/>
  <c r="V265" i="2"/>
  <c r="BQ264" i="2"/>
  <c r="AP264" i="2"/>
  <c r="AG264" i="2" s="1"/>
  <c r="AO264" i="2"/>
  <c r="AN264" i="2"/>
  <c r="AM264" i="2"/>
  <c r="AD264" i="2" s="1"/>
  <c r="AL264" i="2"/>
  <c r="AJ264" i="2"/>
  <c r="AF264" i="2"/>
  <c r="AE264" i="2"/>
  <c r="AC264" i="2"/>
  <c r="AB264" i="2"/>
  <c r="V264" i="2"/>
  <c r="BQ263" i="2"/>
  <c r="AP263" i="2"/>
  <c r="AG263" i="2" s="1"/>
  <c r="AO263" i="2"/>
  <c r="AN263" i="2"/>
  <c r="AE263" i="2" s="1"/>
  <c r="AM263" i="2"/>
  <c r="AD263" i="2" s="1"/>
  <c r="AL263" i="2"/>
  <c r="AJ263" i="2"/>
  <c r="AF263" i="2"/>
  <c r="AC263" i="2"/>
  <c r="AB263" i="2"/>
  <c r="V263" i="2"/>
  <c r="BQ262" i="2"/>
  <c r="AP262" i="2"/>
  <c r="AG262" i="2" s="1"/>
  <c r="AO262" i="2"/>
  <c r="AN262" i="2"/>
  <c r="AE262" i="2" s="1"/>
  <c r="AM262" i="2"/>
  <c r="AD262" i="2" s="1"/>
  <c r="AL262" i="2"/>
  <c r="AQ262" i="2" s="1"/>
  <c r="AH262" i="2" s="1"/>
  <c r="AJ262" i="2"/>
  <c r="AF262" i="2"/>
  <c r="AC262" i="2"/>
  <c r="AB262" i="2"/>
  <c r="V262" i="2"/>
  <c r="BQ261" i="2"/>
  <c r="AP261" i="2"/>
  <c r="AG261" i="2" s="1"/>
  <c r="AO261" i="2"/>
  <c r="AF261" i="2" s="1"/>
  <c r="AN261" i="2"/>
  <c r="AM261" i="2"/>
  <c r="AD261" i="2" s="1"/>
  <c r="AL261" i="2"/>
  <c r="AJ261" i="2"/>
  <c r="AE261" i="2"/>
  <c r="AC261" i="2"/>
  <c r="AB261" i="2"/>
  <c r="V261" i="2"/>
  <c r="BQ260" i="2"/>
  <c r="AP260" i="2"/>
  <c r="AG260" i="2" s="1"/>
  <c r="AO260" i="2"/>
  <c r="AF260" i="2" s="1"/>
  <c r="AN260" i="2"/>
  <c r="AE260" i="2" s="1"/>
  <c r="AM260" i="2"/>
  <c r="AD260" i="2" s="1"/>
  <c r="AL260" i="2"/>
  <c r="AC260" i="2" s="1"/>
  <c r="AJ260" i="2"/>
  <c r="AB260" i="2"/>
  <c r="V260" i="2"/>
  <c r="BQ259" i="2"/>
  <c r="AP259" i="2"/>
  <c r="AG259" i="2" s="1"/>
  <c r="AO259" i="2"/>
  <c r="AF259" i="2" s="1"/>
  <c r="AN259" i="2"/>
  <c r="AM259" i="2"/>
  <c r="AD259" i="2" s="1"/>
  <c r="AL259" i="2"/>
  <c r="AQ259" i="2" s="1"/>
  <c r="AH259" i="2" s="1"/>
  <c r="AJ259" i="2"/>
  <c r="AE259" i="2"/>
  <c r="AC259" i="2"/>
  <c r="AB259" i="2"/>
  <c r="V259" i="2"/>
  <c r="BQ258" i="2"/>
  <c r="AP258" i="2"/>
  <c r="AG258" i="2" s="1"/>
  <c r="AO258" i="2"/>
  <c r="AF258" i="2" s="1"/>
  <c r="AN258" i="2"/>
  <c r="AM258" i="2"/>
  <c r="AD258" i="2" s="1"/>
  <c r="AL258" i="2"/>
  <c r="AC258" i="2" s="1"/>
  <c r="AJ258" i="2"/>
  <c r="AE258" i="2"/>
  <c r="AB258" i="2"/>
  <c r="V258" i="2"/>
  <c r="BQ257" i="2"/>
  <c r="AP257" i="2"/>
  <c r="AG257" i="2" s="1"/>
  <c r="AO257" i="2"/>
  <c r="AF257" i="2" s="1"/>
  <c r="AN257" i="2"/>
  <c r="AM257" i="2"/>
  <c r="AD257" i="2" s="1"/>
  <c r="AL257" i="2"/>
  <c r="AJ257" i="2"/>
  <c r="AE257" i="2"/>
  <c r="AC257" i="2"/>
  <c r="AB257" i="2"/>
  <c r="V257" i="2"/>
  <c r="BQ256" i="2"/>
  <c r="AP256" i="2"/>
  <c r="AG256" i="2" s="1"/>
  <c r="AO256" i="2"/>
  <c r="AF256" i="2" s="1"/>
  <c r="AN256" i="2"/>
  <c r="AE256" i="2" s="1"/>
  <c r="AM256" i="2"/>
  <c r="AD256" i="2" s="1"/>
  <c r="AL256" i="2"/>
  <c r="AC256" i="2" s="1"/>
  <c r="AJ256" i="2"/>
  <c r="AB256" i="2"/>
  <c r="V256" i="2"/>
  <c r="BQ255" i="2"/>
  <c r="AP255" i="2"/>
  <c r="AG255" i="2" s="1"/>
  <c r="AO255" i="2"/>
  <c r="AN255" i="2"/>
  <c r="AM255" i="2"/>
  <c r="AD255" i="2" s="1"/>
  <c r="AL255" i="2"/>
  <c r="AC255" i="2" s="1"/>
  <c r="AJ255" i="2"/>
  <c r="AF255" i="2"/>
  <c r="AE255" i="2"/>
  <c r="AB255" i="2"/>
  <c r="V255" i="2"/>
  <c r="BQ254" i="2"/>
  <c r="AP254" i="2"/>
  <c r="AG254" i="2" s="1"/>
  <c r="AO254" i="2"/>
  <c r="AF254" i="2" s="1"/>
  <c r="AN254" i="2"/>
  <c r="AM254" i="2"/>
  <c r="AD254" i="2" s="1"/>
  <c r="AL254" i="2"/>
  <c r="AC254" i="2" s="1"/>
  <c r="AJ254" i="2"/>
  <c r="AE254" i="2"/>
  <c r="AB254" i="2"/>
  <c r="V254" i="2"/>
  <c r="BQ253" i="2"/>
  <c r="AP253" i="2"/>
  <c r="AO253" i="2"/>
  <c r="AF253" i="2" s="1"/>
  <c r="AN253" i="2"/>
  <c r="AM253" i="2"/>
  <c r="AD253" i="2" s="1"/>
  <c r="AL253" i="2"/>
  <c r="AJ253" i="2"/>
  <c r="AE253" i="2"/>
  <c r="AC253" i="2"/>
  <c r="AB253" i="2"/>
  <c r="V253" i="2"/>
  <c r="BQ252" i="2"/>
  <c r="AP252" i="2"/>
  <c r="AG252" i="2" s="1"/>
  <c r="AO252" i="2"/>
  <c r="AF252" i="2" s="1"/>
  <c r="AN252" i="2"/>
  <c r="AE252" i="2" s="1"/>
  <c r="AM252" i="2"/>
  <c r="AD252" i="2" s="1"/>
  <c r="AL252" i="2"/>
  <c r="AJ252" i="2"/>
  <c r="AC252" i="2"/>
  <c r="AB252" i="2"/>
  <c r="V252" i="2"/>
  <c r="BQ251" i="2"/>
  <c r="AP251" i="2"/>
  <c r="AG251" i="2" s="1"/>
  <c r="AO251" i="2"/>
  <c r="AF251" i="2" s="1"/>
  <c r="AN251" i="2"/>
  <c r="AE251" i="2" s="1"/>
  <c r="AM251" i="2"/>
  <c r="AD251" i="2" s="1"/>
  <c r="AL251" i="2"/>
  <c r="AC251" i="2" s="1"/>
  <c r="AJ251" i="2"/>
  <c r="AB251" i="2"/>
  <c r="V251" i="2"/>
  <c r="BQ250" i="2"/>
  <c r="AP250" i="2"/>
  <c r="AG250" i="2" s="1"/>
  <c r="AO250" i="2"/>
  <c r="AN250" i="2"/>
  <c r="AM250" i="2"/>
  <c r="AD250" i="2" s="1"/>
  <c r="AL250" i="2"/>
  <c r="AC250" i="2" s="1"/>
  <c r="AJ250" i="2"/>
  <c r="AF250" i="2"/>
  <c r="AE250" i="2"/>
  <c r="AB250" i="2"/>
  <c r="V250" i="2"/>
  <c r="BQ249" i="2"/>
  <c r="AP249" i="2"/>
  <c r="AG249" i="2" s="1"/>
  <c r="AO249" i="2"/>
  <c r="AN249" i="2"/>
  <c r="AM249" i="2"/>
  <c r="AD249" i="2" s="1"/>
  <c r="AL249" i="2"/>
  <c r="AJ249" i="2"/>
  <c r="AF249" i="2"/>
  <c r="AE249" i="2"/>
  <c r="AC249" i="2"/>
  <c r="AB249" i="2"/>
  <c r="V249" i="2"/>
  <c r="BQ248" i="2"/>
  <c r="AP248" i="2"/>
  <c r="AG248" i="2" s="1"/>
  <c r="AO248" i="2"/>
  <c r="AN248" i="2"/>
  <c r="AE248" i="2" s="1"/>
  <c r="AM248" i="2"/>
  <c r="AD248" i="2" s="1"/>
  <c r="AL248" i="2"/>
  <c r="AQ248" i="2" s="1"/>
  <c r="AH248" i="2" s="1"/>
  <c r="AJ248" i="2"/>
  <c r="AF248" i="2"/>
  <c r="AC248" i="2"/>
  <c r="AB248" i="2"/>
  <c r="V248" i="2"/>
  <c r="BQ247" i="2"/>
  <c r="AP247" i="2"/>
  <c r="AG247" i="2" s="1"/>
  <c r="AO247" i="2"/>
  <c r="AF247" i="2" s="1"/>
  <c r="AN247" i="2"/>
  <c r="AM247" i="2"/>
  <c r="AD247" i="2" s="1"/>
  <c r="AL247" i="2"/>
  <c r="AC247" i="2" s="1"/>
  <c r="AJ247" i="2"/>
  <c r="AE247" i="2"/>
  <c r="AB247" i="2"/>
  <c r="V247" i="2"/>
  <c r="BQ246" i="2"/>
  <c r="AP246" i="2"/>
  <c r="AG246" i="2" s="1"/>
  <c r="AO246" i="2"/>
  <c r="AN246" i="2"/>
  <c r="AE246" i="2" s="1"/>
  <c r="AM246" i="2"/>
  <c r="AD246" i="2" s="1"/>
  <c r="AL246" i="2"/>
  <c r="AQ246" i="2" s="1"/>
  <c r="AH246" i="2" s="1"/>
  <c r="AJ246" i="2"/>
  <c r="AF246" i="2"/>
  <c r="AC246" i="2"/>
  <c r="AB246" i="2"/>
  <c r="V246" i="2"/>
  <c r="BQ245" i="2"/>
  <c r="AP245" i="2"/>
  <c r="AG245" i="2" s="1"/>
  <c r="AO245" i="2"/>
  <c r="AF245" i="2" s="1"/>
  <c r="AN245" i="2"/>
  <c r="AM245" i="2"/>
  <c r="AD245" i="2" s="1"/>
  <c r="AL245" i="2"/>
  <c r="AQ245" i="2" s="1"/>
  <c r="AH245" i="2" s="1"/>
  <c r="AJ245" i="2"/>
  <c r="AE245" i="2"/>
  <c r="AC245" i="2"/>
  <c r="AB245" i="2"/>
  <c r="V245" i="2"/>
  <c r="BQ244" i="2"/>
  <c r="AP244" i="2"/>
  <c r="AG244" i="2" s="1"/>
  <c r="AO244" i="2"/>
  <c r="AF244" i="2" s="1"/>
  <c r="AN244" i="2"/>
  <c r="AM244" i="2"/>
  <c r="AD244" i="2" s="1"/>
  <c r="AL244" i="2"/>
  <c r="AC244" i="2" s="1"/>
  <c r="AJ244" i="2"/>
  <c r="AE244" i="2"/>
  <c r="AB244" i="2"/>
  <c r="V244" i="2"/>
  <c r="BQ243" i="2"/>
  <c r="AP243" i="2"/>
  <c r="AG243" i="2" s="1"/>
  <c r="AO243" i="2"/>
  <c r="AN243" i="2"/>
  <c r="AM243" i="2"/>
  <c r="AD243" i="2" s="1"/>
  <c r="AL243" i="2"/>
  <c r="AJ243" i="2"/>
  <c r="AF243" i="2"/>
  <c r="AE243" i="2"/>
  <c r="AC243" i="2"/>
  <c r="AB243" i="2"/>
  <c r="V243" i="2"/>
  <c r="BQ242" i="2"/>
  <c r="AP242" i="2"/>
  <c r="AG242" i="2" s="1"/>
  <c r="AO242" i="2"/>
  <c r="AN242" i="2"/>
  <c r="AE242" i="2" s="1"/>
  <c r="AM242" i="2"/>
  <c r="AD242" i="2" s="1"/>
  <c r="AL242" i="2"/>
  <c r="AC242" i="2" s="1"/>
  <c r="AJ242" i="2"/>
  <c r="AF242" i="2"/>
  <c r="AB242" i="2"/>
  <c r="V242" i="2"/>
  <c r="BQ241" i="2"/>
  <c r="AP241" i="2"/>
  <c r="AG241" i="2" s="1"/>
  <c r="AO241" i="2"/>
  <c r="AF241" i="2" s="1"/>
  <c r="AN241" i="2"/>
  <c r="AM241" i="2"/>
  <c r="AD241" i="2" s="1"/>
  <c r="AL241" i="2"/>
  <c r="AJ241" i="2"/>
  <c r="AE241" i="2"/>
  <c r="AC241" i="2"/>
  <c r="AB241" i="2"/>
  <c r="V241" i="2"/>
  <c r="BQ240" i="2"/>
  <c r="AP240" i="2"/>
  <c r="AG240" i="2" s="1"/>
  <c r="AO240" i="2"/>
  <c r="AF240" i="2" s="1"/>
  <c r="AN240" i="2"/>
  <c r="AM240" i="2"/>
  <c r="AD240" i="2" s="1"/>
  <c r="AL240" i="2"/>
  <c r="AC240" i="2" s="1"/>
  <c r="AJ240" i="2"/>
  <c r="AE240" i="2"/>
  <c r="AB240" i="2"/>
  <c r="V240" i="2"/>
  <c r="BQ239" i="2"/>
  <c r="AQ239" i="2"/>
  <c r="AH239" i="2" s="1"/>
  <c r="AP239" i="2"/>
  <c r="AG239" i="2" s="1"/>
  <c r="AO239" i="2"/>
  <c r="AN239" i="2"/>
  <c r="AM239" i="2"/>
  <c r="AD239" i="2" s="1"/>
  <c r="AL239" i="2"/>
  <c r="AC239" i="2" s="1"/>
  <c r="AJ239" i="2"/>
  <c r="AF239" i="2"/>
  <c r="AE239" i="2"/>
  <c r="AB239" i="2"/>
  <c r="V239" i="2"/>
  <c r="BQ238" i="2"/>
  <c r="AP238" i="2"/>
  <c r="AG238" i="2" s="1"/>
  <c r="AO238" i="2"/>
  <c r="AF238" i="2" s="1"/>
  <c r="AN238" i="2"/>
  <c r="AQ238" i="2" s="1"/>
  <c r="AH238" i="2" s="1"/>
  <c r="AM238" i="2"/>
  <c r="AD238" i="2" s="1"/>
  <c r="AL238" i="2"/>
  <c r="AJ238" i="2"/>
  <c r="AC238" i="2"/>
  <c r="AB238" i="2"/>
  <c r="V238" i="2"/>
  <c r="BQ237" i="2"/>
  <c r="AP237" i="2"/>
  <c r="AO237" i="2"/>
  <c r="AN237" i="2"/>
  <c r="AM237" i="2"/>
  <c r="AD237" i="2" s="1"/>
  <c r="AL237" i="2"/>
  <c r="AC237" i="2" s="1"/>
  <c r="AJ237" i="2"/>
  <c r="AF237" i="2"/>
  <c r="AE237" i="2"/>
  <c r="AB237" i="2"/>
  <c r="V237" i="2"/>
  <c r="BQ236" i="2"/>
  <c r="AP236" i="2"/>
  <c r="AG236" i="2" s="1"/>
  <c r="AO236" i="2"/>
  <c r="AF236" i="2" s="1"/>
  <c r="AN236" i="2"/>
  <c r="AM236" i="2"/>
  <c r="AD236" i="2" s="1"/>
  <c r="AL236" i="2"/>
  <c r="AC236" i="2" s="1"/>
  <c r="AJ236" i="2"/>
  <c r="AE236" i="2"/>
  <c r="AB236" i="2"/>
  <c r="V236" i="2"/>
  <c r="BQ235" i="2"/>
  <c r="AP235" i="2"/>
  <c r="AG235" i="2" s="1"/>
  <c r="AO235" i="2"/>
  <c r="AN235" i="2"/>
  <c r="AM235" i="2"/>
  <c r="AD235" i="2" s="1"/>
  <c r="AL235" i="2"/>
  <c r="AJ235" i="2"/>
  <c r="AF235" i="2"/>
  <c r="AE235" i="2"/>
  <c r="AC235" i="2"/>
  <c r="AB235" i="2"/>
  <c r="V235" i="2"/>
  <c r="BQ234" i="2"/>
  <c r="AP234" i="2"/>
  <c r="AG234" i="2" s="1"/>
  <c r="AO234" i="2"/>
  <c r="AF234" i="2" s="1"/>
  <c r="AN234" i="2"/>
  <c r="AM234" i="2"/>
  <c r="AD234" i="2" s="1"/>
  <c r="AL234" i="2"/>
  <c r="AJ234" i="2"/>
  <c r="AE234" i="2"/>
  <c r="AC234" i="2"/>
  <c r="AB234" i="2"/>
  <c r="V234" i="2"/>
  <c r="BQ233" i="2"/>
  <c r="AP233" i="2"/>
  <c r="AG233" i="2" s="1"/>
  <c r="AO233" i="2"/>
  <c r="AF233" i="2" s="1"/>
  <c r="AN233" i="2"/>
  <c r="AE233" i="2" s="1"/>
  <c r="AM233" i="2"/>
  <c r="AD233" i="2" s="1"/>
  <c r="AL233" i="2"/>
  <c r="AC233" i="2" s="1"/>
  <c r="AJ233" i="2"/>
  <c r="AB233" i="2"/>
  <c r="V233" i="2"/>
  <c r="BQ232" i="2"/>
  <c r="AP232" i="2"/>
  <c r="AG232" i="2" s="1"/>
  <c r="AO232" i="2"/>
  <c r="AF232" i="2" s="1"/>
  <c r="AN232" i="2"/>
  <c r="AE232" i="2" s="1"/>
  <c r="AM232" i="2"/>
  <c r="AD232" i="2" s="1"/>
  <c r="AL232" i="2"/>
  <c r="AC232" i="2" s="1"/>
  <c r="AJ232" i="2"/>
  <c r="AB232" i="2"/>
  <c r="V232" i="2"/>
  <c r="BQ231" i="2"/>
  <c r="AQ231" i="2"/>
  <c r="AH231" i="2" s="1"/>
  <c r="AP231" i="2"/>
  <c r="AG231" i="2" s="1"/>
  <c r="AO231" i="2"/>
  <c r="AN231" i="2"/>
  <c r="AM231" i="2"/>
  <c r="AD231" i="2" s="1"/>
  <c r="AL231" i="2"/>
  <c r="AJ231" i="2"/>
  <c r="AF231" i="2"/>
  <c r="AE231" i="2"/>
  <c r="AC231" i="2"/>
  <c r="AB231" i="2"/>
  <c r="V231" i="2"/>
  <c r="BQ230" i="2"/>
  <c r="AQ230" i="2"/>
  <c r="AH230" i="2" s="1"/>
  <c r="AP230" i="2"/>
  <c r="AG230" i="2" s="1"/>
  <c r="AO230" i="2"/>
  <c r="AN230" i="2"/>
  <c r="AE230" i="2" s="1"/>
  <c r="AM230" i="2"/>
  <c r="AD230" i="2" s="1"/>
  <c r="AL230" i="2"/>
  <c r="AJ230" i="2"/>
  <c r="AF230" i="2"/>
  <c r="AC230" i="2"/>
  <c r="AB230" i="2"/>
  <c r="V230" i="2"/>
  <c r="BQ229" i="2"/>
  <c r="AP229" i="2"/>
  <c r="AG229" i="2" s="1"/>
  <c r="AO229" i="2"/>
  <c r="AF229" i="2" s="1"/>
  <c r="AN229" i="2"/>
  <c r="AQ229" i="2" s="1"/>
  <c r="AH229" i="2" s="1"/>
  <c r="AM229" i="2"/>
  <c r="AD229" i="2" s="1"/>
  <c r="AL229" i="2"/>
  <c r="AJ229" i="2"/>
  <c r="AE229" i="2"/>
  <c r="AC229" i="2"/>
  <c r="AB229" i="2"/>
  <c r="V229" i="2"/>
  <c r="BQ228" i="2"/>
  <c r="AP228" i="2"/>
  <c r="AG228" i="2" s="1"/>
  <c r="AO228" i="2"/>
  <c r="AN228" i="2"/>
  <c r="AM228" i="2"/>
  <c r="AD228" i="2" s="1"/>
  <c r="AL228" i="2"/>
  <c r="AC228" i="2" s="1"/>
  <c r="AJ228" i="2"/>
  <c r="AF228" i="2"/>
  <c r="AE228" i="2"/>
  <c r="AB228" i="2"/>
  <c r="V228" i="2"/>
  <c r="BQ227" i="2"/>
  <c r="AP227" i="2"/>
  <c r="AG227" i="2" s="1"/>
  <c r="AO227" i="2"/>
  <c r="AF227" i="2" s="1"/>
  <c r="AN227" i="2"/>
  <c r="AM227" i="2"/>
  <c r="AD227" i="2" s="1"/>
  <c r="AL227" i="2"/>
  <c r="AQ227" i="2" s="1"/>
  <c r="AH227" i="2" s="1"/>
  <c r="AJ227" i="2"/>
  <c r="AE227" i="2"/>
  <c r="AB227" i="2"/>
  <c r="V227" i="2"/>
  <c r="BQ226" i="2"/>
  <c r="AP226" i="2"/>
  <c r="AG226" i="2" s="1"/>
  <c r="AO226" i="2"/>
  <c r="AN226" i="2"/>
  <c r="AE226" i="2" s="1"/>
  <c r="AM226" i="2"/>
  <c r="AD226" i="2" s="1"/>
  <c r="AL226" i="2"/>
  <c r="AJ226" i="2"/>
  <c r="AF226" i="2"/>
  <c r="AC226" i="2"/>
  <c r="AB226" i="2"/>
  <c r="V226" i="2"/>
  <c r="BQ225" i="2"/>
  <c r="AP225" i="2"/>
  <c r="AG225" i="2" s="1"/>
  <c r="AO225" i="2"/>
  <c r="AN225" i="2"/>
  <c r="AM225" i="2"/>
  <c r="AD225" i="2" s="1"/>
  <c r="AL225" i="2"/>
  <c r="AJ225" i="2"/>
  <c r="AF225" i="2"/>
  <c r="AE225" i="2"/>
  <c r="AC225" i="2"/>
  <c r="AB225" i="2"/>
  <c r="V225" i="2"/>
  <c r="BQ224" i="2"/>
  <c r="AP224" i="2"/>
  <c r="AG224" i="2" s="1"/>
  <c r="AO224" i="2"/>
  <c r="AF224" i="2" s="1"/>
  <c r="AN224" i="2"/>
  <c r="AE224" i="2" s="1"/>
  <c r="AM224" i="2"/>
  <c r="AD224" i="2" s="1"/>
  <c r="AL224" i="2"/>
  <c r="AJ224" i="2"/>
  <c r="AC224" i="2"/>
  <c r="AB224" i="2"/>
  <c r="V224" i="2"/>
  <c r="BQ223" i="2"/>
  <c r="AP223" i="2"/>
  <c r="AG223" i="2" s="1"/>
  <c r="AO223" i="2"/>
  <c r="AF223" i="2" s="1"/>
  <c r="AN223" i="2"/>
  <c r="AM223" i="2"/>
  <c r="AD223" i="2" s="1"/>
  <c r="AL223" i="2"/>
  <c r="AQ223" i="2" s="1"/>
  <c r="AH223" i="2" s="1"/>
  <c r="AJ223" i="2"/>
  <c r="AE223" i="2"/>
  <c r="AB223" i="2"/>
  <c r="V223" i="2"/>
  <c r="BQ222" i="2"/>
  <c r="AP222" i="2"/>
  <c r="AG222" i="2" s="1"/>
  <c r="AO222" i="2"/>
  <c r="AN222" i="2"/>
  <c r="AE222" i="2" s="1"/>
  <c r="AM222" i="2"/>
  <c r="AD222" i="2" s="1"/>
  <c r="AL222" i="2"/>
  <c r="AJ222" i="2"/>
  <c r="AF222" i="2"/>
  <c r="AC222" i="2"/>
  <c r="AB222" i="2"/>
  <c r="V222" i="2"/>
  <c r="BQ221" i="2"/>
  <c r="AP221" i="2"/>
  <c r="AO221" i="2"/>
  <c r="AF221" i="2" s="1"/>
  <c r="AN221" i="2"/>
  <c r="AM221" i="2"/>
  <c r="AD221" i="2" s="1"/>
  <c r="AL221" i="2"/>
  <c r="AJ221" i="2"/>
  <c r="AE221" i="2"/>
  <c r="AC221" i="2"/>
  <c r="AB221" i="2"/>
  <c r="V221" i="2"/>
  <c r="BQ220" i="2"/>
  <c r="AP220" i="2"/>
  <c r="AG220" i="2" s="1"/>
  <c r="AO220" i="2"/>
  <c r="AF220" i="2" s="1"/>
  <c r="AN220" i="2"/>
  <c r="AE220" i="2" s="1"/>
  <c r="AM220" i="2"/>
  <c r="AD220" i="2" s="1"/>
  <c r="AL220" i="2"/>
  <c r="AC220" i="2" s="1"/>
  <c r="AJ220" i="2"/>
  <c r="AB220" i="2"/>
  <c r="V220" i="2"/>
  <c r="BQ219" i="2"/>
  <c r="AP219" i="2"/>
  <c r="AG219" i="2" s="1"/>
  <c r="AO219" i="2"/>
  <c r="AN219" i="2"/>
  <c r="AM219" i="2"/>
  <c r="AD219" i="2" s="1"/>
  <c r="AL219" i="2"/>
  <c r="AJ219" i="2"/>
  <c r="AF219" i="2"/>
  <c r="AE219" i="2"/>
  <c r="AC219" i="2"/>
  <c r="AB219" i="2"/>
  <c r="V219" i="2"/>
  <c r="BQ218" i="2"/>
  <c r="AP218" i="2"/>
  <c r="AO218" i="2"/>
  <c r="AF218" i="2" s="1"/>
  <c r="AN218" i="2"/>
  <c r="AM218" i="2"/>
  <c r="AD218" i="2" s="1"/>
  <c r="AL218" i="2"/>
  <c r="AC218" i="2" s="1"/>
  <c r="AJ218" i="2"/>
  <c r="AE218" i="2"/>
  <c r="AB218" i="2"/>
  <c r="V218" i="2"/>
  <c r="BQ217" i="2"/>
  <c r="AP217" i="2"/>
  <c r="AG217" i="2" s="1"/>
  <c r="AO217" i="2"/>
  <c r="AF217" i="2" s="1"/>
  <c r="AN217" i="2"/>
  <c r="AM217" i="2"/>
  <c r="AD217" i="2" s="1"/>
  <c r="AL217" i="2"/>
  <c r="AJ217" i="2"/>
  <c r="AE217" i="2"/>
  <c r="AC217" i="2"/>
  <c r="AB217" i="2"/>
  <c r="V217" i="2"/>
  <c r="BQ216" i="2"/>
  <c r="AP216" i="2"/>
  <c r="AG216" i="2" s="1"/>
  <c r="AO216" i="2"/>
  <c r="AF216" i="2" s="1"/>
  <c r="AN216" i="2"/>
  <c r="AE216" i="2" s="1"/>
  <c r="AM216" i="2"/>
  <c r="AD216" i="2" s="1"/>
  <c r="AL216" i="2"/>
  <c r="AC216" i="2" s="1"/>
  <c r="AJ216" i="2"/>
  <c r="AB216" i="2"/>
  <c r="V216" i="2"/>
  <c r="BQ215" i="2"/>
  <c r="AP215" i="2"/>
  <c r="AG215" i="2" s="1"/>
  <c r="AO215" i="2"/>
  <c r="AN215" i="2"/>
  <c r="AM215" i="2"/>
  <c r="AD215" i="2" s="1"/>
  <c r="AL215" i="2"/>
  <c r="AJ215" i="2"/>
  <c r="AF215" i="2"/>
  <c r="AC215" i="2"/>
  <c r="AB215" i="2"/>
  <c r="V215" i="2"/>
  <c r="BQ214" i="2"/>
  <c r="AP214" i="2"/>
  <c r="AG214" i="2" s="1"/>
  <c r="AO214" i="2"/>
  <c r="AN214" i="2"/>
  <c r="AE214" i="2" s="1"/>
  <c r="AM214" i="2"/>
  <c r="AL214" i="2"/>
  <c r="AJ214" i="2"/>
  <c r="AF214" i="2"/>
  <c r="AC214" i="2"/>
  <c r="AB214" i="2"/>
  <c r="V214" i="2"/>
  <c r="BQ213" i="2"/>
  <c r="AP213" i="2"/>
  <c r="AG213" i="2" s="1"/>
  <c r="AO213" i="2"/>
  <c r="AN213" i="2"/>
  <c r="AE213" i="2" s="1"/>
  <c r="AM213" i="2"/>
  <c r="AD213" i="2" s="1"/>
  <c r="AL213" i="2"/>
  <c r="AQ213" i="2" s="1"/>
  <c r="AH213" i="2" s="1"/>
  <c r="AJ213" i="2"/>
  <c r="AF213" i="2"/>
  <c r="AC213" i="2"/>
  <c r="AB213" i="2"/>
  <c r="V213" i="2"/>
  <c r="BQ212" i="2"/>
  <c r="AP212" i="2"/>
  <c r="AG212" i="2" s="1"/>
  <c r="AO212" i="2"/>
  <c r="AN212" i="2"/>
  <c r="AE212" i="2" s="1"/>
  <c r="AM212" i="2"/>
  <c r="AD212" i="2" s="1"/>
  <c r="AL212" i="2"/>
  <c r="AJ212" i="2"/>
  <c r="AF212" i="2"/>
  <c r="AC212" i="2"/>
  <c r="AB212" i="2"/>
  <c r="V212" i="2"/>
  <c r="BQ211" i="2"/>
  <c r="AP211" i="2"/>
  <c r="AG211" i="2" s="1"/>
  <c r="AO211" i="2"/>
  <c r="AF211" i="2" s="1"/>
  <c r="AN211" i="2"/>
  <c r="AE211" i="2" s="1"/>
  <c r="AM211" i="2"/>
  <c r="AD211" i="2" s="1"/>
  <c r="AL211" i="2"/>
  <c r="AJ211" i="2"/>
  <c r="AC211" i="2"/>
  <c r="AB211" i="2"/>
  <c r="V211" i="2"/>
  <c r="BQ210" i="2"/>
  <c r="AP210" i="2"/>
  <c r="AG210" i="2" s="1"/>
  <c r="AO210" i="2"/>
  <c r="AF210" i="2" s="1"/>
  <c r="AN210" i="2"/>
  <c r="AE210" i="2" s="1"/>
  <c r="AM210" i="2"/>
  <c r="AD210" i="2" s="1"/>
  <c r="AL210" i="2"/>
  <c r="AC210" i="2" s="1"/>
  <c r="AJ210" i="2"/>
  <c r="AB210" i="2"/>
  <c r="V210" i="2"/>
  <c r="BQ209" i="2"/>
  <c r="AP209" i="2"/>
  <c r="AG209" i="2" s="1"/>
  <c r="AO209" i="2"/>
  <c r="AQ209" i="2" s="1"/>
  <c r="AH209" i="2" s="1"/>
  <c r="AN209" i="2"/>
  <c r="AM209" i="2"/>
  <c r="AD209" i="2" s="1"/>
  <c r="AL209" i="2"/>
  <c r="AC209" i="2" s="1"/>
  <c r="AJ209" i="2"/>
  <c r="AE209" i="2"/>
  <c r="AB209" i="2"/>
  <c r="V209" i="2"/>
  <c r="BQ208" i="2"/>
  <c r="AP208" i="2"/>
  <c r="AG208" i="2" s="1"/>
  <c r="AO208" i="2"/>
  <c r="AF208" i="2" s="1"/>
  <c r="AN208" i="2"/>
  <c r="AM208" i="2"/>
  <c r="AD208" i="2" s="1"/>
  <c r="AL208" i="2"/>
  <c r="AJ208" i="2"/>
  <c r="AE208" i="2"/>
  <c r="AC208" i="2"/>
  <c r="AB208" i="2"/>
  <c r="V208" i="2"/>
  <c r="BQ207" i="2"/>
  <c r="AP207" i="2"/>
  <c r="AG207" i="2" s="1"/>
  <c r="AO207" i="2"/>
  <c r="AF207" i="2" s="1"/>
  <c r="AN207" i="2"/>
  <c r="AE207" i="2" s="1"/>
  <c r="AM207" i="2"/>
  <c r="AD207" i="2" s="1"/>
  <c r="AL207" i="2"/>
  <c r="AQ207" i="2" s="1"/>
  <c r="AH207" i="2" s="1"/>
  <c r="AJ207" i="2"/>
  <c r="AC207" i="2"/>
  <c r="AB207" i="2"/>
  <c r="V207" i="2"/>
  <c r="BQ206" i="2"/>
  <c r="AQ206" i="2"/>
  <c r="AH206" i="2" s="1"/>
  <c r="AP206" i="2"/>
  <c r="AG206" i="2" s="1"/>
  <c r="AO206" i="2"/>
  <c r="AF206" i="2" s="1"/>
  <c r="AN206" i="2"/>
  <c r="AM206" i="2"/>
  <c r="AD206" i="2" s="1"/>
  <c r="AL206" i="2"/>
  <c r="AC206" i="2" s="1"/>
  <c r="AJ206" i="2"/>
  <c r="AE206" i="2"/>
  <c r="AB206" i="2"/>
  <c r="V206" i="2"/>
  <c r="BQ205" i="2"/>
  <c r="AP205" i="2"/>
  <c r="AO205" i="2"/>
  <c r="AN205" i="2"/>
  <c r="AM205" i="2"/>
  <c r="AD205" i="2" s="1"/>
  <c r="AL205" i="2"/>
  <c r="AC205" i="2" s="1"/>
  <c r="AJ205" i="2"/>
  <c r="AF205" i="2"/>
  <c r="AE205" i="2"/>
  <c r="AB205" i="2"/>
  <c r="V205" i="2"/>
  <c r="BQ204" i="2"/>
  <c r="AP204" i="2"/>
  <c r="AG204" i="2" s="1"/>
  <c r="AO204" i="2"/>
  <c r="AN204" i="2"/>
  <c r="AE204" i="2" s="1"/>
  <c r="AM204" i="2"/>
  <c r="AD204" i="2" s="1"/>
  <c r="AL204" i="2"/>
  <c r="AC204" i="2" s="1"/>
  <c r="AJ204" i="2"/>
  <c r="AF204" i="2"/>
  <c r="AB204" i="2"/>
  <c r="V204" i="2"/>
  <c r="BQ203" i="2"/>
  <c r="AP203" i="2"/>
  <c r="AG203" i="2" s="1"/>
  <c r="AO203" i="2"/>
  <c r="AF203" i="2" s="1"/>
  <c r="AN203" i="2"/>
  <c r="AE203" i="2" s="1"/>
  <c r="AM203" i="2"/>
  <c r="AD203" i="2" s="1"/>
  <c r="AL203" i="2"/>
  <c r="AJ203" i="2"/>
  <c r="AC203" i="2"/>
  <c r="AB203" i="2"/>
  <c r="V203" i="2"/>
  <c r="BQ202" i="2"/>
  <c r="AP202" i="2"/>
  <c r="AO202" i="2"/>
  <c r="AN202" i="2"/>
  <c r="AE202" i="2" s="1"/>
  <c r="AM202" i="2"/>
  <c r="AD202" i="2" s="1"/>
  <c r="AL202" i="2"/>
  <c r="AC202" i="2" s="1"/>
  <c r="AJ202" i="2"/>
  <c r="AF202" i="2"/>
  <c r="AB202" i="2"/>
  <c r="V202" i="2"/>
  <c r="BQ201" i="2"/>
  <c r="AP201" i="2"/>
  <c r="AG201" i="2" s="1"/>
  <c r="AO201" i="2"/>
  <c r="AF201" i="2" s="1"/>
  <c r="AN201" i="2"/>
  <c r="AM201" i="2"/>
  <c r="AD201" i="2" s="1"/>
  <c r="AL201" i="2"/>
  <c r="AC201" i="2" s="1"/>
  <c r="AJ201" i="2"/>
  <c r="AE201" i="2"/>
  <c r="AB201" i="2"/>
  <c r="V201" i="2"/>
  <c r="BQ200" i="2"/>
  <c r="AP200" i="2"/>
  <c r="AG200" i="2" s="1"/>
  <c r="AO200" i="2"/>
  <c r="AF200" i="2" s="1"/>
  <c r="AN200" i="2"/>
  <c r="AM200" i="2"/>
  <c r="AD200" i="2" s="1"/>
  <c r="AL200" i="2"/>
  <c r="AJ200" i="2"/>
  <c r="AE200" i="2"/>
  <c r="AC200" i="2"/>
  <c r="AB200" i="2"/>
  <c r="V200" i="2"/>
  <c r="BQ199" i="2"/>
  <c r="AP199" i="2"/>
  <c r="AG199" i="2" s="1"/>
  <c r="AO199" i="2"/>
  <c r="AF199" i="2" s="1"/>
  <c r="AN199" i="2"/>
  <c r="AM199" i="2"/>
  <c r="AD199" i="2" s="1"/>
  <c r="AL199" i="2"/>
  <c r="AQ199" i="2" s="1"/>
  <c r="AH199" i="2" s="1"/>
  <c r="AJ199" i="2"/>
  <c r="AE199" i="2"/>
  <c r="AB199" i="2"/>
  <c r="V199" i="2"/>
  <c r="BQ198" i="2"/>
  <c r="AQ198" i="2"/>
  <c r="AH198" i="2" s="1"/>
  <c r="AP198" i="2"/>
  <c r="AG198" i="2" s="1"/>
  <c r="AO198" i="2"/>
  <c r="AF198" i="2" s="1"/>
  <c r="AN198" i="2"/>
  <c r="AM198" i="2"/>
  <c r="AD198" i="2" s="1"/>
  <c r="AL198" i="2"/>
  <c r="AC198" i="2" s="1"/>
  <c r="AJ198" i="2"/>
  <c r="AE198" i="2"/>
  <c r="AB198" i="2"/>
  <c r="V198" i="2"/>
  <c r="BQ197" i="2"/>
  <c r="AP197" i="2"/>
  <c r="AG197" i="2" s="1"/>
  <c r="AO197" i="2"/>
  <c r="AF197" i="2" s="1"/>
  <c r="AN197" i="2"/>
  <c r="AE197" i="2" s="1"/>
  <c r="AM197" i="2"/>
  <c r="AD197" i="2" s="1"/>
  <c r="AL197" i="2"/>
  <c r="AC197" i="2" s="1"/>
  <c r="AJ197" i="2"/>
  <c r="AB197" i="2"/>
  <c r="V197" i="2"/>
  <c r="BQ196" i="2"/>
  <c r="AP196" i="2"/>
  <c r="AG196" i="2" s="1"/>
  <c r="AO196" i="2"/>
  <c r="AF196" i="2" s="1"/>
  <c r="AN196" i="2"/>
  <c r="AM196" i="2"/>
  <c r="AD196" i="2" s="1"/>
  <c r="AL196" i="2"/>
  <c r="AJ196" i="2"/>
  <c r="AE196" i="2"/>
  <c r="AC196" i="2"/>
  <c r="AB196" i="2"/>
  <c r="V196" i="2"/>
  <c r="BQ195" i="2"/>
  <c r="AP195" i="2"/>
  <c r="AG195" i="2" s="1"/>
  <c r="AO195" i="2"/>
  <c r="AF195" i="2" s="1"/>
  <c r="AN195" i="2"/>
  <c r="AM195" i="2"/>
  <c r="AD195" i="2" s="1"/>
  <c r="AL195" i="2"/>
  <c r="AJ195" i="2"/>
  <c r="AE195" i="2"/>
  <c r="AB195" i="2"/>
  <c r="V195" i="2"/>
  <c r="BQ194" i="2"/>
  <c r="AP194" i="2"/>
  <c r="AG194" i="2" s="1"/>
  <c r="AO194" i="2"/>
  <c r="AF194" i="2" s="1"/>
  <c r="AN194" i="2"/>
  <c r="AM194" i="2"/>
  <c r="AD194" i="2" s="1"/>
  <c r="AL194" i="2"/>
  <c r="AC194" i="2" s="1"/>
  <c r="AJ194" i="2"/>
  <c r="AE194" i="2"/>
  <c r="AB194" i="2"/>
  <c r="V194" i="2"/>
  <c r="BQ193" i="2"/>
  <c r="AP193" i="2"/>
  <c r="AG193" i="2" s="1"/>
  <c r="AO193" i="2"/>
  <c r="AF193" i="2" s="1"/>
  <c r="AN193" i="2"/>
  <c r="AE193" i="2" s="1"/>
  <c r="AM193" i="2"/>
  <c r="AD193" i="2" s="1"/>
  <c r="AL193" i="2"/>
  <c r="AJ193" i="2"/>
  <c r="AC193" i="2"/>
  <c r="AB193" i="2"/>
  <c r="V193" i="2"/>
  <c r="BQ192" i="2"/>
  <c r="AP192" i="2"/>
  <c r="AG192" i="2" s="1"/>
  <c r="AO192" i="2"/>
  <c r="AF192" i="2" s="1"/>
  <c r="AN192" i="2"/>
  <c r="AM192" i="2"/>
  <c r="AD192" i="2" s="1"/>
  <c r="AL192" i="2"/>
  <c r="AJ192" i="2"/>
  <c r="AE192" i="2"/>
  <c r="AC192" i="2"/>
  <c r="AB192" i="2"/>
  <c r="V192" i="2"/>
  <c r="BQ191" i="2"/>
  <c r="AP191" i="2"/>
  <c r="AG191" i="2" s="1"/>
  <c r="AO191" i="2"/>
  <c r="AN191" i="2"/>
  <c r="AM191" i="2"/>
  <c r="AD191" i="2" s="1"/>
  <c r="AL191" i="2"/>
  <c r="AC191" i="2" s="1"/>
  <c r="AJ191" i="2"/>
  <c r="AF191" i="2"/>
  <c r="AB191" i="2"/>
  <c r="V191" i="2"/>
  <c r="BQ190" i="2"/>
  <c r="AP190" i="2"/>
  <c r="AG190" i="2" s="1"/>
  <c r="AO190" i="2"/>
  <c r="AN190" i="2"/>
  <c r="AE190" i="2" s="1"/>
  <c r="AM190" i="2"/>
  <c r="AD190" i="2" s="1"/>
  <c r="AL190" i="2"/>
  <c r="AJ190" i="2"/>
  <c r="AF190" i="2"/>
  <c r="AC190" i="2"/>
  <c r="AB190" i="2"/>
  <c r="V190" i="2"/>
  <c r="BQ189" i="2"/>
  <c r="AP189" i="2"/>
  <c r="AO189" i="2"/>
  <c r="AF189" i="2" s="1"/>
  <c r="AN189" i="2"/>
  <c r="AM189" i="2"/>
  <c r="AD189" i="2" s="1"/>
  <c r="AL189" i="2"/>
  <c r="AJ189" i="2"/>
  <c r="AE189" i="2"/>
  <c r="AC189" i="2"/>
  <c r="AB189" i="2"/>
  <c r="V189" i="2"/>
  <c r="BQ188" i="2"/>
  <c r="AP188" i="2"/>
  <c r="AG188" i="2" s="1"/>
  <c r="AO188" i="2"/>
  <c r="AF188" i="2" s="1"/>
  <c r="AN188" i="2"/>
  <c r="AM188" i="2"/>
  <c r="AL188" i="2"/>
  <c r="AC188" i="2" s="1"/>
  <c r="AJ188" i="2"/>
  <c r="AE188" i="2"/>
  <c r="AB188" i="2"/>
  <c r="V188" i="2"/>
  <c r="BQ187" i="2"/>
  <c r="AP187" i="2"/>
  <c r="AG187" i="2" s="1"/>
  <c r="AO187" i="2"/>
  <c r="AN187" i="2"/>
  <c r="AE187" i="2" s="1"/>
  <c r="AM187" i="2"/>
  <c r="AD187" i="2" s="1"/>
  <c r="AL187" i="2"/>
  <c r="AC187" i="2" s="1"/>
  <c r="AJ187" i="2"/>
  <c r="AF187" i="2"/>
  <c r="AB187" i="2"/>
  <c r="V187" i="2"/>
  <c r="BQ186" i="2"/>
  <c r="AP186" i="2"/>
  <c r="AG186" i="2" s="1"/>
  <c r="AO186" i="2"/>
  <c r="AN186" i="2"/>
  <c r="AE186" i="2" s="1"/>
  <c r="AM186" i="2"/>
  <c r="AD186" i="2" s="1"/>
  <c r="AL186" i="2"/>
  <c r="AJ186" i="2"/>
  <c r="AF186" i="2"/>
  <c r="AC186" i="2"/>
  <c r="AB186" i="2"/>
  <c r="V186" i="2"/>
  <c r="BQ185" i="2"/>
  <c r="AP185" i="2"/>
  <c r="AG185" i="2" s="1"/>
  <c r="AO185" i="2"/>
  <c r="AF185" i="2" s="1"/>
  <c r="AN185" i="2"/>
  <c r="AE185" i="2" s="1"/>
  <c r="AM185" i="2"/>
  <c r="AL185" i="2"/>
  <c r="AJ185" i="2"/>
  <c r="AC185" i="2"/>
  <c r="AB185" i="2"/>
  <c r="V185" i="2"/>
  <c r="BQ184" i="2"/>
  <c r="AP184" i="2"/>
  <c r="AG184" i="2" s="1"/>
  <c r="AO184" i="2"/>
  <c r="AN184" i="2"/>
  <c r="AE184" i="2" s="1"/>
  <c r="AM184" i="2"/>
  <c r="AD184" i="2" s="1"/>
  <c r="AL184" i="2"/>
  <c r="AJ184" i="2"/>
  <c r="AC184" i="2"/>
  <c r="AB184" i="2"/>
  <c r="V184" i="2"/>
  <c r="BQ183" i="2"/>
  <c r="AP183" i="2"/>
  <c r="AG183" i="2" s="1"/>
  <c r="AO183" i="2"/>
  <c r="AF183" i="2" s="1"/>
  <c r="AN183" i="2"/>
  <c r="AM183" i="2"/>
  <c r="AD183" i="2" s="1"/>
  <c r="AL183" i="2"/>
  <c r="AC183" i="2" s="1"/>
  <c r="AJ183" i="2"/>
  <c r="AE183" i="2"/>
  <c r="AB183" i="2"/>
  <c r="V183" i="2"/>
  <c r="BQ182" i="2"/>
  <c r="AP182" i="2"/>
  <c r="AG182" i="2" s="1"/>
  <c r="AO182" i="2"/>
  <c r="AF182" i="2" s="1"/>
  <c r="AN182" i="2"/>
  <c r="AE182" i="2" s="1"/>
  <c r="AM182" i="2"/>
  <c r="AD182" i="2" s="1"/>
  <c r="AL182" i="2"/>
  <c r="AQ182" i="2" s="1"/>
  <c r="AH182" i="2" s="1"/>
  <c r="AJ182" i="2"/>
  <c r="AB182" i="2"/>
  <c r="V182" i="2"/>
  <c r="BQ181" i="2"/>
  <c r="AQ181" i="2"/>
  <c r="AH181" i="2" s="1"/>
  <c r="AP181" i="2"/>
  <c r="AG181" i="2" s="1"/>
  <c r="AO181" i="2"/>
  <c r="AF181" i="2" s="1"/>
  <c r="AN181" i="2"/>
  <c r="AM181" i="2"/>
  <c r="AD181" i="2" s="1"/>
  <c r="AL181" i="2"/>
  <c r="AC181" i="2" s="1"/>
  <c r="AJ181" i="2"/>
  <c r="AE181" i="2"/>
  <c r="AB181" i="2"/>
  <c r="V181" i="2"/>
  <c r="BQ180" i="2"/>
  <c r="AP180" i="2"/>
  <c r="AO180" i="2"/>
  <c r="AN180" i="2"/>
  <c r="AE180" i="2" s="1"/>
  <c r="AM180" i="2"/>
  <c r="AD180" i="2" s="1"/>
  <c r="AL180" i="2"/>
  <c r="AJ180" i="2"/>
  <c r="AF180" i="2"/>
  <c r="AC180" i="2"/>
  <c r="AB180" i="2"/>
  <c r="V180" i="2"/>
  <c r="BQ179" i="2"/>
  <c r="AP179" i="2"/>
  <c r="AG179" i="2" s="1"/>
  <c r="AO179" i="2"/>
  <c r="AF179" i="2" s="1"/>
  <c r="AN179" i="2"/>
  <c r="AM179" i="2"/>
  <c r="AL179" i="2"/>
  <c r="AC179" i="2" s="1"/>
  <c r="AJ179" i="2"/>
  <c r="AE179" i="2"/>
  <c r="AB179" i="2"/>
  <c r="V179" i="2"/>
  <c r="BQ178" i="2"/>
  <c r="AP178" i="2"/>
  <c r="AG178" i="2" s="1"/>
  <c r="AO178" i="2"/>
  <c r="AF178" i="2" s="1"/>
  <c r="AN178" i="2"/>
  <c r="AE178" i="2" s="1"/>
  <c r="AM178" i="2"/>
  <c r="AD178" i="2" s="1"/>
  <c r="AL178" i="2"/>
  <c r="AJ178" i="2"/>
  <c r="AC178" i="2"/>
  <c r="AB178" i="2"/>
  <c r="V178" i="2"/>
  <c r="BQ177" i="2"/>
  <c r="AP177" i="2"/>
  <c r="AG177" i="2" s="1"/>
  <c r="AO177" i="2"/>
  <c r="AN177" i="2"/>
  <c r="AE177" i="2" s="1"/>
  <c r="AM177" i="2"/>
  <c r="AD177" i="2" s="1"/>
  <c r="AL177" i="2"/>
  <c r="AJ177" i="2"/>
  <c r="AF177" i="2"/>
  <c r="AC177" i="2"/>
  <c r="AB177" i="2"/>
  <c r="V177" i="2"/>
  <c r="BQ176" i="2"/>
  <c r="AP176" i="2"/>
  <c r="AG176" i="2" s="1"/>
  <c r="AO176" i="2"/>
  <c r="AN176" i="2"/>
  <c r="AM176" i="2"/>
  <c r="AD176" i="2" s="1"/>
  <c r="AL176" i="2"/>
  <c r="AJ176" i="2"/>
  <c r="AF176" i="2"/>
  <c r="AE176" i="2"/>
  <c r="AC176" i="2"/>
  <c r="AB176" i="2"/>
  <c r="V176" i="2"/>
  <c r="BQ175" i="2"/>
  <c r="AQ175" i="2"/>
  <c r="AH175" i="2" s="1"/>
  <c r="AP175" i="2"/>
  <c r="AG175" i="2" s="1"/>
  <c r="AO175" i="2"/>
  <c r="AF175" i="2" s="1"/>
  <c r="AN175" i="2"/>
  <c r="AE175" i="2" s="1"/>
  <c r="AM175" i="2"/>
  <c r="AD175" i="2" s="1"/>
  <c r="AL175" i="2"/>
  <c r="AJ175" i="2"/>
  <c r="AC175" i="2"/>
  <c r="AB175" i="2"/>
  <c r="V175" i="2"/>
  <c r="BQ174" i="2"/>
  <c r="AP174" i="2"/>
  <c r="AG174" i="2" s="1"/>
  <c r="AO174" i="2"/>
  <c r="AF174" i="2" s="1"/>
  <c r="AN174" i="2"/>
  <c r="AE174" i="2" s="1"/>
  <c r="AM174" i="2"/>
  <c r="AD174" i="2" s="1"/>
  <c r="AL174" i="2"/>
  <c r="AC174" i="2" s="1"/>
  <c r="AJ174" i="2"/>
  <c r="AB174" i="2"/>
  <c r="V174" i="2"/>
  <c r="BQ173" i="2"/>
  <c r="AP173" i="2"/>
  <c r="AO173" i="2"/>
  <c r="AF173" i="2" s="1"/>
  <c r="AN173" i="2"/>
  <c r="AM173" i="2"/>
  <c r="AD173" i="2" s="1"/>
  <c r="AL173" i="2"/>
  <c r="AC173" i="2" s="1"/>
  <c r="AJ173" i="2"/>
  <c r="AE173" i="2"/>
  <c r="AB173" i="2"/>
  <c r="V173" i="2"/>
  <c r="BQ172" i="2"/>
  <c r="AP172" i="2"/>
  <c r="AG172" i="2" s="1"/>
  <c r="AO172" i="2"/>
  <c r="AF172" i="2" s="1"/>
  <c r="AN172" i="2"/>
  <c r="AM172" i="2"/>
  <c r="AL172" i="2"/>
  <c r="AJ172" i="2"/>
  <c r="AE172" i="2"/>
  <c r="AC172" i="2"/>
  <c r="AB172" i="2"/>
  <c r="V172" i="2"/>
  <c r="BQ171" i="2"/>
  <c r="AP171" i="2"/>
  <c r="AG171" i="2" s="1"/>
  <c r="AO171" i="2"/>
  <c r="AF171" i="2" s="1"/>
  <c r="AN171" i="2"/>
  <c r="AE171" i="2" s="1"/>
  <c r="AM171" i="2"/>
  <c r="AL171" i="2"/>
  <c r="AC171" i="2" s="1"/>
  <c r="AJ171" i="2"/>
  <c r="AB171" i="2"/>
  <c r="V171" i="2"/>
  <c r="BQ170" i="2"/>
  <c r="AP170" i="2"/>
  <c r="AG170" i="2" s="1"/>
  <c r="AO170" i="2"/>
  <c r="AN170" i="2"/>
  <c r="AM170" i="2"/>
  <c r="AD170" i="2" s="1"/>
  <c r="AL170" i="2"/>
  <c r="AC170" i="2" s="1"/>
  <c r="AJ170" i="2"/>
  <c r="AF170" i="2"/>
  <c r="AE170" i="2"/>
  <c r="AB170" i="2"/>
  <c r="V170" i="2"/>
  <c r="BQ169" i="2"/>
  <c r="AP169" i="2"/>
  <c r="AG169" i="2" s="1"/>
  <c r="AO169" i="2"/>
  <c r="AF169" i="2" s="1"/>
  <c r="AN169" i="2"/>
  <c r="AE169" i="2" s="1"/>
  <c r="AM169" i="2"/>
  <c r="AL169" i="2"/>
  <c r="AJ169" i="2"/>
  <c r="AC169" i="2"/>
  <c r="AB169" i="2"/>
  <c r="V169" i="2"/>
  <c r="BQ168" i="2"/>
  <c r="AP168" i="2"/>
  <c r="AG168" i="2" s="1"/>
  <c r="AO168" i="2"/>
  <c r="AF168" i="2" s="1"/>
  <c r="AN168" i="2"/>
  <c r="AM168" i="2"/>
  <c r="AD168" i="2" s="1"/>
  <c r="AL168" i="2"/>
  <c r="AJ168" i="2"/>
  <c r="AE168" i="2"/>
  <c r="AC168" i="2"/>
  <c r="AB168" i="2"/>
  <c r="V168" i="2"/>
  <c r="BQ167" i="2"/>
  <c r="AP167" i="2"/>
  <c r="AG167" i="2" s="1"/>
  <c r="AO167" i="2"/>
  <c r="AN167" i="2"/>
  <c r="AM167" i="2"/>
  <c r="AD167" i="2" s="1"/>
  <c r="AL167" i="2"/>
  <c r="AC167" i="2" s="1"/>
  <c r="AJ167" i="2"/>
  <c r="AF167" i="2"/>
  <c r="AB167" i="2"/>
  <c r="V167" i="2"/>
  <c r="BQ166" i="2"/>
  <c r="AP166" i="2"/>
  <c r="AG166" i="2" s="1"/>
  <c r="AO166" i="2"/>
  <c r="AF166" i="2" s="1"/>
  <c r="AN166" i="2"/>
  <c r="AM166" i="2"/>
  <c r="AD166" i="2" s="1"/>
  <c r="AL166" i="2"/>
  <c r="AJ166" i="2"/>
  <c r="AC166" i="2"/>
  <c r="AB166" i="2"/>
  <c r="V166" i="2"/>
  <c r="BQ165" i="2"/>
  <c r="AQ165" i="2"/>
  <c r="AH165" i="2" s="1"/>
  <c r="AP165" i="2"/>
  <c r="AG165" i="2" s="1"/>
  <c r="AO165" i="2"/>
  <c r="AN165" i="2"/>
  <c r="AE165" i="2" s="1"/>
  <c r="AM165" i="2"/>
  <c r="AD165" i="2" s="1"/>
  <c r="AL165" i="2"/>
  <c r="AJ165" i="2"/>
  <c r="AF165" i="2"/>
  <c r="AC165" i="2"/>
  <c r="AB165" i="2"/>
  <c r="V165" i="2"/>
  <c r="BQ164" i="2"/>
  <c r="AP164" i="2"/>
  <c r="AG164" i="2" s="1"/>
  <c r="AO164" i="2"/>
  <c r="AF164" i="2" s="1"/>
  <c r="AN164" i="2"/>
  <c r="AE164" i="2" s="1"/>
  <c r="AM164" i="2"/>
  <c r="AD164" i="2" s="1"/>
  <c r="AL164" i="2"/>
  <c r="AC164" i="2" s="1"/>
  <c r="AJ164" i="2"/>
  <c r="AB164" i="2"/>
  <c r="V164" i="2"/>
  <c r="BQ163" i="2"/>
  <c r="AP163" i="2"/>
  <c r="AG163" i="2" s="1"/>
  <c r="AO163" i="2"/>
  <c r="AN163" i="2"/>
  <c r="AE163" i="2" s="1"/>
  <c r="AM163" i="2"/>
  <c r="AL163" i="2"/>
  <c r="AJ163" i="2"/>
  <c r="AF163" i="2"/>
  <c r="AC163" i="2"/>
  <c r="AB163" i="2"/>
  <c r="V163" i="2"/>
  <c r="BQ162" i="2"/>
  <c r="AP162" i="2"/>
  <c r="AG162" i="2" s="1"/>
  <c r="AO162" i="2"/>
  <c r="AF162" i="2" s="1"/>
  <c r="AN162" i="2"/>
  <c r="AE162" i="2" s="1"/>
  <c r="AM162" i="2"/>
  <c r="AD162" i="2" s="1"/>
  <c r="AL162" i="2"/>
  <c r="AJ162" i="2"/>
  <c r="AC162" i="2"/>
  <c r="AB162" i="2"/>
  <c r="V162" i="2"/>
  <c r="BQ161" i="2"/>
  <c r="AP161" i="2"/>
  <c r="AG161" i="2" s="1"/>
  <c r="AO161" i="2"/>
  <c r="AN161" i="2"/>
  <c r="AE161" i="2" s="1"/>
  <c r="AM161" i="2"/>
  <c r="AD161" i="2" s="1"/>
  <c r="AL161" i="2"/>
  <c r="AC161" i="2" s="1"/>
  <c r="AJ161" i="2"/>
  <c r="AF161" i="2"/>
  <c r="AB161" i="2"/>
  <c r="V161" i="2"/>
  <c r="BQ160" i="2"/>
  <c r="AP160" i="2"/>
  <c r="AG160" i="2" s="1"/>
  <c r="AO160" i="2"/>
  <c r="AF160" i="2" s="1"/>
  <c r="AN160" i="2"/>
  <c r="AM160" i="2"/>
  <c r="AD160" i="2" s="1"/>
  <c r="AL160" i="2"/>
  <c r="AC160" i="2" s="1"/>
  <c r="AJ160" i="2"/>
  <c r="AE160" i="2"/>
  <c r="AB160" i="2"/>
  <c r="V160" i="2"/>
  <c r="BQ159" i="2"/>
  <c r="AQ159" i="2"/>
  <c r="AH159" i="2" s="1"/>
  <c r="AP159" i="2"/>
  <c r="AG159" i="2" s="1"/>
  <c r="AO159" i="2"/>
  <c r="AF159" i="2" s="1"/>
  <c r="AN159" i="2"/>
  <c r="AM159" i="2"/>
  <c r="AD159" i="2" s="1"/>
  <c r="AL159" i="2"/>
  <c r="AC159" i="2" s="1"/>
  <c r="AJ159" i="2"/>
  <c r="AE159" i="2"/>
  <c r="AB159" i="2"/>
  <c r="V159" i="2"/>
  <c r="BQ158" i="2"/>
  <c r="AP158" i="2"/>
  <c r="AG158" i="2" s="1"/>
  <c r="AO158" i="2"/>
  <c r="AN158" i="2"/>
  <c r="AE158" i="2" s="1"/>
  <c r="AM158" i="2"/>
  <c r="AD158" i="2" s="1"/>
  <c r="AL158" i="2"/>
  <c r="AJ158" i="2"/>
  <c r="AF158" i="2"/>
  <c r="AC158" i="2"/>
  <c r="AB158" i="2"/>
  <c r="V158" i="2"/>
  <c r="BQ157" i="2"/>
  <c r="AP157" i="2"/>
  <c r="AO157" i="2"/>
  <c r="AF157" i="2" s="1"/>
  <c r="AN157" i="2"/>
  <c r="AE157" i="2" s="1"/>
  <c r="AM157" i="2"/>
  <c r="AD157" i="2" s="1"/>
  <c r="AL157" i="2"/>
  <c r="AJ157" i="2"/>
  <c r="AC157" i="2"/>
  <c r="AB157" i="2"/>
  <c r="V157" i="2"/>
  <c r="BQ156" i="2"/>
  <c r="AP156" i="2"/>
  <c r="AG156" i="2" s="1"/>
  <c r="AO156" i="2"/>
  <c r="AF156" i="2" s="1"/>
  <c r="AN156" i="2"/>
  <c r="AE156" i="2" s="1"/>
  <c r="AM156" i="2"/>
  <c r="AL156" i="2"/>
  <c r="AC156" i="2" s="1"/>
  <c r="AJ156" i="2"/>
  <c r="AB156" i="2"/>
  <c r="V156" i="2"/>
  <c r="BQ155" i="2"/>
  <c r="AP155" i="2"/>
  <c r="AO155" i="2"/>
  <c r="AF155" i="2" s="1"/>
  <c r="AN155" i="2"/>
  <c r="AM155" i="2"/>
  <c r="AL155" i="2"/>
  <c r="AJ155" i="2"/>
  <c r="AG155" i="2"/>
  <c r="AE155" i="2"/>
  <c r="AC155" i="2"/>
  <c r="AB155" i="2"/>
  <c r="V155" i="2"/>
  <c r="BQ154" i="2"/>
  <c r="AP154" i="2"/>
  <c r="AO154" i="2"/>
  <c r="AN154" i="2"/>
  <c r="AM154" i="2"/>
  <c r="AD154" i="2" s="1"/>
  <c r="AL154" i="2"/>
  <c r="AJ154" i="2"/>
  <c r="AG154" i="2"/>
  <c r="AF154" i="2"/>
  <c r="AE154" i="2"/>
  <c r="AC154" i="2"/>
  <c r="AB154" i="2"/>
  <c r="V154" i="2"/>
  <c r="BQ153" i="2"/>
  <c r="AP153" i="2"/>
  <c r="AG153" i="2" s="1"/>
  <c r="AO153" i="2"/>
  <c r="AN153" i="2"/>
  <c r="AM153" i="2"/>
  <c r="AD153" i="2" s="1"/>
  <c r="AL153" i="2"/>
  <c r="AJ153" i="2"/>
  <c r="AE153" i="2"/>
  <c r="AC153" i="2"/>
  <c r="AB153" i="2"/>
  <c r="V153" i="2"/>
  <c r="BQ152" i="2"/>
  <c r="AP152" i="2"/>
  <c r="AG152" i="2" s="1"/>
  <c r="AO152" i="2"/>
  <c r="AF152" i="2" s="1"/>
  <c r="AN152" i="2"/>
  <c r="AE152" i="2" s="1"/>
  <c r="AM152" i="2"/>
  <c r="AL152" i="2"/>
  <c r="AJ152" i="2"/>
  <c r="AC152" i="2"/>
  <c r="AB152" i="2"/>
  <c r="V152" i="2"/>
  <c r="BQ151" i="2"/>
  <c r="AP151" i="2"/>
  <c r="AO151" i="2"/>
  <c r="AF151" i="2" s="1"/>
  <c r="AN151" i="2"/>
  <c r="AE151" i="2" s="1"/>
  <c r="AM151" i="2"/>
  <c r="AL151" i="2"/>
  <c r="AC151" i="2" s="1"/>
  <c r="AJ151" i="2"/>
  <c r="AG151" i="2"/>
  <c r="AB151" i="2"/>
  <c r="V151" i="2"/>
  <c r="BQ150" i="2"/>
  <c r="AP150" i="2"/>
  <c r="AO150" i="2"/>
  <c r="AF150" i="2" s="1"/>
  <c r="AN150" i="2"/>
  <c r="AE150" i="2" s="1"/>
  <c r="AM150" i="2"/>
  <c r="AD150" i="2" s="1"/>
  <c r="AL150" i="2"/>
  <c r="AJ150" i="2"/>
  <c r="AC150" i="2"/>
  <c r="AB150" i="2"/>
  <c r="V150" i="2"/>
  <c r="BQ149" i="2"/>
  <c r="AP149" i="2"/>
  <c r="AO149" i="2"/>
  <c r="AN149" i="2"/>
  <c r="AE149" i="2" s="1"/>
  <c r="AM149" i="2"/>
  <c r="AD149" i="2" s="1"/>
  <c r="AL149" i="2"/>
  <c r="AJ149" i="2"/>
  <c r="AG149" i="2"/>
  <c r="AC149" i="2"/>
  <c r="AB149" i="2"/>
  <c r="V149" i="2"/>
  <c r="BQ148" i="2"/>
  <c r="AP148" i="2"/>
  <c r="AG148" i="2" s="1"/>
  <c r="AO148" i="2"/>
  <c r="AF148" i="2" s="1"/>
  <c r="AN148" i="2"/>
  <c r="AE148" i="2" s="1"/>
  <c r="AM148" i="2"/>
  <c r="AD148" i="2" s="1"/>
  <c r="AL148" i="2"/>
  <c r="AJ148" i="2"/>
  <c r="AC148" i="2"/>
  <c r="AB148" i="2"/>
  <c r="V148" i="2"/>
  <c r="BQ147" i="2"/>
  <c r="AP147" i="2"/>
  <c r="AO147" i="2"/>
  <c r="AF147" i="2" s="1"/>
  <c r="AN147" i="2"/>
  <c r="AE147" i="2" s="1"/>
  <c r="AM147" i="2"/>
  <c r="AL147" i="2"/>
  <c r="AJ147" i="2"/>
  <c r="AG147" i="2"/>
  <c r="AC147" i="2"/>
  <c r="AB147" i="2"/>
  <c r="V147" i="2"/>
  <c r="BQ146" i="2"/>
  <c r="AQ146" i="2"/>
  <c r="AH146" i="2" s="1"/>
  <c r="AP146" i="2"/>
  <c r="AO146" i="2"/>
  <c r="AN146" i="2"/>
  <c r="AE146" i="2" s="1"/>
  <c r="AM146" i="2"/>
  <c r="AD146" i="2" s="1"/>
  <c r="AL146" i="2"/>
  <c r="AC146" i="2" s="1"/>
  <c r="AJ146" i="2"/>
  <c r="AG146" i="2"/>
  <c r="AF146" i="2"/>
  <c r="AB146" i="2"/>
  <c r="V146" i="2"/>
  <c r="BQ145" i="2"/>
  <c r="AP145" i="2"/>
  <c r="AG145" i="2" s="1"/>
  <c r="AO145" i="2"/>
  <c r="AF145" i="2" s="1"/>
  <c r="AN145" i="2"/>
  <c r="AE145" i="2" s="1"/>
  <c r="AM145" i="2"/>
  <c r="AD145" i="2" s="1"/>
  <c r="AL145" i="2"/>
  <c r="AQ145" i="2" s="1"/>
  <c r="AJ145" i="2"/>
  <c r="AC145" i="2"/>
  <c r="AB145" i="2"/>
  <c r="V145" i="2"/>
  <c r="BQ144" i="2"/>
  <c r="AP144" i="2"/>
  <c r="AG144" i="2" s="1"/>
  <c r="AO144" i="2"/>
  <c r="AN144" i="2"/>
  <c r="AE144" i="2" s="1"/>
  <c r="AM144" i="2"/>
  <c r="AL144" i="2"/>
  <c r="AJ144" i="2"/>
  <c r="AF144" i="2"/>
  <c r="AC144" i="2"/>
  <c r="AB144" i="2"/>
  <c r="V144" i="2"/>
  <c r="BQ143" i="2"/>
  <c r="AP143" i="2"/>
  <c r="AO143" i="2"/>
  <c r="AF143" i="2" s="1"/>
  <c r="AN143" i="2"/>
  <c r="AE143" i="2" s="1"/>
  <c r="AM143" i="2"/>
  <c r="AD143" i="2" s="1"/>
  <c r="AL143" i="2"/>
  <c r="AC143" i="2" s="1"/>
  <c r="AJ143" i="2"/>
  <c r="AG143" i="2"/>
  <c r="AB143" i="2"/>
  <c r="V143" i="2"/>
  <c r="BQ142" i="2"/>
  <c r="AP142" i="2"/>
  <c r="AO142" i="2"/>
  <c r="AF142" i="2" s="1"/>
  <c r="AN142" i="2"/>
  <c r="AE142" i="2" s="1"/>
  <c r="AM142" i="2"/>
  <c r="AL142" i="2"/>
  <c r="AC142" i="2" s="1"/>
  <c r="AJ142" i="2"/>
  <c r="AG142" i="2"/>
  <c r="AB142" i="2"/>
  <c r="V142" i="2"/>
  <c r="BQ141" i="2"/>
  <c r="AP141" i="2"/>
  <c r="AG141" i="2" s="1"/>
  <c r="AO141" i="2"/>
  <c r="AF141" i="2" s="1"/>
  <c r="AN141" i="2"/>
  <c r="AE141" i="2" s="1"/>
  <c r="AM141" i="2"/>
  <c r="AD141" i="2" s="1"/>
  <c r="AL141" i="2"/>
  <c r="AJ141" i="2"/>
  <c r="AC141" i="2"/>
  <c r="AB141" i="2"/>
  <c r="V141" i="2"/>
  <c r="BQ140" i="2"/>
  <c r="AP140" i="2"/>
  <c r="AG140" i="2" s="1"/>
  <c r="AO140" i="2"/>
  <c r="AN140" i="2"/>
  <c r="AM140" i="2"/>
  <c r="AD140" i="2" s="1"/>
  <c r="AL140" i="2"/>
  <c r="AJ140" i="2"/>
  <c r="AE140" i="2"/>
  <c r="AC140" i="2"/>
  <c r="AB140" i="2"/>
  <c r="V140" i="2"/>
  <c r="BQ139" i="2"/>
  <c r="AP139" i="2"/>
  <c r="AG139" i="2" s="1"/>
  <c r="AO139" i="2"/>
  <c r="AN139" i="2"/>
  <c r="AE139" i="2" s="1"/>
  <c r="AM139" i="2"/>
  <c r="AD139" i="2" s="1"/>
  <c r="AL139" i="2"/>
  <c r="AC139" i="2" s="1"/>
  <c r="AJ139" i="2"/>
  <c r="AF139" i="2"/>
  <c r="AB139" i="2"/>
  <c r="V139" i="2"/>
  <c r="BQ138" i="2"/>
  <c r="AP138" i="2"/>
  <c r="AG138" i="2" s="1"/>
  <c r="AO138" i="2"/>
  <c r="AN138" i="2"/>
  <c r="AE138" i="2" s="1"/>
  <c r="AM138" i="2"/>
  <c r="AD138" i="2" s="1"/>
  <c r="AL138" i="2"/>
  <c r="AJ138" i="2"/>
  <c r="AF138" i="2"/>
  <c r="AC138" i="2"/>
  <c r="AB138" i="2"/>
  <c r="V138" i="2"/>
  <c r="BQ137" i="2"/>
  <c r="AP137" i="2"/>
  <c r="AG137" i="2" s="1"/>
  <c r="AO137" i="2"/>
  <c r="AN137" i="2"/>
  <c r="AE137" i="2" s="1"/>
  <c r="AM137" i="2"/>
  <c r="AD137" i="2" s="1"/>
  <c r="AL137" i="2"/>
  <c r="AJ137" i="2"/>
  <c r="AF137" i="2"/>
  <c r="AC137" i="2"/>
  <c r="AB137" i="2"/>
  <c r="V137" i="2"/>
  <c r="BQ136" i="2"/>
  <c r="AP136" i="2"/>
  <c r="AG136" i="2" s="1"/>
  <c r="AO136" i="2"/>
  <c r="AN136" i="2"/>
  <c r="AE136" i="2" s="1"/>
  <c r="AM136" i="2"/>
  <c r="AD136" i="2" s="1"/>
  <c r="AL136" i="2"/>
  <c r="AJ136" i="2"/>
  <c r="AF136" i="2"/>
  <c r="AC136" i="2"/>
  <c r="AB136" i="2"/>
  <c r="V136" i="2"/>
  <c r="BQ135" i="2"/>
  <c r="AP135" i="2"/>
  <c r="AG135" i="2" s="1"/>
  <c r="AO135" i="2"/>
  <c r="AF135" i="2" s="1"/>
  <c r="AN135" i="2"/>
  <c r="AM135" i="2"/>
  <c r="AD135" i="2" s="1"/>
  <c r="AL135" i="2"/>
  <c r="AC135" i="2" s="1"/>
  <c r="AJ135" i="2"/>
  <c r="AE135" i="2"/>
  <c r="AB135" i="2"/>
  <c r="V135" i="2"/>
  <c r="BQ134" i="2"/>
  <c r="AP134" i="2"/>
  <c r="AG134" i="2" s="1"/>
  <c r="AO134" i="2"/>
  <c r="AF134" i="2" s="1"/>
  <c r="AN134" i="2"/>
  <c r="AM134" i="2"/>
  <c r="AD134" i="2" s="1"/>
  <c r="AL134" i="2"/>
  <c r="AC134" i="2" s="1"/>
  <c r="AJ134" i="2"/>
  <c r="AE134" i="2"/>
  <c r="AB134" i="2"/>
  <c r="V134" i="2"/>
  <c r="BQ133" i="2"/>
  <c r="AP133" i="2"/>
  <c r="AG133" i="2" s="1"/>
  <c r="AO133" i="2"/>
  <c r="AN133" i="2"/>
  <c r="AM133" i="2"/>
  <c r="AD133" i="2" s="1"/>
  <c r="AL133" i="2"/>
  <c r="AC133" i="2" s="1"/>
  <c r="AJ133" i="2"/>
  <c r="AF133" i="2"/>
  <c r="AE133" i="2"/>
  <c r="AB133" i="2"/>
  <c r="V133" i="2"/>
  <c r="BQ132" i="2"/>
  <c r="AP132" i="2"/>
  <c r="AG132" i="2" s="1"/>
  <c r="AO132" i="2"/>
  <c r="AF132" i="2" s="1"/>
  <c r="AN132" i="2"/>
  <c r="AM132" i="2"/>
  <c r="AD132" i="2" s="1"/>
  <c r="AL132" i="2"/>
  <c r="AC132" i="2" s="1"/>
  <c r="AJ132" i="2"/>
  <c r="AE132" i="2"/>
  <c r="AB132" i="2"/>
  <c r="V132" i="2"/>
  <c r="BQ131" i="2"/>
  <c r="AP131" i="2"/>
  <c r="AG131" i="2" s="1"/>
  <c r="AO131" i="2"/>
  <c r="AN131" i="2"/>
  <c r="AE131" i="2" s="1"/>
  <c r="AM131" i="2"/>
  <c r="AD131" i="2" s="1"/>
  <c r="AL131" i="2"/>
  <c r="AJ131" i="2"/>
  <c r="AF131" i="2"/>
  <c r="AC131" i="2"/>
  <c r="AB131" i="2"/>
  <c r="V131" i="2"/>
  <c r="BQ130" i="2"/>
  <c r="AP130" i="2"/>
  <c r="AG130" i="2" s="1"/>
  <c r="AO130" i="2"/>
  <c r="AN130" i="2"/>
  <c r="AE130" i="2" s="1"/>
  <c r="AM130" i="2"/>
  <c r="AD130" i="2" s="1"/>
  <c r="AL130" i="2"/>
  <c r="AC130" i="2" s="1"/>
  <c r="AJ130" i="2"/>
  <c r="AF130" i="2"/>
  <c r="AB130" i="2"/>
  <c r="V130" i="2"/>
  <c r="BQ129" i="2"/>
  <c r="AP129" i="2"/>
  <c r="AG129" i="2" s="1"/>
  <c r="AO129" i="2"/>
  <c r="AN129" i="2"/>
  <c r="AE129" i="2" s="1"/>
  <c r="AM129" i="2"/>
  <c r="AD129" i="2" s="1"/>
  <c r="AL129" i="2"/>
  <c r="AJ129" i="2"/>
  <c r="AF129" i="2"/>
  <c r="AC129" i="2"/>
  <c r="AB129" i="2"/>
  <c r="V129" i="2"/>
  <c r="BQ128" i="2"/>
  <c r="AQ128" i="2"/>
  <c r="AH128" i="2" s="1"/>
  <c r="AP128" i="2"/>
  <c r="AG128" i="2" s="1"/>
  <c r="AO128" i="2"/>
  <c r="AF128" i="2" s="1"/>
  <c r="AN128" i="2"/>
  <c r="AM128" i="2"/>
  <c r="AD128" i="2" s="1"/>
  <c r="AL128" i="2"/>
  <c r="AC128" i="2" s="1"/>
  <c r="AJ128" i="2"/>
  <c r="AE128" i="2"/>
  <c r="AB128" i="2"/>
  <c r="V128" i="2"/>
  <c r="BQ127" i="2"/>
  <c r="AP127" i="2"/>
  <c r="AG127" i="2" s="1"/>
  <c r="AO127" i="2"/>
  <c r="AN127" i="2"/>
  <c r="AE127" i="2" s="1"/>
  <c r="AM127" i="2"/>
  <c r="AD127" i="2" s="1"/>
  <c r="AL127" i="2"/>
  <c r="AJ127" i="2"/>
  <c r="AF127" i="2"/>
  <c r="AC127" i="2"/>
  <c r="AB127" i="2"/>
  <c r="V127" i="2"/>
  <c r="BQ126" i="2"/>
  <c r="AP126" i="2"/>
  <c r="AG126" i="2" s="1"/>
  <c r="AO126" i="2"/>
  <c r="AF126" i="2" s="1"/>
  <c r="AN126" i="2"/>
  <c r="AM126" i="2"/>
  <c r="AD126" i="2" s="1"/>
  <c r="AL126" i="2"/>
  <c r="AC126" i="2" s="1"/>
  <c r="AJ126" i="2"/>
  <c r="AE126" i="2"/>
  <c r="AB126" i="2"/>
  <c r="V126" i="2"/>
  <c r="BQ125" i="2"/>
  <c r="AP125" i="2"/>
  <c r="AG125" i="2" s="1"/>
  <c r="AO125" i="2"/>
  <c r="AN125" i="2"/>
  <c r="AM125" i="2"/>
  <c r="AD125" i="2" s="1"/>
  <c r="AL125" i="2"/>
  <c r="AC125" i="2" s="1"/>
  <c r="AJ125" i="2"/>
  <c r="AF125" i="2"/>
  <c r="AB125" i="2"/>
  <c r="V125" i="2"/>
  <c r="BQ124" i="2"/>
  <c r="AQ124" i="2"/>
  <c r="AP124" i="2"/>
  <c r="AG124" i="2" s="1"/>
  <c r="AO124" i="2"/>
  <c r="AN124" i="2"/>
  <c r="AE124" i="2" s="1"/>
  <c r="AM124" i="2"/>
  <c r="AD124" i="2" s="1"/>
  <c r="AL124" i="2"/>
  <c r="AJ124" i="2"/>
  <c r="AF124" i="2"/>
  <c r="AC124" i="2"/>
  <c r="AB124" i="2"/>
  <c r="V124" i="2"/>
  <c r="BQ123" i="2"/>
  <c r="AP123" i="2"/>
  <c r="AG123" i="2" s="1"/>
  <c r="AO123" i="2"/>
  <c r="AF123" i="2" s="1"/>
  <c r="AN123" i="2"/>
  <c r="AE123" i="2" s="1"/>
  <c r="AM123" i="2"/>
  <c r="AD123" i="2" s="1"/>
  <c r="AL123" i="2"/>
  <c r="AJ123" i="2"/>
  <c r="AC123" i="2"/>
  <c r="AB123" i="2"/>
  <c r="V123" i="2"/>
  <c r="BQ122" i="2"/>
  <c r="AP122" i="2"/>
  <c r="AG122" i="2" s="1"/>
  <c r="AO122" i="2"/>
  <c r="AN122" i="2"/>
  <c r="AE122" i="2" s="1"/>
  <c r="AM122" i="2"/>
  <c r="AD122" i="2" s="1"/>
  <c r="AL122" i="2"/>
  <c r="AJ122" i="2"/>
  <c r="AF122" i="2"/>
  <c r="AC122" i="2"/>
  <c r="AB122" i="2"/>
  <c r="V122" i="2"/>
  <c r="BQ121" i="2"/>
  <c r="AP121" i="2"/>
  <c r="AG121" i="2" s="1"/>
  <c r="AO121" i="2"/>
  <c r="AF121" i="2" s="1"/>
  <c r="AN121" i="2"/>
  <c r="AM121" i="2"/>
  <c r="AD121" i="2" s="1"/>
  <c r="AL121" i="2"/>
  <c r="AQ121" i="2" s="1"/>
  <c r="AH121" i="2" s="1"/>
  <c r="AJ121" i="2"/>
  <c r="AE121" i="2"/>
  <c r="AC121" i="2"/>
  <c r="AB121" i="2"/>
  <c r="V121" i="2"/>
  <c r="BQ120" i="2"/>
  <c r="AP120" i="2"/>
  <c r="AG120" i="2" s="1"/>
  <c r="AO120" i="2"/>
  <c r="AN120" i="2"/>
  <c r="AM120" i="2"/>
  <c r="AD120" i="2" s="1"/>
  <c r="AL120" i="2"/>
  <c r="AC120" i="2" s="1"/>
  <c r="AJ120" i="2"/>
  <c r="AF120" i="2"/>
  <c r="AE120" i="2"/>
  <c r="AB120" i="2"/>
  <c r="V120" i="2"/>
  <c r="BQ119" i="2"/>
  <c r="AP119" i="2"/>
  <c r="AG119" i="2" s="1"/>
  <c r="AO119" i="2"/>
  <c r="AF119" i="2" s="1"/>
  <c r="AN119" i="2"/>
  <c r="AM119" i="2"/>
  <c r="AD119" i="2" s="1"/>
  <c r="AL119" i="2"/>
  <c r="AJ119" i="2"/>
  <c r="AE119" i="2"/>
  <c r="AC119" i="2"/>
  <c r="AB119" i="2"/>
  <c r="V119" i="2"/>
  <c r="BQ118" i="2"/>
  <c r="AP118" i="2"/>
  <c r="AG118" i="2" s="1"/>
  <c r="AO118" i="2"/>
  <c r="AN118" i="2"/>
  <c r="AE118" i="2" s="1"/>
  <c r="AM118" i="2"/>
  <c r="AD118" i="2" s="1"/>
  <c r="AL118" i="2"/>
  <c r="AC118" i="2" s="1"/>
  <c r="AJ118" i="2"/>
  <c r="AF118" i="2"/>
  <c r="AB118" i="2"/>
  <c r="V118" i="2"/>
  <c r="BQ117" i="2"/>
  <c r="AQ117" i="2"/>
  <c r="AH117" i="2" s="1"/>
  <c r="AP117" i="2"/>
  <c r="AG117" i="2" s="1"/>
  <c r="AO117" i="2"/>
  <c r="AF117" i="2" s="1"/>
  <c r="AN117" i="2"/>
  <c r="AM117" i="2"/>
  <c r="AD117" i="2" s="1"/>
  <c r="AL117" i="2"/>
  <c r="AC117" i="2" s="1"/>
  <c r="AJ117" i="2"/>
  <c r="AE117" i="2"/>
  <c r="AB117" i="2"/>
  <c r="V117" i="2"/>
  <c r="BQ116" i="2"/>
  <c r="AP116" i="2"/>
  <c r="AG116" i="2" s="1"/>
  <c r="AO116" i="2"/>
  <c r="AN116" i="2"/>
  <c r="AM116" i="2"/>
  <c r="AD116" i="2" s="1"/>
  <c r="AL116" i="2"/>
  <c r="AC116" i="2" s="1"/>
  <c r="AJ116" i="2"/>
  <c r="AF116" i="2"/>
  <c r="AB116" i="2"/>
  <c r="V116" i="2"/>
  <c r="BQ115" i="2"/>
  <c r="AP115" i="2"/>
  <c r="AG115" i="2" s="1"/>
  <c r="AO115" i="2"/>
  <c r="AN115" i="2"/>
  <c r="AM115" i="2"/>
  <c r="AD115" i="2" s="1"/>
  <c r="AL115" i="2"/>
  <c r="AC115" i="2" s="1"/>
  <c r="AJ115" i="2"/>
  <c r="AF115" i="2"/>
  <c r="AE115" i="2"/>
  <c r="AB115" i="2"/>
  <c r="V115" i="2"/>
  <c r="BQ114" i="2"/>
  <c r="AP114" i="2"/>
  <c r="AG114" i="2" s="1"/>
  <c r="AO114" i="2"/>
  <c r="AF114" i="2" s="1"/>
  <c r="AN114" i="2"/>
  <c r="AE114" i="2" s="1"/>
  <c r="AM114" i="2"/>
  <c r="AD114" i="2" s="1"/>
  <c r="AL114" i="2"/>
  <c r="AC114" i="2" s="1"/>
  <c r="AJ114" i="2"/>
  <c r="AB114" i="2"/>
  <c r="V114" i="2"/>
  <c r="BQ113" i="2"/>
  <c r="AP113" i="2"/>
  <c r="AG113" i="2" s="1"/>
  <c r="AO113" i="2"/>
  <c r="AF113" i="2" s="1"/>
  <c r="AN113" i="2"/>
  <c r="AQ113" i="2" s="1"/>
  <c r="AM113" i="2"/>
  <c r="AD113" i="2" s="1"/>
  <c r="AL113" i="2"/>
  <c r="AC113" i="2" s="1"/>
  <c r="AJ113" i="2"/>
  <c r="AH113" i="2"/>
  <c r="AE113" i="2"/>
  <c r="AB113" i="2"/>
  <c r="V113" i="2"/>
  <c r="BQ112" i="2"/>
  <c r="AP112" i="2"/>
  <c r="AG112" i="2" s="1"/>
  <c r="AO112" i="2"/>
  <c r="AF112" i="2" s="1"/>
  <c r="AN112" i="2"/>
  <c r="AE112" i="2" s="1"/>
  <c r="AM112" i="2"/>
  <c r="AD112" i="2" s="1"/>
  <c r="AL112" i="2"/>
  <c r="AQ112" i="2" s="1"/>
  <c r="AJ112" i="2"/>
  <c r="AB112" i="2"/>
  <c r="V112" i="2"/>
  <c r="BQ111" i="2"/>
  <c r="AP111" i="2"/>
  <c r="AG111" i="2" s="1"/>
  <c r="AO111" i="2"/>
  <c r="AN111" i="2"/>
  <c r="AE111" i="2" s="1"/>
  <c r="AM111" i="2"/>
  <c r="AD111" i="2" s="1"/>
  <c r="AL111" i="2"/>
  <c r="AJ111" i="2"/>
  <c r="AF111" i="2"/>
  <c r="AC111" i="2"/>
  <c r="AB111" i="2"/>
  <c r="V111" i="2"/>
  <c r="BQ110" i="2"/>
  <c r="AP110" i="2"/>
  <c r="AG110" i="2" s="1"/>
  <c r="AO110" i="2"/>
  <c r="AF110" i="2" s="1"/>
  <c r="AN110" i="2"/>
  <c r="AM110" i="2"/>
  <c r="AD110" i="2" s="1"/>
  <c r="AL110" i="2"/>
  <c r="AC110" i="2" s="1"/>
  <c r="AJ110" i="2"/>
  <c r="AE110" i="2"/>
  <c r="AB110" i="2"/>
  <c r="V110" i="2"/>
  <c r="BQ109" i="2"/>
  <c r="AP109" i="2"/>
  <c r="AG109" i="2" s="1"/>
  <c r="AO109" i="2"/>
  <c r="AF109" i="2" s="1"/>
  <c r="AN109" i="2"/>
  <c r="AM109" i="2"/>
  <c r="AD109" i="2" s="1"/>
  <c r="AL109" i="2"/>
  <c r="AC109" i="2" s="1"/>
  <c r="AJ109" i="2"/>
  <c r="AE109" i="2"/>
  <c r="AB109" i="2"/>
  <c r="V109" i="2"/>
  <c r="BQ108" i="2"/>
  <c r="AP108" i="2"/>
  <c r="AG108" i="2" s="1"/>
  <c r="AO108" i="2"/>
  <c r="AF108" i="2" s="1"/>
  <c r="AN108" i="2"/>
  <c r="AM108" i="2"/>
  <c r="AD108" i="2" s="1"/>
  <c r="AL108" i="2"/>
  <c r="AC108" i="2" s="1"/>
  <c r="AJ108" i="2"/>
  <c r="AE108" i="2"/>
  <c r="AB108" i="2"/>
  <c r="V108" i="2"/>
  <c r="BQ107" i="2"/>
  <c r="AP107" i="2"/>
  <c r="AG107" i="2" s="1"/>
  <c r="AO107" i="2"/>
  <c r="AF107" i="2" s="1"/>
  <c r="AN107" i="2"/>
  <c r="AM107" i="2"/>
  <c r="AD107" i="2" s="1"/>
  <c r="AL107" i="2"/>
  <c r="AJ107" i="2"/>
  <c r="AE107" i="2"/>
  <c r="AC107" i="2"/>
  <c r="AB107" i="2"/>
  <c r="V107" i="2"/>
  <c r="BQ106" i="2"/>
  <c r="AP106" i="2"/>
  <c r="AG106" i="2" s="1"/>
  <c r="AO106" i="2"/>
  <c r="AN106" i="2"/>
  <c r="AE106" i="2" s="1"/>
  <c r="AM106" i="2"/>
  <c r="AD106" i="2" s="1"/>
  <c r="AL106" i="2"/>
  <c r="AJ106" i="2"/>
  <c r="AF106" i="2"/>
  <c r="AC106" i="2"/>
  <c r="AB106" i="2"/>
  <c r="V106" i="2"/>
  <c r="BQ105" i="2"/>
  <c r="AQ105" i="2"/>
  <c r="AH105" i="2" s="1"/>
  <c r="AP105" i="2"/>
  <c r="AG105" i="2" s="1"/>
  <c r="AO105" i="2"/>
  <c r="AN105" i="2"/>
  <c r="AE105" i="2" s="1"/>
  <c r="AM105" i="2"/>
  <c r="AD105" i="2" s="1"/>
  <c r="AL105" i="2"/>
  <c r="AJ105" i="2"/>
  <c r="AF105" i="2"/>
  <c r="AC105" i="2"/>
  <c r="AB105" i="2"/>
  <c r="V105" i="2"/>
  <c r="BQ104" i="2"/>
  <c r="AP104" i="2"/>
  <c r="AG104" i="2" s="1"/>
  <c r="AO104" i="2"/>
  <c r="AF104" i="2" s="1"/>
  <c r="AN104" i="2"/>
  <c r="AM104" i="2"/>
  <c r="AD104" i="2" s="1"/>
  <c r="AL104" i="2"/>
  <c r="AC104" i="2" s="1"/>
  <c r="AJ104" i="2"/>
  <c r="AB104" i="2"/>
  <c r="V104" i="2"/>
  <c r="BQ103" i="2"/>
  <c r="AP103" i="2"/>
  <c r="AG103" i="2" s="1"/>
  <c r="AO103" i="2"/>
  <c r="AN103" i="2"/>
  <c r="AM103" i="2"/>
  <c r="AD103" i="2" s="1"/>
  <c r="AL103" i="2"/>
  <c r="AC103" i="2" s="1"/>
  <c r="AJ103" i="2"/>
  <c r="AF103" i="2"/>
  <c r="AE103" i="2"/>
  <c r="AB103" i="2"/>
  <c r="V103" i="2"/>
  <c r="BQ102" i="2"/>
  <c r="AP102" i="2"/>
  <c r="AG102" i="2" s="1"/>
  <c r="AO102" i="2"/>
  <c r="AF102" i="2" s="1"/>
  <c r="AN102" i="2"/>
  <c r="AM102" i="2"/>
  <c r="AD102" i="2" s="1"/>
  <c r="AL102" i="2"/>
  <c r="AC102" i="2" s="1"/>
  <c r="AJ102" i="2"/>
  <c r="AE102" i="2"/>
  <c r="AB102" i="2"/>
  <c r="V102" i="2"/>
  <c r="BQ101" i="2"/>
  <c r="AP101" i="2"/>
  <c r="AG101" i="2" s="1"/>
  <c r="AO101" i="2"/>
  <c r="AF101" i="2" s="1"/>
  <c r="AN101" i="2"/>
  <c r="AM101" i="2"/>
  <c r="AD101" i="2" s="1"/>
  <c r="AL101" i="2"/>
  <c r="AJ101" i="2"/>
  <c r="AE101" i="2"/>
  <c r="AB101" i="2"/>
  <c r="V101" i="2"/>
  <c r="BQ100" i="2"/>
  <c r="AQ100" i="2"/>
  <c r="AH100" i="2" s="1"/>
  <c r="AP100" i="2"/>
  <c r="AG100" i="2" s="1"/>
  <c r="AO100" i="2"/>
  <c r="AF100" i="2" s="1"/>
  <c r="AN100" i="2"/>
  <c r="AM100" i="2"/>
  <c r="AD100" i="2" s="1"/>
  <c r="AL100" i="2"/>
  <c r="AC100" i="2" s="1"/>
  <c r="AJ100" i="2"/>
  <c r="AE100" i="2"/>
  <c r="AB100" i="2"/>
  <c r="V100" i="2"/>
  <c r="BQ99" i="2"/>
  <c r="AP99" i="2"/>
  <c r="AG99" i="2" s="1"/>
  <c r="AO99" i="2"/>
  <c r="AF99" i="2" s="1"/>
  <c r="AN99" i="2"/>
  <c r="AE99" i="2" s="1"/>
  <c r="AM99" i="2"/>
  <c r="AD99" i="2" s="1"/>
  <c r="AL99" i="2"/>
  <c r="AC99" i="2" s="1"/>
  <c r="AJ99" i="2"/>
  <c r="AB99" i="2"/>
  <c r="V99" i="2"/>
  <c r="BQ98" i="2"/>
  <c r="AP98" i="2"/>
  <c r="AG98" i="2" s="1"/>
  <c r="AO98" i="2"/>
  <c r="AN98" i="2"/>
  <c r="AM98" i="2"/>
  <c r="AD98" i="2" s="1"/>
  <c r="AL98" i="2"/>
  <c r="AJ98" i="2"/>
  <c r="AF98" i="2"/>
  <c r="AE98" i="2"/>
  <c r="AC98" i="2"/>
  <c r="AB98" i="2"/>
  <c r="V98" i="2"/>
  <c r="BQ97" i="2"/>
  <c r="AP97" i="2"/>
  <c r="AG97" i="2" s="1"/>
  <c r="AO97" i="2"/>
  <c r="AN97" i="2"/>
  <c r="AE97" i="2" s="1"/>
  <c r="AM97" i="2"/>
  <c r="AD97" i="2" s="1"/>
  <c r="AL97" i="2"/>
  <c r="AJ97" i="2"/>
  <c r="AF97" i="2"/>
  <c r="AC97" i="2"/>
  <c r="AB97" i="2"/>
  <c r="V97" i="2"/>
  <c r="BQ96" i="2"/>
  <c r="AP96" i="2"/>
  <c r="AG96" i="2" s="1"/>
  <c r="AO96" i="2"/>
  <c r="AN96" i="2"/>
  <c r="AE96" i="2" s="1"/>
  <c r="AM96" i="2"/>
  <c r="AD96" i="2" s="1"/>
  <c r="AL96" i="2"/>
  <c r="AJ96" i="2"/>
  <c r="AF96" i="2"/>
  <c r="AC96" i="2"/>
  <c r="AB96" i="2"/>
  <c r="V96" i="2"/>
  <c r="BQ95" i="2"/>
  <c r="AP95" i="2"/>
  <c r="AG95" i="2" s="1"/>
  <c r="AO95" i="2"/>
  <c r="AF95" i="2" s="1"/>
  <c r="AN95" i="2"/>
  <c r="AE95" i="2" s="1"/>
  <c r="AM95" i="2"/>
  <c r="AD95" i="2" s="1"/>
  <c r="AL95" i="2"/>
  <c r="AJ95" i="2"/>
  <c r="AC95" i="2"/>
  <c r="AB95" i="2"/>
  <c r="V95" i="2"/>
  <c r="BQ94" i="2"/>
  <c r="AP94" i="2"/>
  <c r="AG94" i="2" s="1"/>
  <c r="AO94" i="2"/>
  <c r="AN94" i="2"/>
  <c r="AM94" i="2"/>
  <c r="AD94" i="2" s="1"/>
  <c r="AL94" i="2"/>
  <c r="AJ94" i="2"/>
  <c r="AF94" i="2"/>
  <c r="AE94" i="2"/>
  <c r="AC94" i="2"/>
  <c r="AB94" i="2"/>
  <c r="V94" i="2"/>
  <c r="BQ93" i="2"/>
  <c r="AQ93" i="2"/>
  <c r="AH93" i="2" s="1"/>
  <c r="AP93" i="2"/>
  <c r="AG93" i="2" s="1"/>
  <c r="AO93" i="2"/>
  <c r="AF93" i="2" s="1"/>
  <c r="AN93" i="2"/>
  <c r="AM93" i="2"/>
  <c r="AD93" i="2" s="1"/>
  <c r="AL93" i="2"/>
  <c r="AJ93" i="2"/>
  <c r="AE93" i="2"/>
  <c r="AC93" i="2"/>
  <c r="AB93" i="2"/>
  <c r="V93" i="2"/>
  <c r="BQ92" i="2"/>
  <c r="AP92" i="2"/>
  <c r="AG92" i="2" s="1"/>
  <c r="AO92" i="2"/>
  <c r="AN92" i="2"/>
  <c r="AE92" i="2" s="1"/>
  <c r="AM92" i="2"/>
  <c r="AD92" i="2" s="1"/>
  <c r="AL92" i="2"/>
  <c r="AJ92" i="2"/>
  <c r="AF92" i="2"/>
  <c r="AC92" i="2"/>
  <c r="AB92" i="2"/>
  <c r="V92" i="2"/>
  <c r="BQ91" i="2"/>
  <c r="AP91" i="2"/>
  <c r="AG91" i="2" s="1"/>
  <c r="AO91" i="2"/>
  <c r="AF91" i="2" s="1"/>
  <c r="AN91" i="2"/>
  <c r="AE91" i="2" s="1"/>
  <c r="AM91" i="2"/>
  <c r="AD91" i="2" s="1"/>
  <c r="AL91" i="2"/>
  <c r="AC91" i="2" s="1"/>
  <c r="AJ91" i="2"/>
  <c r="AB91" i="2"/>
  <c r="V91" i="2"/>
  <c r="BQ90" i="2"/>
  <c r="AP90" i="2"/>
  <c r="AG90" i="2" s="1"/>
  <c r="AO90" i="2"/>
  <c r="AN90" i="2"/>
  <c r="AE90" i="2" s="1"/>
  <c r="AM90" i="2"/>
  <c r="AD90" i="2" s="1"/>
  <c r="AL90" i="2"/>
  <c r="AC90" i="2" s="1"/>
  <c r="AJ90" i="2"/>
  <c r="AF90" i="2"/>
  <c r="AB90" i="2"/>
  <c r="V90" i="2"/>
  <c r="BQ89" i="2"/>
  <c r="AP89" i="2"/>
  <c r="AG89" i="2" s="1"/>
  <c r="AO89" i="2"/>
  <c r="AN89" i="2"/>
  <c r="AM89" i="2"/>
  <c r="AD89" i="2" s="1"/>
  <c r="AL89" i="2"/>
  <c r="AJ89" i="2"/>
  <c r="AF89" i="2"/>
  <c r="AE89" i="2"/>
  <c r="AC89" i="2"/>
  <c r="AB89" i="2"/>
  <c r="V89" i="2"/>
  <c r="BQ88" i="2"/>
  <c r="AP88" i="2"/>
  <c r="AG88" i="2" s="1"/>
  <c r="AO88" i="2"/>
  <c r="AF88" i="2" s="1"/>
  <c r="AN88" i="2"/>
  <c r="AM88" i="2"/>
  <c r="AD88" i="2" s="1"/>
  <c r="AL88" i="2"/>
  <c r="AC88" i="2" s="1"/>
  <c r="AJ88" i="2"/>
  <c r="AE88" i="2"/>
  <c r="AB88" i="2"/>
  <c r="V88" i="2"/>
  <c r="BQ87" i="2"/>
  <c r="AP87" i="2"/>
  <c r="AG87" i="2" s="1"/>
  <c r="AO87" i="2"/>
  <c r="AF87" i="2" s="1"/>
  <c r="AN87" i="2"/>
  <c r="AM87" i="2"/>
  <c r="AD87" i="2" s="1"/>
  <c r="AL87" i="2"/>
  <c r="AC87" i="2" s="1"/>
  <c r="AJ87" i="2"/>
  <c r="AE87" i="2"/>
  <c r="AB87" i="2"/>
  <c r="V87" i="2"/>
  <c r="BQ86" i="2"/>
  <c r="AP86" i="2"/>
  <c r="AG86" i="2" s="1"/>
  <c r="AO86" i="2"/>
  <c r="AF86" i="2" s="1"/>
  <c r="AN86" i="2"/>
  <c r="AE86" i="2" s="1"/>
  <c r="AM86" i="2"/>
  <c r="AD86" i="2" s="1"/>
  <c r="AL86" i="2"/>
  <c r="AJ86" i="2"/>
  <c r="AC86" i="2"/>
  <c r="AB86" i="2"/>
  <c r="V86" i="2"/>
  <c r="BQ85" i="2"/>
  <c r="AP85" i="2"/>
  <c r="AG85" i="2" s="1"/>
  <c r="AO85" i="2"/>
  <c r="AN85" i="2"/>
  <c r="AM85" i="2"/>
  <c r="AD85" i="2" s="1"/>
  <c r="AL85" i="2"/>
  <c r="AJ85" i="2"/>
  <c r="AF85" i="2"/>
  <c r="AE85" i="2"/>
  <c r="AC85" i="2"/>
  <c r="AB85" i="2"/>
  <c r="V85" i="2"/>
  <c r="BQ84" i="2"/>
  <c r="AP84" i="2"/>
  <c r="AG84" i="2" s="1"/>
  <c r="AO84" i="2"/>
  <c r="AN84" i="2"/>
  <c r="AE84" i="2" s="1"/>
  <c r="AM84" i="2"/>
  <c r="AD84" i="2" s="1"/>
  <c r="AL84" i="2"/>
  <c r="AJ84" i="2"/>
  <c r="AF84" i="2"/>
  <c r="AC84" i="2"/>
  <c r="AB84" i="2"/>
  <c r="V84" i="2"/>
  <c r="BQ83" i="2"/>
  <c r="AP83" i="2"/>
  <c r="AG83" i="2" s="1"/>
  <c r="AO83" i="2"/>
  <c r="AN83" i="2"/>
  <c r="AE83" i="2" s="1"/>
  <c r="AM83" i="2"/>
  <c r="AD83" i="2" s="1"/>
  <c r="AL83" i="2"/>
  <c r="AC83" i="2" s="1"/>
  <c r="AJ83" i="2"/>
  <c r="AF83" i="2"/>
  <c r="AB83" i="2"/>
  <c r="V83" i="2"/>
  <c r="BQ82" i="2"/>
  <c r="AP82" i="2"/>
  <c r="AG82" i="2" s="1"/>
  <c r="AO82" i="2"/>
  <c r="AF82" i="2" s="1"/>
  <c r="AN82" i="2"/>
  <c r="AM82" i="2"/>
  <c r="AD82" i="2" s="1"/>
  <c r="AL82" i="2"/>
  <c r="AJ82" i="2"/>
  <c r="AE82" i="2"/>
  <c r="AB82" i="2"/>
  <c r="V82" i="2"/>
  <c r="BQ81" i="2"/>
  <c r="AP81" i="2"/>
  <c r="AG81" i="2" s="1"/>
  <c r="AO81" i="2"/>
  <c r="AN81" i="2"/>
  <c r="AE81" i="2" s="1"/>
  <c r="AM81" i="2"/>
  <c r="AD81" i="2" s="1"/>
  <c r="AL81" i="2"/>
  <c r="AC81" i="2" s="1"/>
  <c r="AJ81" i="2"/>
  <c r="AF81" i="2"/>
  <c r="AB81" i="2"/>
  <c r="V81" i="2"/>
  <c r="BQ80" i="2"/>
  <c r="AP80" i="2"/>
  <c r="AG80" i="2" s="1"/>
  <c r="AO80" i="2"/>
  <c r="AF80" i="2" s="1"/>
  <c r="AN80" i="2"/>
  <c r="AM80" i="2"/>
  <c r="AD80" i="2" s="1"/>
  <c r="AL80" i="2"/>
  <c r="AC80" i="2" s="1"/>
  <c r="AJ80" i="2"/>
  <c r="AE80" i="2"/>
  <c r="AB80" i="2"/>
  <c r="V80" i="2"/>
  <c r="BQ79" i="2"/>
  <c r="AQ79" i="2"/>
  <c r="AH79" i="2" s="1"/>
  <c r="AP79" i="2"/>
  <c r="AG79" i="2" s="1"/>
  <c r="AO79" i="2"/>
  <c r="AF79" i="2" s="1"/>
  <c r="AN79" i="2"/>
  <c r="AM79" i="2"/>
  <c r="AD79" i="2" s="1"/>
  <c r="AL79" i="2"/>
  <c r="AC79" i="2" s="1"/>
  <c r="AJ79" i="2"/>
  <c r="AE79" i="2"/>
  <c r="AB79" i="2"/>
  <c r="V79" i="2"/>
  <c r="BQ78" i="2"/>
  <c r="AP78" i="2"/>
  <c r="AG78" i="2" s="1"/>
  <c r="AO78" i="2"/>
  <c r="AN78" i="2"/>
  <c r="AE78" i="2" s="1"/>
  <c r="AM78" i="2"/>
  <c r="AD78" i="2" s="1"/>
  <c r="AL78" i="2"/>
  <c r="AC78" i="2" s="1"/>
  <c r="AJ78" i="2"/>
  <c r="AF78" i="2"/>
  <c r="AB78" i="2"/>
  <c r="V78" i="2"/>
  <c r="BQ77" i="2"/>
  <c r="AP77" i="2"/>
  <c r="AG77" i="2" s="1"/>
  <c r="AO77" i="2"/>
  <c r="AN77" i="2"/>
  <c r="AE77" i="2" s="1"/>
  <c r="AM77" i="2"/>
  <c r="AD77" i="2" s="1"/>
  <c r="AL77" i="2"/>
  <c r="AC77" i="2" s="1"/>
  <c r="AJ77" i="2"/>
  <c r="AF77" i="2"/>
  <c r="AB77" i="2"/>
  <c r="V77" i="2"/>
  <c r="BQ76" i="2"/>
  <c r="AP76" i="2"/>
  <c r="AG76" i="2" s="1"/>
  <c r="AO76" i="2"/>
  <c r="AN76" i="2"/>
  <c r="AM76" i="2"/>
  <c r="AD76" i="2" s="1"/>
  <c r="AL76" i="2"/>
  <c r="AC76" i="2" s="1"/>
  <c r="AJ76" i="2"/>
  <c r="AF76" i="2"/>
  <c r="AE76" i="2"/>
  <c r="AB76" i="2"/>
  <c r="V76" i="2"/>
  <c r="BQ75" i="2"/>
  <c r="AP75" i="2"/>
  <c r="AG75" i="2" s="1"/>
  <c r="AO75" i="2"/>
  <c r="AF75" i="2" s="1"/>
  <c r="AN75" i="2"/>
  <c r="AM75" i="2"/>
  <c r="AD75" i="2" s="1"/>
  <c r="AL75" i="2"/>
  <c r="AC75" i="2" s="1"/>
  <c r="AJ75" i="2"/>
  <c r="AE75" i="2"/>
  <c r="AB75" i="2"/>
  <c r="V75" i="2"/>
  <c r="BQ74" i="2"/>
  <c r="AP74" i="2"/>
  <c r="AG74" i="2" s="1"/>
  <c r="AO74" i="2"/>
  <c r="AN74" i="2"/>
  <c r="AE74" i="2" s="1"/>
  <c r="AM74" i="2"/>
  <c r="AD74" i="2" s="1"/>
  <c r="AL74" i="2"/>
  <c r="AC74" i="2" s="1"/>
  <c r="AJ74" i="2"/>
  <c r="AF74" i="2"/>
  <c r="AB74" i="2"/>
  <c r="V74" i="2"/>
  <c r="BQ73" i="2"/>
  <c r="AP73" i="2"/>
  <c r="AG73" i="2" s="1"/>
  <c r="AO73" i="2"/>
  <c r="AF73" i="2" s="1"/>
  <c r="AN73" i="2"/>
  <c r="AM73" i="2"/>
  <c r="AD73" i="2" s="1"/>
  <c r="AL73" i="2"/>
  <c r="AC73" i="2" s="1"/>
  <c r="AJ73" i="2"/>
  <c r="AE73" i="2"/>
  <c r="AB73" i="2"/>
  <c r="V73" i="2"/>
  <c r="BQ72" i="2"/>
  <c r="AP72" i="2"/>
  <c r="AG72" i="2" s="1"/>
  <c r="AO72" i="2"/>
  <c r="AF72" i="2" s="1"/>
  <c r="AN72" i="2"/>
  <c r="AM72" i="2"/>
  <c r="AD72" i="2" s="1"/>
  <c r="AL72" i="2"/>
  <c r="AC72" i="2" s="1"/>
  <c r="AJ72" i="2"/>
  <c r="AE72" i="2"/>
  <c r="AB72" i="2"/>
  <c r="V72" i="2"/>
  <c r="BQ71" i="2"/>
  <c r="AP71" i="2"/>
  <c r="AG71" i="2" s="1"/>
  <c r="AO71" i="2"/>
  <c r="AN71" i="2"/>
  <c r="AM71" i="2"/>
  <c r="AD71" i="2" s="1"/>
  <c r="AL71" i="2"/>
  <c r="AC71" i="2" s="1"/>
  <c r="AJ71" i="2"/>
  <c r="AF71" i="2"/>
  <c r="AE71" i="2"/>
  <c r="AB71" i="2"/>
  <c r="V71" i="2"/>
  <c r="BQ70" i="2"/>
  <c r="AP70" i="2"/>
  <c r="AG70" i="2" s="1"/>
  <c r="AO70" i="2"/>
  <c r="AF70" i="2" s="1"/>
  <c r="AN70" i="2"/>
  <c r="AE70" i="2" s="1"/>
  <c r="AM70" i="2"/>
  <c r="AD70" i="2" s="1"/>
  <c r="AL70" i="2"/>
  <c r="AC70" i="2" s="1"/>
  <c r="AJ70" i="2"/>
  <c r="AB70" i="2"/>
  <c r="V70" i="2"/>
  <c r="BQ69" i="2"/>
  <c r="AP69" i="2"/>
  <c r="AG69" i="2" s="1"/>
  <c r="AO69" i="2"/>
  <c r="AN69" i="2"/>
  <c r="AM69" i="2"/>
  <c r="AD69" i="2" s="1"/>
  <c r="AL69" i="2"/>
  <c r="AC69" i="2" s="1"/>
  <c r="AJ69" i="2"/>
  <c r="AF69" i="2"/>
  <c r="AE69" i="2"/>
  <c r="AB69" i="2"/>
  <c r="V69" i="2"/>
  <c r="BQ68" i="2"/>
  <c r="AP68" i="2"/>
  <c r="AG68" i="2" s="1"/>
  <c r="AO68" i="2"/>
  <c r="AN68" i="2"/>
  <c r="AE68" i="2" s="1"/>
  <c r="AM68" i="2"/>
  <c r="AD68" i="2" s="1"/>
  <c r="AL68" i="2"/>
  <c r="AC68" i="2" s="1"/>
  <c r="AJ68" i="2"/>
  <c r="AF68" i="2"/>
  <c r="AB68" i="2"/>
  <c r="V68" i="2"/>
  <c r="BQ67" i="2"/>
  <c r="AP67" i="2"/>
  <c r="AG67" i="2" s="1"/>
  <c r="AO67" i="2"/>
  <c r="AF67" i="2" s="1"/>
  <c r="AN67" i="2"/>
  <c r="AE67" i="2" s="1"/>
  <c r="AM67" i="2"/>
  <c r="AD67" i="2" s="1"/>
  <c r="AL67" i="2"/>
  <c r="AC67" i="2" s="1"/>
  <c r="AJ67" i="2"/>
  <c r="AB67" i="2"/>
  <c r="V67" i="2"/>
  <c r="BQ66" i="2"/>
  <c r="AP66" i="2"/>
  <c r="AG66" i="2" s="1"/>
  <c r="AO66" i="2"/>
  <c r="AF66" i="2" s="1"/>
  <c r="AN66" i="2"/>
  <c r="AM66" i="2"/>
  <c r="AD66" i="2" s="1"/>
  <c r="AL66" i="2"/>
  <c r="AC66" i="2" s="1"/>
  <c r="AJ66" i="2"/>
  <c r="AE66" i="2"/>
  <c r="AB66" i="2"/>
  <c r="V66" i="2"/>
  <c r="BQ65" i="2"/>
  <c r="AP65" i="2"/>
  <c r="AG65" i="2" s="1"/>
  <c r="AO65" i="2"/>
  <c r="AN65" i="2"/>
  <c r="AE65" i="2" s="1"/>
  <c r="AM65" i="2"/>
  <c r="AD65" i="2" s="1"/>
  <c r="AL65" i="2"/>
  <c r="AC65" i="2" s="1"/>
  <c r="AJ65" i="2"/>
  <c r="AF65" i="2"/>
  <c r="AB65" i="2"/>
  <c r="V65" i="2"/>
  <c r="BQ64" i="2"/>
  <c r="AP64" i="2"/>
  <c r="AG64" i="2" s="1"/>
  <c r="AO64" i="2"/>
  <c r="AF64" i="2" s="1"/>
  <c r="AN64" i="2"/>
  <c r="AM64" i="2"/>
  <c r="AD64" i="2" s="1"/>
  <c r="AL64" i="2"/>
  <c r="AC64" i="2" s="1"/>
  <c r="AJ64" i="2"/>
  <c r="AE64" i="2"/>
  <c r="AB64" i="2"/>
  <c r="V64" i="2"/>
  <c r="BQ63" i="2"/>
  <c r="AP63" i="2"/>
  <c r="AG63" i="2" s="1"/>
  <c r="AO63" i="2"/>
  <c r="AF63" i="2" s="1"/>
  <c r="AN63" i="2"/>
  <c r="AE63" i="2" s="1"/>
  <c r="AM63" i="2"/>
  <c r="AD63" i="2" s="1"/>
  <c r="AL63" i="2"/>
  <c r="AC63" i="2" s="1"/>
  <c r="AJ63" i="2"/>
  <c r="AB63" i="2"/>
  <c r="V63" i="2"/>
  <c r="BQ62" i="2"/>
  <c r="AP62" i="2"/>
  <c r="AG62" i="2" s="1"/>
  <c r="AO62" i="2"/>
  <c r="AF62" i="2" s="1"/>
  <c r="AN62" i="2"/>
  <c r="AM62" i="2"/>
  <c r="AD62" i="2" s="1"/>
  <c r="AL62" i="2"/>
  <c r="AC62" i="2" s="1"/>
  <c r="AJ62" i="2"/>
  <c r="AE62" i="2"/>
  <c r="AB62" i="2"/>
  <c r="V62" i="2"/>
  <c r="BQ61" i="2"/>
  <c r="AP61" i="2"/>
  <c r="AG61" i="2" s="1"/>
  <c r="AO61" i="2"/>
  <c r="AF61" i="2" s="1"/>
  <c r="AN61" i="2"/>
  <c r="AE61" i="2" s="1"/>
  <c r="AM61" i="2"/>
  <c r="AD61" i="2" s="1"/>
  <c r="AL61" i="2"/>
  <c r="AJ61" i="2"/>
  <c r="AB61" i="2"/>
  <c r="V61" i="2"/>
  <c r="BQ60" i="2"/>
  <c r="AP60" i="2"/>
  <c r="AG60" i="2" s="1"/>
  <c r="AO60" i="2"/>
  <c r="AF60" i="2" s="1"/>
  <c r="AN60" i="2"/>
  <c r="AE60" i="2" s="1"/>
  <c r="AM60" i="2"/>
  <c r="AD60" i="2" s="1"/>
  <c r="AL60" i="2"/>
  <c r="AJ60" i="2"/>
  <c r="AB60" i="2"/>
  <c r="V60" i="2"/>
  <c r="BQ59" i="2"/>
  <c r="AP59" i="2"/>
  <c r="AG59" i="2" s="1"/>
  <c r="AO59" i="2"/>
  <c r="AF59" i="2" s="1"/>
  <c r="AN59" i="2"/>
  <c r="AE59" i="2" s="1"/>
  <c r="AM59" i="2"/>
  <c r="AD59" i="2" s="1"/>
  <c r="AL59" i="2"/>
  <c r="AC59" i="2" s="1"/>
  <c r="AJ59" i="2"/>
  <c r="AB59" i="2"/>
  <c r="V59" i="2"/>
  <c r="BQ58" i="2"/>
  <c r="AP58" i="2"/>
  <c r="AG58" i="2" s="1"/>
  <c r="AO58" i="2"/>
  <c r="AF58" i="2" s="1"/>
  <c r="AN58" i="2"/>
  <c r="AE58" i="2" s="1"/>
  <c r="AM58" i="2"/>
  <c r="AD58" i="2" s="1"/>
  <c r="AL58" i="2"/>
  <c r="AC58" i="2" s="1"/>
  <c r="AJ58" i="2"/>
  <c r="AB58" i="2"/>
  <c r="V58" i="2"/>
  <c r="BQ57" i="2"/>
  <c r="AP57" i="2"/>
  <c r="AG57" i="2" s="1"/>
  <c r="AO57" i="2"/>
  <c r="AN57" i="2"/>
  <c r="AE57" i="2" s="1"/>
  <c r="AM57" i="2"/>
  <c r="AD57" i="2" s="1"/>
  <c r="AL57" i="2"/>
  <c r="AC57" i="2" s="1"/>
  <c r="AJ57" i="2"/>
  <c r="AF57" i="2"/>
  <c r="AB57" i="2"/>
  <c r="V57" i="2"/>
  <c r="BQ56" i="2"/>
  <c r="AP56" i="2"/>
  <c r="AG56" i="2" s="1"/>
  <c r="AO56" i="2"/>
  <c r="AN56" i="2"/>
  <c r="AE56" i="2" s="1"/>
  <c r="AM56" i="2"/>
  <c r="AD56" i="2" s="1"/>
  <c r="AL56" i="2"/>
  <c r="AC56" i="2" s="1"/>
  <c r="AJ56" i="2"/>
  <c r="AF56" i="2"/>
  <c r="AB56" i="2"/>
  <c r="V56" i="2"/>
  <c r="BQ55" i="2"/>
  <c r="AP55" i="2"/>
  <c r="AG55" i="2" s="1"/>
  <c r="AO55" i="2"/>
  <c r="AN55" i="2"/>
  <c r="AE55" i="2" s="1"/>
  <c r="AM55" i="2"/>
  <c r="AD55" i="2" s="1"/>
  <c r="AL55" i="2"/>
  <c r="AC55" i="2" s="1"/>
  <c r="AJ55" i="2"/>
  <c r="AF55" i="2"/>
  <c r="AB55" i="2"/>
  <c r="V55" i="2"/>
  <c r="BQ54" i="2"/>
  <c r="AP54" i="2"/>
  <c r="AG54" i="2" s="1"/>
  <c r="AO54" i="2"/>
  <c r="AF54" i="2" s="1"/>
  <c r="AN54" i="2"/>
  <c r="AE54" i="2" s="1"/>
  <c r="AM54" i="2"/>
  <c r="AD54" i="2" s="1"/>
  <c r="AL54" i="2"/>
  <c r="AC54" i="2" s="1"/>
  <c r="AJ54" i="2"/>
  <c r="AB54" i="2"/>
  <c r="V54" i="2"/>
  <c r="BQ53" i="2"/>
  <c r="AP53" i="2"/>
  <c r="AG53" i="2" s="1"/>
  <c r="AO53" i="2"/>
  <c r="AN53" i="2"/>
  <c r="AE53" i="2" s="1"/>
  <c r="AM53" i="2"/>
  <c r="AD53" i="2" s="1"/>
  <c r="AL53" i="2"/>
  <c r="AC53" i="2" s="1"/>
  <c r="AJ53" i="2"/>
  <c r="AF53" i="2"/>
  <c r="AB53" i="2"/>
  <c r="V53" i="2"/>
  <c r="BQ52" i="2"/>
  <c r="AP52" i="2"/>
  <c r="AG52" i="2" s="1"/>
  <c r="AO52" i="2"/>
  <c r="AF52" i="2" s="1"/>
  <c r="AN52" i="2"/>
  <c r="AE52" i="2" s="1"/>
  <c r="AM52" i="2"/>
  <c r="AD52" i="2" s="1"/>
  <c r="AL52" i="2"/>
  <c r="AC52" i="2" s="1"/>
  <c r="AJ52" i="2"/>
  <c r="AB52" i="2"/>
  <c r="V52" i="2"/>
  <c r="BQ51" i="2"/>
  <c r="AP51" i="2"/>
  <c r="AG51" i="2" s="1"/>
  <c r="AO51" i="2"/>
  <c r="AF51" i="2" s="1"/>
  <c r="AN51" i="2"/>
  <c r="AE51" i="2" s="1"/>
  <c r="AM51" i="2"/>
  <c r="AD51" i="2" s="1"/>
  <c r="AL51" i="2"/>
  <c r="AC51" i="2" s="1"/>
  <c r="AJ51" i="2"/>
  <c r="AB51" i="2"/>
  <c r="V51" i="2"/>
  <c r="BQ50" i="2"/>
  <c r="AP50" i="2"/>
  <c r="AG50" i="2" s="1"/>
  <c r="AO50" i="2"/>
  <c r="AF50" i="2" s="1"/>
  <c r="AN50" i="2"/>
  <c r="AE50" i="2" s="1"/>
  <c r="AM50" i="2"/>
  <c r="AD50" i="2" s="1"/>
  <c r="AL50" i="2"/>
  <c r="AC50" i="2" s="1"/>
  <c r="AJ50" i="2"/>
  <c r="AB50" i="2"/>
  <c r="V50" i="2"/>
  <c r="BQ49" i="2"/>
  <c r="AP49" i="2"/>
  <c r="AG49" i="2" s="1"/>
  <c r="AO49" i="2"/>
  <c r="AF49" i="2" s="1"/>
  <c r="AN49" i="2"/>
  <c r="AE49" i="2" s="1"/>
  <c r="AM49" i="2"/>
  <c r="AD49" i="2" s="1"/>
  <c r="AL49" i="2"/>
  <c r="AC49" i="2" s="1"/>
  <c r="AJ49" i="2"/>
  <c r="AB49" i="2"/>
  <c r="V49" i="2"/>
  <c r="BQ48" i="2"/>
  <c r="AP48" i="2"/>
  <c r="AG48" i="2" s="1"/>
  <c r="AO48" i="2"/>
  <c r="AN48" i="2"/>
  <c r="AE48" i="2" s="1"/>
  <c r="AM48" i="2"/>
  <c r="AD48" i="2" s="1"/>
  <c r="AL48" i="2"/>
  <c r="AC48" i="2" s="1"/>
  <c r="AJ48" i="2"/>
  <c r="AF48" i="2"/>
  <c r="AB48" i="2"/>
  <c r="V48" i="2"/>
  <c r="BQ47" i="2"/>
  <c r="AP47" i="2"/>
  <c r="AG47" i="2" s="1"/>
  <c r="AO47" i="2"/>
  <c r="AF47" i="2" s="1"/>
  <c r="AN47" i="2"/>
  <c r="AE47" i="2" s="1"/>
  <c r="AM47" i="2"/>
  <c r="AD47" i="2" s="1"/>
  <c r="AL47" i="2"/>
  <c r="AC47" i="2" s="1"/>
  <c r="AJ47" i="2"/>
  <c r="AB47" i="2"/>
  <c r="V47" i="2"/>
  <c r="BQ46" i="2"/>
  <c r="AP46" i="2"/>
  <c r="AG46" i="2" s="1"/>
  <c r="AO46" i="2"/>
  <c r="AN46" i="2"/>
  <c r="AE46" i="2" s="1"/>
  <c r="AM46" i="2"/>
  <c r="AD46" i="2" s="1"/>
  <c r="AL46" i="2"/>
  <c r="AC46" i="2" s="1"/>
  <c r="AJ46" i="2"/>
  <c r="AF46" i="2"/>
  <c r="AB46" i="2"/>
  <c r="V46" i="2"/>
  <c r="BQ45" i="2"/>
  <c r="AP45" i="2"/>
  <c r="AG45" i="2" s="1"/>
  <c r="AO45" i="2"/>
  <c r="AN45" i="2"/>
  <c r="AE45" i="2" s="1"/>
  <c r="AM45" i="2"/>
  <c r="AD45" i="2" s="1"/>
  <c r="AL45" i="2"/>
  <c r="AC45" i="2" s="1"/>
  <c r="AJ45" i="2"/>
  <c r="AF45" i="2"/>
  <c r="AB45" i="2"/>
  <c r="V45" i="2"/>
  <c r="BQ44" i="2"/>
  <c r="AP44" i="2"/>
  <c r="AG44" i="2" s="1"/>
  <c r="AO44" i="2"/>
  <c r="AF44" i="2" s="1"/>
  <c r="AN44" i="2"/>
  <c r="AE44" i="2" s="1"/>
  <c r="AM44" i="2"/>
  <c r="AD44" i="2" s="1"/>
  <c r="AL44" i="2"/>
  <c r="AC44" i="2" s="1"/>
  <c r="AJ44" i="2"/>
  <c r="AB44" i="2"/>
  <c r="V44" i="2"/>
  <c r="BQ43" i="2"/>
  <c r="AP43" i="2"/>
  <c r="AG43" i="2" s="1"/>
  <c r="AO43" i="2"/>
  <c r="AF43" i="2" s="1"/>
  <c r="AN43" i="2"/>
  <c r="AE43" i="2" s="1"/>
  <c r="AM43" i="2"/>
  <c r="AD43" i="2" s="1"/>
  <c r="AL43" i="2"/>
  <c r="AC43" i="2" s="1"/>
  <c r="AJ43" i="2"/>
  <c r="AB43" i="2"/>
  <c r="V43" i="2"/>
  <c r="BQ42" i="2"/>
  <c r="AP42" i="2"/>
  <c r="AG42" i="2" s="1"/>
  <c r="AO42" i="2"/>
  <c r="AF42" i="2" s="1"/>
  <c r="AN42" i="2"/>
  <c r="AE42" i="2" s="1"/>
  <c r="AM42" i="2"/>
  <c r="AD42" i="2" s="1"/>
  <c r="AL42" i="2"/>
  <c r="AC42" i="2" s="1"/>
  <c r="AJ42" i="2"/>
  <c r="AB42" i="2"/>
  <c r="V42" i="2"/>
  <c r="BQ41" i="2"/>
  <c r="AP41" i="2"/>
  <c r="AG41" i="2" s="1"/>
  <c r="AO41" i="2"/>
  <c r="AN41" i="2"/>
  <c r="AE41" i="2" s="1"/>
  <c r="AM41" i="2"/>
  <c r="AD41" i="2" s="1"/>
  <c r="AL41" i="2"/>
  <c r="AC41" i="2" s="1"/>
  <c r="AJ41" i="2"/>
  <c r="AF41" i="2"/>
  <c r="AB41" i="2"/>
  <c r="V41" i="2"/>
  <c r="BQ40" i="2"/>
  <c r="AP40" i="2"/>
  <c r="AG40" i="2" s="1"/>
  <c r="AO40" i="2"/>
  <c r="AN40" i="2"/>
  <c r="AE40" i="2" s="1"/>
  <c r="AM40" i="2"/>
  <c r="AD40" i="2" s="1"/>
  <c r="AL40" i="2"/>
  <c r="AC40" i="2" s="1"/>
  <c r="AJ40" i="2"/>
  <c r="AF40" i="2"/>
  <c r="AB40" i="2"/>
  <c r="V40" i="2"/>
  <c r="BQ39" i="2"/>
  <c r="AP39" i="2"/>
  <c r="AG39" i="2" s="1"/>
  <c r="AO39" i="2"/>
  <c r="AF39" i="2" s="1"/>
  <c r="AN39" i="2"/>
  <c r="AE39" i="2" s="1"/>
  <c r="AM39" i="2"/>
  <c r="AD39" i="2" s="1"/>
  <c r="AL39" i="2"/>
  <c r="AC39" i="2" s="1"/>
  <c r="AJ39" i="2"/>
  <c r="AB39" i="2"/>
  <c r="V39" i="2"/>
  <c r="BQ38" i="2"/>
  <c r="AP38" i="2"/>
  <c r="AG38" i="2" s="1"/>
  <c r="AO38" i="2"/>
  <c r="AN38" i="2"/>
  <c r="AE38" i="2" s="1"/>
  <c r="AM38" i="2"/>
  <c r="AD38" i="2" s="1"/>
  <c r="AL38" i="2"/>
  <c r="AC38" i="2" s="1"/>
  <c r="AJ38" i="2"/>
  <c r="AF38" i="2"/>
  <c r="AB38" i="2"/>
  <c r="V38" i="2"/>
  <c r="BQ37" i="2"/>
  <c r="AP37" i="2"/>
  <c r="AG37" i="2" s="1"/>
  <c r="AO37" i="2"/>
  <c r="AN37" i="2"/>
  <c r="AE37" i="2" s="1"/>
  <c r="AM37" i="2"/>
  <c r="AD37" i="2" s="1"/>
  <c r="AL37" i="2"/>
  <c r="AC37" i="2" s="1"/>
  <c r="AJ37" i="2"/>
  <c r="AF37" i="2"/>
  <c r="AB37" i="2"/>
  <c r="V37" i="2"/>
  <c r="BQ36" i="2"/>
  <c r="AP36" i="2"/>
  <c r="AG36" i="2" s="1"/>
  <c r="AO36" i="2"/>
  <c r="AN36" i="2"/>
  <c r="AE36" i="2" s="1"/>
  <c r="AM36" i="2"/>
  <c r="AD36" i="2" s="1"/>
  <c r="AL36" i="2"/>
  <c r="AC36" i="2" s="1"/>
  <c r="AJ36" i="2"/>
  <c r="AF36" i="2"/>
  <c r="AB36" i="2"/>
  <c r="V36" i="2"/>
  <c r="BQ35" i="2"/>
  <c r="AP35" i="2"/>
  <c r="AG35" i="2" s="1"/>
  <c r="AO35" i="2"/>
  <c r="AN35" i="2"/>
  <c r="AE35" i="2" s="1"/>
  <c r="AM35" i="2"/>
  <c r="AD35" i="2" s="1"/>
  <c r="AL35" i="2"/>
  <c r="AC35" i="2" s="1"/>
  <c r="AJ35" i="2"/>
  <c r="AF35" i="2"/>
  <c r="AB35" i="2"/>
  <c r="V35" i="2"/>
  <c r="BQ34" i="2"/>
  <c r="AP34" i="2"/>
  <c r="AG34" i="2" s="1"/>
  <c r="AO34" i="2"/>
  <c r="AF34" i="2" s="1"/>
  <c r="AN34" i="2"/>
  <c r="AE34" i="2" s="1"/>
  <c r="AM34" i="2"/>
  <c r="AD34" i="2" s="1"/>
  <c r="AL34" i="2"/>
  <c r="AC34" i="2" s="1"/>
  <c r="AJ34" i="2"/>
  <c r="AB34" i="2"/>
  <c r="V34" i="2"/>
  <c r="BQ33" i="2"/>
  <c r="AP33" i="2"/>
  <c r="AG33" i="2" s="1"/>
  <c r="AO33" i="2"/>
  <c r="AN33" i="2"/>
  <c r="AE33" i="2" s="1"/>
  <c r="AM33" i="2"/>
  <c r="AD33" i="2" s="1"/>
  <c r="AL33" i="2"/>
  <c r="AC33" i="2" s="1"/>
  <c r="AJ33" i="2"/>
  <c r="AF33" i="2"/>
  <c r="AB33" i="2"/>
  <c r="V33" i="2"/>
  <c r="BR32" i="2"/>
  <c r="BQ32" i="2"/>
  <c r="AP32" i="2"/>
  <c r="AO32" i="2"/>
  <c r="AF32" i="2" s="1"/>
  <c r="AN32" i="2"/>
  <c r="AQ32" i="2" s="1"/>
  <c r="AM32" i="2"/>
  <c r="AD32" i="2" s="1"/>
  <c r="AL32" i="2"/>
  <c r="AC32" i="2" s="1"/>
  <c r="AJ32" i="2"/>
  <c r="AG32" i="2"/>
  <c r="AB32" i="2"/>
  <c r="V32" i="2"/>
  <c r="BQ31" i="2"/>
  <c r="AP31" i="2"/>
  <c r="AG31" i="2" s="1"/>
  <c r="AO31" i="2"/>
  <c r="AF31" i="2" s="1"/>
  <c r="AN31" i="2"/>
  <c r="AE31" i="2" s="1"/>
  <c r="AM31" i="2"/>
  <c r="AD31" i="2" s="1"/>
  <c r="AL31" i="2"/>
  <c r="AC31" i="2" s="1"/>
  <c r="AJ31" i="2"/>
  <c r="AB31" i="2"/>
  <c r="V31" i="2"/>
  <c r="BR30" i="2"/>
  <c r="BQ30" i="2"/>
  <c r="AP30" i="2"/>
  <c r="AO30" i="2"/>
  <c r="AF30" i="2" s="1"/>
  <c r="AN30" i="2"/>
  <c r="AE30" i="2" s="1"/>
  <c r="AM30" i="2"/>
  <c r="AD30" i="2" s="1"/>
  <c r="AL30" i="2"/>
  <c r="AC30" i="2" s="1"/>
  <c r="AJ30" i="2"/>
  <c r="AG30" i="2"/>
  <c r="AB30" i="2"/>
  <c r="V30" i="2"/>
  <c r="BQ29" i="2"/>
  <c r="AP29" i="2"/>
  <c r="AG29" i="2" s="1"/>
  <c r="AO29" i="2"/>
  <c r="AN29" i="2"/>
  <c r="AE29" i="2" s="1"/>
  <c r="AM29" i="2"/>
  <c r="AD29" i="2" s="1"/>
  <c r="AL29" i="2"/>
  <c r="AC29" i="2" s="1"/>
  <c r="AJ29" i="2"/>
  <c r="AF29" i="2"/>
  <c r="AB29" i="2"/>
  <c r="V29" i="2"/>
  <c r="BQ28" i="2"/>
  <c r="AP28" i="2"/>
  <c r="AO28" i="2"/>
  <c r="AF28" i="2" s="1"/>
  <c r="AN28" i="2"/>
  <c r="AE28" i="2" s="1"/>
  <c r="AM28" i="2"/>
  <c r="AD28" i="2" s="1"/>
  <c r="AL28" i="2"/>
  <c r="AJ28" i="2"/>
  <c r="AG28" i="2"/>
  <c r="AB28" i="2"/>
  <c r="V28" i="2"/>
  <c r="BQ27" i="2"/>
  <c r="AP27" i="2"/>
  <c r="AO27" i="2"/>
  <c r="AN27" i="2"/>
  <c r="AE27" i="2" s="1"/>
  <c r="AM27" i="2"/>
  <c r="AL27" i="2"/>
  <c r="AJ27" i="2"/>
  <c r="AG27" i="2"/>
  <c r="AF27" i="2"/>
  <c r="AD27" i="2"/>
  <c r="AB27" i="2"/>
  <c r="V27" i="2"/>
  <c r="BQ26" i="2"/>
  <c r="AP26" i="2"/>
  <c r="AO26" i="2"/>
  <c r="AN26" i="2"/>
  <c r="AM26" i="2"/>
  <c r="AD26" i="2" s="1"/>
  <c r="AL26" i="2"/>
  <c r="AC26" i="2" s="1"/>
  <c r="AJ26" i="2"/>
  <c r="AG26" i="2"/>
  <c r="AF26" i="2"/>
  <c r="AE26" i="2"/>
  <c r="AB26" i="2"/>
  <c r="V26" i="2"/>
  <c r="BQ25" i="2"/>
  <c r="AP25" i="2"/>
  <c r="AO25" i="2"/>
  <c r="AF25" i="2" s="1"/>
  <c r="AN25" i="2"/>
  <c r="AM25" i="2"/>
  <c r="AL25" i="2"/>
  <c r="AJ25" i="2"/>
  <c r="AG25" i="2"/>
  <c r="AE25" i="2"/>
  <c r="AD25" i="2"/>
  <c r="AB25" i="2"/>
  <c r="V25" i="2"/>
  <c r="BQ24" i="2"/>
  <c r="AP24" i="2"/>
  <c r="AG24" i="2" s="1"/>
  <c r="AO24" i="2"/>
  <c r="AF24" i="2" s="1"/>
  <c r="AN24" i="2"/>
  <c r="AE24" i="2" s="1"/>
  <c r="AM24" i="2"/>
  <c r="AL24" i="2"/>
  <c r="AJ24" i="2"/>
  <c r="AD24" i="2"/>
  <c r="AC24" i="2"/>
  <c r="AB24" i="2"/>
  <c r="V24" i="2"/>
  <c r="BR23" i="2"/>
  <c r="BQ23" i="2"/>
  <c r="AP23" i="2"/>
  <c r="AO23" i="2"/>
  <c r="AN23" i="2"/>
  <c r="AE23" i="2" s="1"/>
  <c r="AM23" i="2"/>
  <c r="AD23" i="2" s="1"/>
  <c r="AL23" i="2"/>
  <c r="AJ23" i="2"/>
  <c r="AG23" i="2"/>
  <c r="AF23" i="2"/>
  <c r="AC23" i="2"/>
  <c r="AB23" i="2"/>
  <c r="V23" i="2"/>
  <c r="BQ22" i="2"/>
  <c r="AP22" i="2"/>
  <c r="AO22" i="2"/>
  <c r="AF22" i="2" s="1"/>
  <c r="AN22" i="2"/>
  <c r="AM22" i="2"/>
  <c r="AL22" i="2"/>
  <c r="AJ22" i="2"/>
  <c r="AG22" i="2"/>
  <c r="AE22" i="2"/>
  <c r="AD22" i="2"/>
  <c r="AB22" i="2"/>
  <c r="V22" i="2"/>
  <c r="BQ21" i="2"/>
  <c r="AP21" i="2"/>
  <c r="AG21" i="2" s="1"/>
  <c r="AO21" i="2"/>
  <c r="AF21" i="2" s="1"/>
  <c r="AN21" i="2"/>
  <c r="AE21" i="2" s="1"/>
  <c r="AM21" i="2"/>
  <c r="AD21" i="2" s="1"/>
  <c r="AL21" i="2"/>
  <c r="AJ21" i="2"/>
  <c r="AC21" i="2"/>
  <c r="AB21" i="2"/>
  <c r="V21" i="2"/>
  <c r="BQ20" i="2"/>
  <c r="AP20" i="2"/>
  <c r="AO20" i="2"/>
  <c r="AF20" i="2" s="1"/>
  <c r="AN20" i="2"/>
  <c r="AE20" i="2" s="1"/>
  <c r="AM20" i="2"/>
  <c r="AD20" i="2" s="1"/>
  <c r="AL20" i="2"/>
  <c r="AQ20" i="2" s="1"/>
  <c r="AH20" i="2" s="1"/>
  <c r="AJ20" i="2"/>
  <c r="AG20" i="2"/>
  <c r="AB20" i="2"/>
  <c r="V20" i="2"/>
  <c r="BQ19" i="2"/>
  <c r="AP19" i="2"/>
  <c r="AO19" i="2"/>
  <c r="AN19" i="2"/>
  <c r="AM19" i="2"/>
  <c r="AD19" i="2" s="1"/>
  <c r="AL19" i="2"/>
  <c r="AQ19" i="2" s="1"/>
  <c r="AH19" i="2" s="1"/>
  <c r="AJ19" i="2"/>
  <c r="AG19" i="2"/>
  <c r="AF19" i="2"/>
  <c r="AE19" i="2"/>
  <c r="AB19" i="2"/>
  <c r="V19" i="2"/>
  <c r="BQ18" i="2"/>
  <c r="AP18" i="2"/>
  <c r="AO18" i="2"/>
  <c r="AN18" i="2"/>
  <c r="AM18" i="2"/>
  <c r="AL18" i="2"/>
  <c r="AQ18" i="2" s="1"/>
  <c r="AH18" i="2" s="1"/>
  <c r="AJ18" i="2"/>
  <c r="AG18" i="2"/>
  <c r="AF18" i="2"/>
  <c r="AE18" i="2"/>
  <c r="AD18" i="2"/>
  <c r="AC18" i="2"/>
  <c r="AB18" i="2"/>
  <c r="V18" i="2"/>
  <c r="BQ17" i="2"/>
  <c r="AP17" i="2"/>
  <c r="AO17" i="2"/>
  <c r="AN17" i="2"/>
  <c r="AM17" i="2"/>
  <c r="AL17" i="2"/>
  <c r="AJ17" i="2"/>
  <c r="AG17" i="2"/>
  <c r="AF17" i="2"/>
  <c r="AE17" i="2"/>
  <c r="AD17" i="2"/>
  <c r="AC17" i="2"/>
  <c r="AB17" i="2"/>
  <c r="V17" i="2"/>
  <c r="BQ16" i="2"/>
  <c r="AP16" i="2"/>
  <c r="AG16" i="2" s="1"/>
  <c r="AO16" i="2"/>
  <c r="AF16" i="2" s="1"/>
  <c r="AN16" i="2"/>
  <c r="AM16" i="2"/>
  <c r="AL16" i="2"/>
  <c r="AJ16" i="2"/>
  <c r="AE16" i="2"/>
  <c r="AD16" i="2"/>
  <c r="AC16" i="2"/>
  <c r="AB16" i="2"/>
  <c r="V16" i="2"/>
  <c r="BQ15" i="2"/>
  <c r="AP15" i="2"/>
  <c r="AG15" i="2" s="1"/>
  <c r="AO15" i="2"/>
  <c r="AF15" i="2" s="1"/>
  <c r="AN15" i="2"/>
  <c r="AE15" i="2" s="1"/>
  <c r="AM15" i="2"/>
  <c r="AD15" i="2" s="1"/>
  <c r="AL15" i="2"/>
  <c r="AJ15" i="2"/>
  <c r="AC15" i="2"/>
  <c r="AB15" i="2"/>
  <c r="V15" i="2"/>
  <c r="BQ14" i="2"/>
  <c r="AP14" i="2"/>
  <c r="AO14" i="2"/>
  <c r="AF14" i="2" s="1"/>
  <c r="AN14" i="2"/>
  <c r="AM14" i="2"/>
  <c r="AD14" i="2" s="1"/>
  <c r="AL14" i="2"/>
  <c r="AJ14" i="2"/>
  <c r="AG14" i="2"/>
  <c r="AE14" i="2"/>
  <c r="AB14" i="2"/>
  <c r="V14" i="2"/>
  <c r="BQ13" i="2"/>
  <c r="AP13" i="2"/>
  <c r="AO13" i="2"/>
  <c r="AN13" i="2"/>
  <c r="AM13" i="2"/>
  <c r="AD13" i="2" s="1"/>
  <c r="AL13" i="2"/>
  <c r="AQ13" i="2" s="1"/>
  <c r="AH13" i="2" s="1"/>
  <c r="AJ13" i="2"/>
  <c r="AG13" i="2"/>
  <c r="AF13" i="2"/>
  <c r="AE13" i="2"/>
  <c r="AC13" i="2"/>
  <c r="AB13" i="2"/>
  <c r="V13" i="2"/>
  <c r="BR12" i="2"/>
  <c r="BQ12" i="2"/>
  <c r="AP12" i="2"/>
  <c r="AO12" i="2"/>
  <c r="AF12" i="2" s="1"/>
  <c r="AN12" i="2"/>
  <c r="AM12" i="2"/>
  <c r="AL12" i="2"/>
  <c r="AC12" i="2" s="1"/>
  <c r="AJ12" i="2"/>
  <c r="AG12" i="2"/>
  <c r="AE12" i="2"/>
  <c r="AD12" i="2"/>
  <c r="AB12" i="2"/>
  <c r="V12" i="2"/>
  <c r="BR11" i="2"/>
  <c r="BQ11" i="2"/>
  <c r="AP11" i="2"/>
  <c r="AO11" i="2"/>
  <c r="AN11" i="2"/>
  <c r="AM11" i="2"/>
  <c r="AD11" i="2" s="1"/>
  <c r="AL11" i="2"/>
  <c r="AJ11" i="2"/>
  <c r="AG11" i="2"/>
  <c r="AF11" i="2"/>
  <c r="AE11" i="2"/>
  <c r="AC11" i="2"/>
  <c r="AB11" i="2"/>
  <c r="V11" i="2"/>
  <c r="BR10" i="2"/>
  <c r="BQ10" i="2"/>
  <c r="AP10" i="2"/>
  <c r="AO10" i="2"/>
  <c r="AF10" i="2" s="1"/>
  <c r="AN10" i="2"/>
  <c r="AE10" i="2" s="1"/>
  <c r="AM10" i="2"/>
  <c r="AD10" i="2" s="1"/>
  <c r="AL10" i="2"/>
  <c r="AJ10" i="2"/>
  <c r="AG10" i="2"/>
  <c r="AC10" i="2"/>
  <c r="AB10" i="2"/>
  <c r="V10" i="2"/>
  <c r="BR9" i="2"/>
  <c r="BQ9" i="2"/>
  <c r="AP9" i="2"/>
  <c r="AG9" i="2" s="1"/>
  <c r="AO9" i="2"/>
  <c r="AN9" i="2"/>
  <c r="AE9" i="2" s="1"/>
  <c r="AM9" i="2"/>
  <c r="AD9" i="2" s="1"/>
  <c r="AL9" i="2"/>
  <c r="AC9" i="2" s="1"/>
  <c r="AJ9" i="2"/>
  <c r="AF9" i="2"/>
  <c r="AB9" i="2"/>
  <c r="V9" i="2"/>
  <c r="BQ8" i="2"/>
  <c r="AP8" i="2"/>
  <c r="AG8" i="2" s="1"/>
  <c r="AO8" i="2"/>
  <c r="AN8" i="2"/>
  <c r="AE8" i="2" s="1"/>
  <c r="AM8" i="2"/>
  <c r="AD8" i="2" s="1"/>
  <c r="AL8" i="2"/>
  <c r="AC8" i="2" s="1"/>
  <c r="AJ8" i="2"/>
  <c r="AF8" i="2"/>
  <c r="AB8" i="2"/>
  <c r="V8" i="2"/>
  <c r="BR7" i="2"/>
  <c r="BQ7" i="2"/>
  <c r="AP7" i="2"/>
  <c r="AG7" i="2" s="1"/>
  <c r="AO7" i="2"/>
  <c r="AF7" i="2" s="1"/>
  <c r="AN7" i="2"/>
  <c r="AM7" i="2"/>
  <c r="AL7" i="2"/>
  <c r="AC7" i="2" s="1"/>
  <c r="AE7" i="2"/>
  <c r="AD7" i="2"/>
  <c r="AB7" i="2"/>
  <c r="V7" i="2"/>
  <c r="P3" i="2"/>
  <c r="O3" i="2"/>
  <c r="AQ215" i="2" l="1"/>
  <c r="AH215" i="2" s="1"/>
  <c r="AC112" i="2"/>
  <c r="AQ23" i="2"/>
  <c r="AH23" i="2" s="1"/>
  <c r="AQ84" i="2"/>
  <c r="AH84" i="2" s="1"/>
  <c r="AC199" i="2"/>
  <c r="AQ85" i="2"/>
  <c r="AH85" i="2" s="1"/>
  <c r="AQ16" i="2"/>
  <c r="AH16" i="2" s="1"/>
  <c r="AQ63" i="2"/>
  <c r="AH63" i="2" s="1"/>
  <c r="AQ66" i="2"/>
  <c r="AH66" i="2" s="1"/>
  <c r="AC182" i="2"/>
  <c r="AD214" i="2"/>
  <c r="AQ214" i="2"/>
  <c r="AH214" i="2" s="1"/>
  <c r="AQ101" i="2"/>
  <c r="AH101" i="2" s="1"/>
  <c r="AC101" i="2"/>
  <c r="AC60" i="2"/>
  <c r="AQ60" i="2"/>
  <c r="AH60" i="2" s="1"/>
  <c r="AQ22" i="2"/>
  <c r="AH22" i="2" s="1"/>
  <c r="AC22" i="2"/>
  <c r="AQ97" i="2"/>
  <c r="AH97" i="2" s="1"/>
  <c r="AQ136" i="2"/>
  <c r="AH136" i="2" s="1"/>
  <c r="AE191" i="2"/>
  <c r="AQ191" i="2"/>
  <c r="AH191" i="2" s="1"/>
  <c r="AE125" i="2"/>
  <c r="AQ125" i="2"/>
  <c r="AH125" i="2" s="1"/>
  <c r="AQ140" i="2"/>
  <c r="AF140" i="2"/>
  <c r="AQ11" i="2"/>
  <c r="AH11" i="2" s="1"/>
  <c r="AC20" i="2"/>
  <c r="AH32" i="2"/>
  <c r="AQ92" i="2"/>
  <c r="AH92" i="2" s="1"/>
  <c r="AQ141" i="2"/>
  <c r="AH141" i="2" s="1"/>
  <c r="AQ154" i="2"/>
  <c r="AH154" i="2" s="1"/>
  <c r="AQ153" i="2"/>
  <c r="AH153" i="2" s="1"/>
  <c r="AF153" i="2"/>
  <c r="AQ149" i="2"/>
  <c r="AH149" i="2" s="1"/>
  <c r="AF149" i="2"/>
  <c r="AQ72" i="2"/>
  <c r="AH72" i="2" s="1"/>
  <c r="AQ71" i="2"/>
  <c r="AH71" i="2" s="1"/>
  <c r="AQ109" i="2"/>
  <c r="AH109" i="2" s="1"/>
  <c r="AQ10" i="2"/>
  <c r="AH10" i="2" s="1"/>
  <c r="AQ15" i="2"/>
  <c r="AH15" i="2" s="1"/>
  <c r="AC19" i="2"/>
  <c r="AQ108" i="2"/>
  <c r="AH108" i="2" s="1"/>
  <c r="AQ193" i="2"/>
  <c r="AH193" i="2" s="1"/>
  <c r="AC61" i="2"/>
  <c r="AQ61" i="2"/>
  <c r="AH61" i="2" s="1"/>
  <c r="AQ14" i="2"/>
  <c r="AH14" i="2" s="1"/>
  <c r="AC14" i="2"/>
  <c r="AH112" i="2"/>
  <c r="AC82" i="2"/>
  <c r="AQ82" i="2"/>
  <c r="AH82" i="2" s="1"/>
  <c r="AQ21" i="2"/>
  <c r="AH21" i="2" s="1"/>
  <c r="AQ89" i="2"/>
  <c r="AH89" i="2" s="1"/>
  <c r="AQ96" i="2"/>
  <c r="AH96" i="2" s="1"/>
  <c r="AE167" i="2"/>
  <c r="AQ167" i="2"/>
  <c r="AH167" i="2" s="1"/>
  <c r="AE104" i="2"/>
  <c r="AQ104" i="2"/>
  <c r="AH104" i="2" s="1"/>
  <c r="AE116" i="2"/>
  <c r="AQ116" i="2"/>
  <c r="AH116" i="2" s="1"/>
  <c r="AH124" i="2"/>
  <c r="AQ184" i="2"/>
  <c r="AH184" i="2" s="1"/>
  <c r="AF184" i="2"/>
  <c r="AQ195" i="2"/>
  <c r="AH195" i="2" s="1"/>
  <c r="AC223" i="2"/>
  <c r="AC227" i="2"/>
  <c r="AQ271" i="2"/>
  <c r="AH271" i="2" s="1"/>
  <c r="AC296" i="2"/>
  <c r="AQ298" i="2"/>
  <c r="AH298" i="2" s="1"/>
  <c r="AQ317" i="2"/>
  <c r="AH317" i="2" s="1"/>
  <c r="AQ325" i="2"/>
  <c r="AH325" i="2" s="1"/>
  <c r="AQ347" i="2"/>
  <c r="AH347" i="2" s="1"/>
  <c r="AQ386" i="2"/>
  <c r="AH386" i="2" s="1"/>
  <c r="AE215" i="2"/>
  <c r="AQ266" i="2"/>
  <c r="AH266" i="2" s="1"/>
  <c r="AQ274" i="2"/>
  <c r="AH274" i="2" s="1"/>
  <c r="AC291" i="2"/>
  <c r="AQ302" i="2"/>
  <c r="AH302" i="2" s="1"/>
  <c r="AQ321" i="2"/>
  <c r="AH321" i="2" s="1"/>
  <c r="AE335" i="2"/>
  <c r="AQ350" i="2"/>
  <c r="AH350" i="2" s="1"/>
  <c r="AQ365" i="2"/>
  <c r="AH365" i="2" s="1"/>
  <c r="AC383" i="2"/>
  <c r="AQ383" i="2"/>
  <c r="AH383" i="2" s="1"/>
  <c r="AC446" i="2"/>
  <c r="AQ446" i="2"/>
  <c r="AH446" i="2" s="1"/>
  <c r="AQ183" i="2"/>
  <c r="AH183" i="2" s="1"/>
  <c r="AQ261" i="2"/>
  <c r="AH261" i="2" s="1"/>
  <c r="AQ275" i="2"/>
  <c r="AH275" i="2" s="1"/>
  <c r="AQ293" i="2"/>
  <c r="AH293" i="2" s="1"/>
  <c r="AQ310" i="2"/>
  <c r="AH310" i="2" s="1"/>
  <c r="AH361" i="2"/>
  <c r="AQ120" i="2"/>
  <c r="AH120" i="2" s="1"/>
  <c r="AH140" i="2"/>
  <c r="AE238" i="2"/>
  <c r="AQ270" i="2"/>
  <c r="AH270" i="2" s="1"/>
  <c r="AQ279" i="2"/>
  <c r="AH279" i="2" s="1"/>
  <c r="AQ300" i="2"/>
  <c r="AH300" i="2" s="1"/>
  <c r="AF339" i="2"/>
  <c r="AQ499" i="2"/>
  <c r="AH499" i="2" s="1"/>
  <c r="AD499" i="2"/>
  <c r="AQ25" i="2"/>
  <c r="AH25" i="2" s="1"/>
  <c r="AB3" i="2"/>
  <c r="V3" i="2"/>
  <c r="AQ17" i="2"/>
  <c r="AH17" i="2" s="1"/>
  <c r="AQ88" i="2"/>
  <c r="AH88" i="2" s="1"/>
  <c r="AQ216" i="2"/>
  <c r="AH216" i="2" s="1"/>
  <c r="AQ240" i="2"/>
  <c r="AH240" i="2" s="1"/>
  <c r="AQ256" i="2"/>
  <c r="AH256" i="2" s="1"/>
  <c r="AQ265" i="2"/>
  <c r="AH265" i="2" s="1"/>
  <c r="AQ301" i="2"/>
  <c r="AH301" i="2" s="1"/>
  <c r="AC322" i="2"/>
  <c r="AD338" i="2"/>
  <c r="AQ349" i="2"/>
  <c r="AH349" i="2" s="1"/>
  <c r="AQ360" i="2"/>
  <c r="AH360" i="2" s="1"/>
  <c r="AE442" i="2"/>
  <c r="AQ442" i="2"/>
  <c r="AH442" i="2" s="1"/>
  <c r="AQ471" i="2"/>
  <c r="AH471" i="2" s="1"/>
  <c r="AG471" i="2"/>
  <c r="AQ129" i="2"/>
  <c r="AH129" i="2" s="1"/>
  <c r="AQ190" i="2"/>
  <c r="AH190" i="2" s="1"/>
  <c r="AQ211" i="2"/>
  <c r="AH211" i="2" s="1"/>
  <c r="AQ232" i="2"/>
  <c r="AH232" i="2" s="1"/>
  <c r="AQ260" i="2"/>
  <c r="AH260" i="2" s="1"/>
  <c r="AQ268" i="2"/>
  <c r="AH268" i="2" s="1"/>
  <c r="AQ283" i="2"/>
  <c r="AH283" i="2" s="1"/>
  <c r="AQ292" i="2"/>
  <c r="AH292" i="2" s="1"/>
  <c r="AQ323" i="2"/>
  <c r="AH323" i="2" s="1"/>
  <c r="AQ324" i="2"/>
  <c r="AH324" i="2" s="1"/>
  <c r="AQ371" i="2"/>
  <c r="AH371" i="2" s="1"/>
  <c r="AQ28" i="2"/>
  <c r="AH28" i="2" s="1"/>
  <c r="AQ133" i="2"/>
  <c r="AH133" i="2" s="1"/>
  <c r="AF209" i="2"/>
  <c r="AF267" i="2"/>
  <c r="AQ269" i="2"/>
  <c r="AH269" i="2" s="1"/>
  <c r="AQ278" i="2"/>
  <c r="AH278" i="2" s="1"/>
  <c r="AQ287" i="2"/>
  <c r="AH287" i="2" s="1"/>
  <c r="AQ316" i="2"/>
  <c r="AH316" i="2" s="1"/>
  <c r="AQ375" i="2"/>
  <c r="AH375" i="2" s="1"/>
  <c r="AQ379" i="2"/>
  <c r="AH379" i="2" s="1"/>
  <c r="AD387" i="2"/>
  <c r="AQ387" i="2"/>
  <c r="AH387" i="2" s="1"/>
  <c r="AG409" i="2"/>
  <c r="AQ409" i="2"/>
  <c r="AH409" i="2" s="1"/>
  <c r="AQ137" i="2"/>
  <c r="AH137" i="2" s="1"/>
  <c r="AQ243" i="2"/>
  <c r="AH243" i="2" s="1"/>
  <c r="AQ255" i="2"/>
  <c r="AH255" i="2" s="1"/>
  <c r="AQ264" i="2"/>
  <c r="AH264" i="2" s="1"/>
  <c r="AQ273" i="2"/>
  <c r="AH273" i="2" s="1"/>
  <c r="AQ282" i="2"/>
  <c r="AH282" i="2" s="1"/>
  <c r="AQ290" i="2"/>
  <c r="AH290" i="2" s="1"/>
  <c r="AQ304" i="2"/>
  <c r="AH304" i="2" s="1"/>
  <c r="AH340" i="2"/>
  <c r="AH367" i="2"/>
  <c r="AQ382" i="2"/>
  <c r="AH382" i="2" s="1"/>
  <c r="AE460" i="2"/>
  <c r="AQ460" i="2"/>
  <c r="AH460" i="2" s="1"/>
  <c r="AQ132" i="2"/>
  <c r="AH132" i="2" s="1"/>
  <c r="AQ247" i="2"/>
  <c r="AH247" i="2" s="1"/>
  <c r="AQ277" i="2"/>
  <c r="AH277" i="2" s="1"/>
  <c r="AQ294" i="2"/>
  <c r="AH294" i="2" s="1"/>
  <c r="AQ355" i="2"/>
  <c r="AH355" i="2" s="1"/>
  <c r="AE393" i="2"/>
  <c r="AQ393" i="2"/>
  <c r="AH393" i="2" s="1"/>
  <c r="AC195" i="2"/>
  <c r="AQ197" i="2"/>
  <c r="AH197" i="2" s="1"/>
  <c r="AQ314" i="2"/>
  <c r="AH314" i="2" s="1"/>
  <c r="AQ330" i="2"/>
  <c r="AH330" i="2" s="1"/>
  <c r="AQ333" i="2"/>
  <c r="AH333" i="2" s="1"/>
  <c r="AQ359" i="2"/>
  <c r="AH359" i="2" s="1"/>
  <c r="AQ363" i="2"/>
  <c r="AH363" i="2" s="1"/>
  <c r="AQ263" i="2"/>
  <c r="AH263" i="2" s="1"/>
  <c r="AQ286" i="2"/>
  <c r="AH286" i="2" s="1"/>
  <c r="AQ299" i="2"/>
  <c r="AH299" i="2" s="1"/>
  <c r="AQ303" i="2"/>
  <c r="AH303" i="2" s="1"/>
  <c r="AQ200" i="2"/>
  <c r="AH200" i="2" s="1"/>
  <c r="AQ281" i="2"/>
  <c r="AH281" i="2" s="1"/>
  <c r="AQ366" i="2"/>
  <c r="AH366" i="2" s="1"/>
  <c r="AQ381" i="2"/>
  <c r="AH381" i="2" s="1"/>
  <c r="AQ284" i="2"/>
  <c r="AH284" i="2" s="1"/>
  <c r="AQ306" i="2"/>
  <c r="AH306" i="2" s="1"/>
  <c r="AQ307" i="2"/>
  <c r="AH307" i="2" s="1"/>
  <c r="AQ326" i="2"/>
  <c r="AH326" i="2" s="1"/>
  <c r="AQ332" i="2"/>
  <c r="AH332" i="2" s="1"/>
  <c r="AQ447" i="2"/>
  <c r="AH447" i="2" s="1"/>
  <c r="AD447" i="2"/>
  <c r="AQ352" i="2"/>
  <c r="AH352" i="2" s="1"/>
  <c r="AQ368" i="2"/>
  <c r="AH368" i="2" s="1"/>
  <c r="AQ384" i="2"/>
  <c r="AH384" i="2" s="1"/>
  <c r="AQ385" i="2"/>
  <c r="AH385" i="2" s="1"/>
  <c r="AQ357" i="2"/>
  <c r="AH357" i="2" s="1"/>
  <c r="AQ373" i="2"/>
  <c r="AH373" i="2" s="1"/>
  <c r="AQ481" i="2"/>
  <c r="AH481" i="2" s="1"/>
  <c r="AQ362" i="2"/>
  <c r="AH362" i="2" s="1"/>
  <c r="AQ378" i="2"/>
  <c r="AH378" i="2" s="1"/>
  <c r="AH452" i="2"/>
  <c r="AQ331" i="2"/>
  <c r="AH331" i="2" s="1"/>
  <c r="AQ356" i="2"/>
  <c r="AH356" i="2" s="1"/>
  <c r="AQ372" i="2"/>
  <c r="AH372" i="2" s="1"/>
  <c r="AG473" i="2"/>
  <c r="AG487" i="2"/>
  <c r="AH459" i="2"/>
  <c r="AQ399" i="2"/>
  <c r="AH399" i="2" s="1"/>
  <c r="AQ354" i="2"/>
  <c r="AH354" i="2" s="1"/>
  <c r="AQ370" i="2"/>
  <c r="AH370" i="2" s="1"/>
  <c r="AQ449" i="2"/>
  <c r="AH449" i="2" s="1"/>
  <c r="AQ348" i="2"/>
  <c r="AH348" i="2" s="1"/>
  <c r="AQ364" i="2"/>
  <c r="AH364" i="2" s="1"/>
  <c r="AQ380" i="2"/>
  <c r="AH380" i="2" s="1"/>
  <c r="AQ448" i="2"/>
  <c r="AH448" i="2" s="1"/>
  <c r="AQ353" i="2"/>
  <c r="AH353" i="2" s="1"/>
  <c r="AQ369" i="2"/>
  <c r="AH369" i="2" s="1"/>
  <c r="AQ472" i="2"/>
  <c r="AH472" i="2" s="1"/>
  <c r="AQ495" i="2"/>
  <c r="AH495" i="2" s="1"/>
  <c r="AQ27" i="2"/>
  <c r="AH27" i="2" s="1"/>
  <c r="AQ77" i="2"/>
  <c r="AH77" i="2" s="1"/>
  <c r="AQ90" i="2"/>
  <c r="AH90" i="2" s="1"/>
  <c r="AQ98" i="2"/>
  <c r="AH98" i="2" s="1"/>
  <c r="AQ106" i="2"/>
  <c r="AH106" i="2" s="1"/>
  <c r="AQ114" i="2"/>
  <c r="AH114" i="2" s="1"/>
  <c r="AQ122" i="2"/>
  <c r="AH122" i="2" s="1"/>
  <c r="AQ130" i="2"/>
  <c r="AH130" i="2" s="1"/>
  <c r="AQ138" i="2"/>
  <c r="AH138" i="2" s="1"/>
  <c r="AD152" i="2"/>
  <c r="AQ152" i="2"/>
  <c r="AH152" i="2" s="1"/>
  <c r="AG173" i="2"/>
  <c r="AQ173" i="2"/>
  <c r="AH173" i="2" s="1"/>
  <c r="AG218" i="2"/>
  <c r="AQ218" i="2"/>
  <c r="AH218" i="2" s="1"/>
  <c r="AQ31" i="2"/>
  <c r="AH31" i="2" s="1"/>
  <c r="AD172" i="2"/>
  <c r="AQ172" i="2"/>
  <c r="AH172" i="2" s="1"/>
  <c r="AD185" i="2"/>
  <c r="AQ185" i="2"/>
  <c r="AH185" i="2" s="1"/>
  <c r="AQ24" i="2"/>
  <c r="AH24" i="2" s="1"/>
  <c r="AQ33" i="2"/>
  <c r="AH33" i="2" s="1"/>
  <c r="AQ34" i="2"/>
  <c r="AH34" i="2" s="1"/>
  <c r="AQ35" i="2"/>
  <c r="AH35" i="2" s="1"/>
  <c r="AQ36" i="2"/>
  <c r="AH36" i="2" s="1"/>
  <c r="AQ37" i="2"/>
  <c r="AH37" i="2" s="1"/>
  <c r="AQ38" i="2"/>
  <c r="AH38" i="2" s="1"/>
  <c r="AQ39" i="2"/>
  <c r="AH39" i="2" s="1"/>
  <c r="AQ40" i="2"/>
  <c r="AH40" i="2" s="1"/>
  <c r="AQ41" i="2"/>
  <c r="AH41" i="2" s="1"/>
  <c r="AQ42" i="2"/>
  <c r="AH42" i="2" s="1"/>
  <c r="AQ43" i="2"/>
  <c r="AH43" i="2" s="1"/>
  <c r="AQ44" i="2"/>
  <c r="AH44" i="2" s="1"/>
  <c r="AQ45" i="2"/>
  <c r="AH45" i="2" s="1"/>
  <c r="AQ46" i="2"/>
  <c r="AH46" i="2" s="1"/>
  <c r="AQ47" i="2"/>
  <c r="AH47" i="2" s="1"/>
  <c r="AQ48" i="2"/>
  <c r="AH48" i="2" s="1"/>
  <c r="AQ49" i="2"/>
  <c r="AH49" i="2" s="1"/>
  <c r="AQ50" i="2"/>
  <c r="AH50" i="2" s="1"/>
  <c r="AQ51" i="2"/>
  <c r="AH51" i="2" s="1"/>
  <c r="AQ52" i="2"/>
  <c r="AH52" i="2" s="1"/>
  <c r="AQ53" i="2"/>
  <c r="AH53" i="2" s="1"/>
  <c r="AQ54" i="2"/>
  <c r="AH54" i="2" s="1"/>
  <c r="AQ55" i="2"/>
  <c r="AH55" i="2" s="1"/>
  <c r="AQ56" i="2"/>
  <c r="AH56" i="2" s="1"/>
  <c r="AQ57" i="2"/>
  <c r="AH57" i="2" s="1"/>
  <c r="AQ58" i="2"/>
  <c r="AH58" i="2" s="1"/>
  <c r="AQ59" i="2"/>
  <c r="AH59" i="2" s="1"/>
  <c r="AQ76" i="2"/>
  <c r="AH76" i="2" s="1"/>
  <c r="AD142" i="2"/>
  <c r="AQ142" i="2"/>
  <c r="AH142" i="2" s="1"/>
  <c r="AD147" i="2"/>
  <c r="AQ147" i="2"/>
  <c r="AH147" i="2" s="1"/>
  <c r="AG157" i="2"/>
  <c r="AQ157" i="2"/>
  <c r="AH157" i="2" s="1"/>
  <c r="AG253" i="2"/>
  <c r="AQ253" i="2"/>
  <c r="AH253" i="2" s="1"/>
  <c r="AQ65" i="2"/>
  <c r="AH65" i="2" s="1"/>
  <c r="AQ81" i="2"/>
  <c r="AH81" i="2" s="1"/>
  <c r="AD156" i="2"/>
  <c r="AQ156" i="2"/>
  <c r="AH156" i="2" s="1"/>
  <c r="AQ9" i="2"/>
  <c r="AH9" i="2" s="1"/>
  <c r="AQ70" i="2"/>
  <c r="AH70" i="2" s="1"/>
  <c r="AD151" i="2"/>
  <c r="AQ151" i="2"/>
  <c r="AH151" i="2" s="1"/>
  <c r="AQ164" i="2"/>
  <c r="AH164" i="2" s="1"/>
  <c r="AG180" i="2"/>
  <c r="AQ180" i="2"/>
  <c r="AH180" i="2" s="1"/>
  <c r="AG189" i="2"/>
  <c r="AQ189" i="2"/>
  <c r="AH189" i="2" s="1"/>
  <c r="AG221" i="2"/>
  <c r="AQ221" i="2"/>
  <c r="AH221" i="2" s="1"/>
  <c r="AQ7" i="2"/>
  <c r="AH7" i="2" s="1"/>
  <c r="AI7" i="2" s="1"/>
  <c r="AJ7" i="2" s="1"/>
  <c r="AK7" i="2" s="1"/>
  <c r="AQ75" i="2"/>
  <c r="AH75" i="2" s="1"/>
  <c r="AQ87" i="2"/>
  <c r="AH87" i="2" s="1"/>
  <c r="AQ95" i="2"/>
  <c r="AH95" i="2" s="1"/>
  <c r="AQ103" i="2"/>
  <c r="AH103" i="2" s="1"/>
  <c r="AQ111" i="2"/>
  <c r="AH111" i="2" s="1"/>
  <c r="AQ119" i="2"/>
  <c r="AH119" i="2" s="1"/>
  <c r="AQ127" i="2"/>
  <c r="AH127" i="2" s="1"/>
  <c r="AQ135" i="2"/>
  <c r="AH135" i="2" s="1"/>
  <c r="AD163" i="2"/>
  <c r="AQ163" i="2"/>
  <c r="AH163" i="2" s="1"/>
  <c r="AQ168" i="2"/>
  <c r="AH168" i="2" s="1"/>
  <c r="AD171" i="2"/>
  <c r="AQ171" i="2"/>
  <c r="AH171" i="2" s="1"/>
  <c r="AD179" i="2"/>
  <c r="AQ179" i="2"/>
  <c r="AH179" i="2" s="1"/>
  <c r="AD188" i="2"/>
  <c r="AQ188" i="2"/>
  <c r="AH188" i="2" s="1"/>
  <c r="AQ8" i="2"/>
  <c r="AH8" i="2" s="1"/>
  <c r="AQ12" i="2"/>
  <c r="AH12" i="2" s="1"/>
  <c r="AQ64" i="2"/>
  <c r="AH64" i="2" s="1"/>
  <c r="AQ80" i="2"/>
  <c r="AH80" i="2" s="1"/>
  <c r="AC28" i="2"/>
  <c r="AE32" i="2"/>
  <c r="AQ69" i="2"/>
  <c r="AH69" i="2" s="1"/>
  <c r="AQ86" i="2"/>
  <c r="AH86" i="2" s="1"/>
  <c r="AQ94" i="2"/>
  <c r="AH94" i="2" s="1"/>
  <c r="AQ102" i="2"/>
  <c r="AH102" i="2" s="1"/>
  <c r="AQ110" i="2"/>
  <c r="AH110" i="2" s="1"/>
  <c r="AQ118" i="2"/>
  <c r="AH118" i="2" s="1"/>
  <c r="AQ126" i="2"/>
  <c r="AH126" i="2" s="1"/>
  <c r="AQ134" i="2"/>
  <c r="AH134" i="2" s="1"/>
  <c r="AD155" i="2"/>
  <c r="AQ155" i="2"/>
  <c r="AH155" i="2" s="1"/>
  <c r="AC27" i="2"/>
  <c r="AQ74" i="2"/>
  <c r="AH74" i="2" s="1"/>
  <c r="AG202" i="2"/>
  <c r="AQ202" i="2"/>
  <c r="AH202" i="2" s="1"/>
  <c r="AE166" i="2"/>
  <c r="AQ166" i="2"/>
  <c r="AH166" i="2" s="1"/>
  <c r="AQ68" i="2"/>
  <c r="AH68" i="2" s="1"/>
  <c r="AD144" i="2"/>
  <c r="AQ144" i="2"/>
  <c r="AH144" i="2" s="1"/>
  <c r="AH145" i="2"/>
  <c r="AG237" i="2"/>
  <c r="AQ237" i="2"/>
  <c r="AH237" i="2" s="1"/>
  <c r="AC25" i="2"/>
  <c r="AQ73" i="2"/>
  <c r="AH73" i="2" s="1"/>
  <c r="AG150" i="2"/>
  <c r="AQ150" i="2"/>
  <c r="AH150" i="2" s="1"/>
  <c r="AQ62" i="2"/>
  <c r="AH62" i="2" s="1"/>
  <c r="AQ78" i="2"/>
  <c r="AH78" i="2" s="1"/>
  <c r="AG205" i="2"/>
  <c r="AQ205" i="2"/>
  <c r="AH205" i="2" s="1"/>
  <c r="AQ30" i="2"/>
  <c r="AH30" i="2" s="1"/>
  <c r="AQ29" i="2"/>
  <c r="AH29" i="2" s="1"/>
  <c r="AQ67" i="2"/>
  <c r="AH67" i="2" s="1"/>
  <c r="AQ83" i="2"/>
  <c r="AH83" i="2" s="1"/>
  <c r="AQ91" i="2"/>
  <c r="AH91" i="2" s="1"/>
  <c r="AQ99" i="2"/>
  <c r="AH99" i="2" s="1"/>
  <c r="AQ107" i="2"/>
  <c r="AH107" i="2" s="1"/>
  <c r="AQ115" i="2"/>
  <c r="AH115" i="2" s="1"/>
  <c r="AQ123" i="2"/>
  <c r="AH123" i="2" s="1"/>
  <c r="AQ131" i="2"/>
  <c r="AH131" i="2" s="1"/>
  <c r="AQ139" i="2"/>
  <c r="AH139" i="2" s="1"/>
  <c r="AD169" i="2"/>
  <c r="AQ169" i="2"/>
  <c r="AH169" i="2" s="1"/>
  <c r="AD328" i="2"/>
  <c r="AQ328" i="2"/>
  <c r="AH328" i="2" s="1"/>
  <c r="AQ162" i="2"/>
  <c r="AH162" i="2" s="1"/>
  <c r="AQ178" i="2"/>
  <c r="AH178" i="2" s="1"/>
  <c r="AQ194" i="2"/>
  <c r="AH194" i="2" s="1"/>
  <c r="AQ210" i="2"/>
  <c r="AH210" i="2" s="1"/>
  <c r="AQ226" i="2"/>
  <c r="AH226" i="2" s="1"/>
  <c r="AQ242" i="2"/>
  <c r="AH242" i="2" s="1"/>
  <c r="AQ258" i="2"/>
  <c r="AH258" i="2" s="1"/>
  <c r="AQ544" i="2"/>
  <c r="AH544" i="2" s="1"/>
  <c r="AD544" i="2"/>
  <c r="AE548" i="2"/>
  <c r="AQ548" i="2"/>
  <c r="AH548" i="2" s="1"/>
  <c r="AQ204" i="2"/>
  <c r="AH204" i="2" s="1"/>
  <c r="AQ220" i="2"/>
  <c r="AH220" i="2" s="1"/>
  <c r="AQ236" i="2"/>
  <c r="AH236" i="2" s="1"/>
  <c r="AQ252" i="2"/>
  <c r="AH252" i="2" s="1"/>
  <c r="AQ148" i="2"/>
  <c r="AH148" i="2" s="1"/>
  <c r="AQ161" i="2"/>
  <c r="AH161" i="2" s="1"/>
  <c r="AQ177" i="2"/>
  <c r="AH177" i="2" s="1"/>
  <c r="AQ225" i="2"/>
  <c r="AH225" i="2" s="1"/>
  <c r="AQ241" i="2"/>
  <c r="AH241" i="2" s="1"/>
  <c r="AQ257" i="2"/>
  <c r="AH257" i="2" s="1"/>
  <c r="AQ187" i="2"/>
  <c r="AH187" i="2" s="1"/>
  <c r="AQ203" i="2"/>
  <c r="AH203" i="2" s="1"/>
  <c r="AQ219" i="2"/>
  <c r="AH219" i="2" s="1"/>
  <c r="AQ235" i="2"/>
  <c r="AH235" i="2" s="1"/>
  <c r="AQ251" i="2"/>
  <c r="AH251" i="2" s="1"/>
  <c r="AQ160" i="2"/>
  <c r="AH160" i="2" s="1"/>
  <c r="AQ176" i="2"/>
  <c r="AH176" i="2" s="1"/>
  <c r="AQ192" i="2"/>
  <c r="AH192" i="2" s="1"/>
  <c r="AQ208" i="2"/>
  <c r="AH208" i="2" s="1"/>
  <c r="AQ224" i="2"/>
  <c r="AH224" i="2" s="1"/>
  <c r="AD395" i="2"/>
  <c r="AQ395" i="2"/>
  <c r="AH395" i="2" s="1"/>
  <c r="AD312" i="2"/>
  <c r="AQ312" i="2"/>
  <c r="AH312" i="2" s="1"/>
  <c r="AQ170" i="2"/>
  <c r="AH170" i="2" s="1"/>
  <c r="AQ186" i="2"/>
  <c r="AH186" i="2" s="1"/>
  <c r="AQ234" i="2"/>
  <c r="AH234" i="2" s="1"/>
  <c r="AQ250" i="2"/>
  <c r="AH250" i="2" s="1"/>
  <c r="AQ196" i="2"/>
  <c r="AH196" i="2" s="1"/>
  <c r="AQ212" i="2"/>
  <c r="AH212" i="2" s="1"/>
  <c r="AQ228" i="2"/>
  <c r="AH228" i="2" s="1"/>
  <c r="AQ244" i="2"/>
  <c r="AH244" i="2" s="1"/>
  <c r="AQ201" i="2"/>
  <c r="AH201" i="2" s="1"/>
  <c r="AQ217" i="2"/>
  <c r="AH217" i="2" s="1"/>
  <c r="AQ233" i="2"/>
  <c r="AH233" i="2" s="1"/>
  <c r="AQ249" i="2"/>
  <c r="AH249" i="2" s="1"/>
  <c r="AD320" i="2"/>
  <c r="AQ320" i="2"/>
  <c r="AH320" i="2" s="1"/>
  <c r="AQ143" i="2"/>
  <c r="AH143" i="2" s="1"/>
  <c r="AQ158" i="2"/>
  <c r="AH158" i="2" s="1"/>
  <c r="AQ174" i="2"/>
  <c r="AH174" i="2" s="1"/>
  <c r="AQ222" i="2"/>
  <c r="AH222" i="2" s="1"/>
  <c r="AQ254" i="2"/>
  <c r="AH254" i="2" s="1"/>
  <c r="AD309" i="2"/>
  <c r="AD317" i="2"/>
  <c r="AD325" i="2"/>
  <c r="AQ344" i="2"/>
  <c r="AH344" i="2" s="1"/>
  <c r="AG344" i="2"/>
  <c r="AQ484" i="2"/>
  <c r="AH484" i="2" s="1"/>
  <c r="AG484" i="2"/>
  <c r="AQ593" i="2"/>
  <c r="AH593" i="2" s="1"/>
  <c r="AG593" i="2"/>
  <c r="AQ336" i="2"/>
  <c r="AH336" i="2" s="1"/>
  <c r="AQ343" i="2"/>
  <c r="AH343" i="2" s="1"/>
  <c r="AG343" i="2"/>
  <c r="AQ391" i="2"/>
  <c r="AH391" i="2" s="1"/>
  <c r="AQ478" i="2"/>
  <c r="AH478" i="2" s="1"/>
  <c r="AG478" i="2"/>
  <c r="AD390" i="2"/>
  <c r="AQ390" i="2"/>
  <c r="AH390" i="2" s="1"/>
  <c r="AQ405" i="2"/>
  <c r="AH405" i="2" s="1"/>
  <c r="AE592" i="2"/>
  <c r="AQ592" i="2"/>
  <c r="AH592" i="2" s="1"/>
  <c r="AQ311" i="2"/>
  <c r="AH311" i="2" s="1"/>
  <c r="AE315" i="2"/>
  <c r="AQ319" i="2"/>
  <c r="AH319" i="2" s="1"/>
  <c r="AE323" i="2"/>
  <c r="AQ327" i="2"/>
  <c r="AH327" i="2" s="1"/>
  <c r="AE331" i="2"/>
  <c r="AD404" i="2"/>
  <c r="AQ404" i="2"/>
  <c r="AH404" i="2" s="1"/>
  <c r="AQ468" i="2"/>
  <c r="AH468" i="2" s="1"/>
  <c r="AG468" i="2"/>
  <c r="AQ342" i="2"/>
  <c r="AH342" i="2" s="1"/>
  <c r="AG342" i="2"/>
  <c r="AQ578" i="2"/>
  <c r="AH578" i="2" s="1"/>
  <c r="AE578" i="2"/>
  <c r="AQ401" i="2"/>
  <c r="AH401" i="2" s="1"/>
  <c r="AD400" i="2"/>
  <c r="AQ400" i="2"/>
  <c r="AH400" i="2" s="1"/>
  <c r="AQ26" i="2"/>
  <c r="AH26" i="2" s="1"/>
  <c r="AD389" i="2"/>
  <c r="AQ389" i="2"/>
  <c r="AH389" i="2" s="1"/>
  <c r="AQ346" i="2"/>
  <c r="AH346" i="2" s="1"/>
  <c r="AG346" i="2"/>
  <c r="AD563" i="2"/>
  <c r="AQ563" i="2"/>
  <c r="AH563" i="2" s="1"/>
  <c r="AQ345" i="2"/>
  <c r="AH345" i="2" s="1"/>
  <c r="AG345" i="2"/>
  <c r="AE419" i="2"/>
  <c r="AQ419" i="2"/>
  <c r="AH419" i="2" s="1"/>
  <c r="AE435" i="2"/>
  <c r="AQ435" i="2"/>
  <c r="AH435" i="2" s="1"/>
  <c r="AE422" i="2"/>
  <c r="AQ422" i="2"/>
  <c r="AH422" i="2" s="1"/>
  <c r="AE438" i="2"/>
  <c r="AQ438" i="2"/>
  <c r="AH438" i="2" s="1"/>
  <c r="AQ396" i="2"/>
  <c r="AH396" i="2" s="1"/>
  <c r="AE425" i="2"/>
  <c r="AQ425" i="2"/>
  <c r="AH425" i="2" s="1"/>
  <c r="AE441" i="2"/>
  <c r="AQ441" i="2"/>
  <c r="AH441" i="2" s="1"/>
  <c r="AE428" i="2"/>
  <c r="AQ428" i="2"/>
  <c r="AH428" i="2" s="1"/>
  <c r="AD567" i="2"/>
  <c r="AQ567" i="2"/>
  <c r="AH567" i="2" s="1"/>
  <c r="AD576" i="2"/>
  <c r="AD651" i="2"/>
  <c r="AQ651" i="2"/>
  <c r="AH651" i="2" s="1"/>
  <c r="AG347" i="2"/>
  <c r="AG348" i="2"/>
  <c r="AG349" i="2"/>
  <c r="AG350" i="2"/>
  <c r="AG351" i="2"/>
  <c r="AG352" i="2"/>
  <c r="AG353" i="2"/>
  <c r="AG354" i="2"/>
  <c r="AG355" i="2"/>
  <c r="AG356" i="2"/>
  <c r="AG357" i="2"/>
  <c r="AG358" i="2"/>
  <c r="AG359" i="2"/>
  <c r="AG360" i="2"/>
  <c r="AG361" i="2"/>
  <c r="AG362" i="2"/>
  <c r="AG363" i="2"/>
  <c r="AG364" i="2"/>
  <c r="AG365" i="2"/>
  <c r="AG366" i="2"/>
  <c r="AG367" i="2"/>
  <c r="AG368" i="2"/>
  <c r="AG369" i="2"/>
  <c r="AG370" i="2"/>
  <c r="AG371" i="2"/>
  <c r="AG372" i="2"/>
  <c r="AG373" i="2"/>
  <c r="AG374" i="2"/>
  <c r="AG375" i="2"/>
  <c r="AG376" i="2"/>
  <c r="AG377" i="2"/>
  <c r="AG378" i="2"/>
  <c r="AG379" i="2"/>
  <c r="AG380" i="2"/>
  <c r="AG381" i="2"/>
  <c r="AG382" i="2"/>
  <c r="AE415" i="2"/>
  <c r="AQ415" i="2"/>
  <c r="AH415" i="2" s="1"/>
  <c r="AE431" i="2"/>
  <c r="AQ431" i="2"/>
  <c r="AH431" i="2" s="1"/>
  <c r="AQ467" i="2"/>
  <c r="AH467" i="2" s="1"/>
  <c r="AG467" i="2"/>
  <c r="AQ477" i="2"/>
  <c r="AH477" i="2" s="1"/>
  <c r="AG477" i="2"/>
  <c r="AQ483" i="2"/>
  <c r="AH483" i="2" s="1"/>
  <c r="AG483" i="2"/>
  <c r="AD577" i="2"/>
  <c r="AQ577" i="2"/>
  <c r="AH577" i="2" s="1"/>
  <c r="AG398" i="2"/>
  <c r="AQ408" i="2"/>
  <c r="AH408" i="2" s="1"/>
  <c r="AQ412" i="2"/>
  <c r="AH412" i="2" s="1"/>
  <c r="AE418" i="2"/>
  <c r="AQ418" i="2"/>
  <c r="AH418" i="2" s="1"/>
  <c r="AE434" i="2"/>
  <c r="AQ434" i="2"/>
  <c r="AH434" i="2" s="1"/>
  <c r="AQ562" i="2"/>
  <c r="AH562" i="2" s="1"/>
  <c r="AE562" i="2"/>
  <c r="AQ633" i="2"/>
  <c r="AH633" i="2" s="1"/>
  <c r="AG633" i="2"/>
  <c r="AQ388" i="2"/>
  <c r="AH388" i="2" s="1"/>
  <c r="AE421" i="2"/>
  <c r="AQ421" i="2"/>
  <c r="AH421" i="2" s="1"/>
  <c r="AE437" i="2"/>
  <c r="AQ437" i="2"/>
  <c r="AH437" i="2" s="1"/>
  <c r="AQ456" i="2"/>
  <c r="AH456" i="2" s="1"/>
  <c r="AQ508" i="2"/>
  <c r="AH508" i="2" s="1"/>
  <c r="AG508" i="2"/>
  <c r="AD551" i="2"/>
  <c r="AQ551" i="2"/>
  <c r="AH551" i="2" s="1"/>
  <c r="AD575" i="2"/>
  <c r="AQ601" i="2"/>
  <c r="AH601" i="2" s="1"/>
  <c r="AE424" i="2"/>
  <c r="AQ424" i="2"/>
  <c r="AH424" i="2" s="1"/>
  <c r="AE440" i="2"/>
  <c r="AQ440" i="2"/>
  <c r="AH440" i="2" s="1"/>
  <c r="AD455" i="2"/>
  <c r="AQ455" i="2"/>
  <c r="AH455" i="2" s="1"/>
  <c r="AQ466" i="2"/>
  <c r="AH466" i="2" s="1"/>
  <c r="AG466" i="2"/>
  <c r="AQ482" i="2"/>
  <c r="AH482" i="2" s="1"/>
  <c r="AG482" i="2"/>
  <c r="AQ502" i="2"/>
  <c r="AH502" i="2" s="1"/>
  <c r="AG502" i="2"/>
  <c r="AQ547" i="2"/>
  <c r="AH547" i="2" s="1"/>
  <c r="AD560" i="2"/>
  <c r="AQ606" i="2"/>
  <c r="AH606" i="2" s="1"/>
  <c r="AE427" i="2"/>
  <c r="AQ427" i="2"/>
  <c r="AH427" i="2" s="1"/>
  <c r="AQ470" i="2"/>
  <c r="AH470" i="2" s="1"/>
  <c r="AG470" i="2"/>
  <c r="AQ476" i="2"/>
  <c r="AH476" i="2" s="1"/>
  <c r="AG476" i="2"/>
  <c r="AQ486" i="2"/>
  <c r="AH486" i="2" s="1"/>
  <c r="AG486" i="2"/>
  <c r="AQ532" i="2"/>
  <c r="AH532" i="2" s="1"/>
  <c r="AQ546" i="2"/>
  <c r="AH546" i="2" s="1"/>
  <c r="AE546" i="2"/>
  <c r="AD561" i="2"/>
  <c r="AQ561" i="2"/>
  <c r="AH561" i="2" s="1"/>
  <c r="AD590" i="2"/>
  <c r="AQ590" i="2"/>
  <c r="AH590" i="2" s="1"/>
  <c r="AQ403" i="2"/>
  <c r="AH403" i="2" s="1"/>
  <c r="AQ407" i="2"/>
  <c r="AH407" i="2" s="1"/>
  <c r="AQ411" i="2"/>
  <c r="AH411" i="2" s="1"/>
  <c r="AE414" i="2"/>
  <c r="AQ414" i="2"/>
  <c r="AH414" i="2" s="1"/>
  <c r="AE430" i="2"/>
  <c r="AQ430" i="2"/>
  <c r="AH430" i="2" s="1"/>
  <c r="AQ491" i="2"/>
  <c r="AH491" i="2" s="1"/>
  <c r="AE417" i="2"/>
  <c r="AQ417" i="2"/>
  <c r="AH417" i="2" s="1"/>
  <c r="AE433" i="2"/>
  <c r="AQ433" i="2"/>
  <c r="AH433" i="2" s="1"/>
  <c r="AQ507" i="2"/>
  <c r="AH507" i="2" s="1"/>
  <c r="AG507" i="2"/>
  <c r="AD535" i="2"/>
  <c r="AQ535" i="2"/>
  <c r="AH535" i="2" s="1"/>
  <c r="AD599" i="2"/>
  <c r="AQ599" i="2"/>
  <c r="AH599" i="2" s="1"/>
  <c r="AQ632" i="2"/>
  <c r="AH632" i="2" s="1"/>
  <c r="AG632" i="2"/>
  <c r="AE420" i="2"/>
  <c r="AQ420" i="2"/>
  <c r="AH420" i="2" s="1"/>
  <c r="AE436" i="2"/>
  <c r="AQ436" i="2"/>
  <c r="AH436" i="2" s="1"/>
  <c r="AQ501" i="2"/>
  <c r="AH501" i="2" s="1"/>
  <c r="AG501" i="2"/>
  <c r="AQ531" i="2"/>
  <c r="AH531" i="2" s="1"/>
  <c r="AD545" i="2"/>
  <c r="AQ545" i="2"/>
  <c r="AH545" i="2" s="1"/>
  <c r="AQ619" i="2"/>
  <c r="AH619" i="2" s="1"/>
  <c r="AG619" i="2"/>
  <c r="AE423" i="2"/>
  <c r="AQ423" i="2"/>
  <c r="AH423" i="2" s="1"/>
  <c r="AE439" i="2"/>
  <c r="AQ439" i="2"/>
  <c r="AH439" i="2" s="1"/>
  <c r="AQ469" i="2"/>
  <c r="AH469" i="2" s="1"/>
  <c r="AG469" i="2"/>
  <c r="AQ475" i="2"/>
  <c r="AH475" i="2" s="1"/>
  <c r="AG475" i="2"/>
  <c r="AQ485" i="2"/>
  <c r="AH485" i="2" s="1"/>
  <c r="AG485" i="2"/>
  <c r="AQ530" i="2"/>
  <c r="AH530" i="2" s="1"/>
  <c r="AE530" i="2"/>
  <c r="AG585" i="2"/>
  <c r="AQ585" i="2"/>
  <c r="AH585" i="2" s="1"/>
  <c r="AQ402" i="2"/>
  <c r="AH402" i="2" s="1"/>
  <c r="AQ406" i="2"/>
  <c r="AH406" i="2" s="1"/>
  <c r="AQ410" i="2"/>
  <c r="AH410" i="2" s="1"/>
  <c r="AE426" i="2"/>
  <c r="AQ426" i="2"/>
  <c r="AH426" i="2" s="1"/>
  <c r="AQ443" i="2"/>
  <c r="AH443" i="2" s="1"/>
  <c r="AQ458" i="2"/>
  <c r="AH458" i="2" s="1"/>
  <c r="AQ506" i="2"/>
  <c r="AH506" i="2" s="1"/>
  <c r="AG506" i="2"/>
  <c r="AQ569" i="2"/>
  <c r="AH569" i="2" s="1"/>
  <c r="AQ580" i="2"/>
  <c r="AH580" i="2" s="1"/>
  <c r="AE613" i="2"/>
  <c r="AQ613" i="2"/>
  <c r="AH613" i="2" s="1"/>
  <c r="AQ392" i="2"/>
  <c r="AH392" i="2" s="1"/>
  <c r="AE413" i="2"/>
  <c r="AQ413" i="2"/>
  <c r="AH413" i="2" s="1"/>
  <c r="AE429" i="2"/>
  <c r="AQ429" i="2"/>
  <c r="AH429" i="2" s="1"/>
  <c r="AQ454" i="2"/>
  <c r="AH454" i="2" s="1"/>
  <c r="AQ518" i="2"/>
  <c r="AH518" i="2" s="1"/>
  <c r="AQ661" i="2"/>
  <c r="AH661" i="2" s="1"/>
  <c r="AE661" i="2"/>
  <c r="AQ397" i="2"/>
  <c r="AH397" i="2" s="1"/>
  <c r="AE416" i="2"/>
  <c r="AQ416" i="2"/>
  <c r="AH416" i="2" s="1"/>
  <c r="AE432" i="2"/>
  <c r="AQ432" i="2"/>
  <c r="AH432" i="2" s="1"/>
  <c r="AE453" i="2"/>
  <c r="AQ453" i="2"/>
  <c r="AH453" i="2" s="1"/>
  <c r="AQ461" i="2"/>
  <c r="AH461" i="2" s="1"/>
  <c r="AQ474" i="2"/>
  <c r="AH474" i="2" s="1"/>
  <c r="AG474" i="2"/>
  <c r="AD529" i="2"/>
  <c r="AQ529" i="2"/>
  <c r="AH529" i="2" s="1"/>
  <c r="AD583" i="2"/>
  <c r="AQ583" i="2"/>
  <c r="AH583" i="2" s="1"/>
  <c r="AD630" i="2"/>
  <c r="AQ630" i="2"/>
  <c r="AH630" i="2" s="1"/>
  <c r="AQ457" i="2"/>
  <c r="AH457" i="2" s="1"/>
  <c r="AQ490" i="2"/>
  <c r="AH490" i="2" s="1"/>
  <c r="AQ498" i="2"/>
  <c r="AH498" i="2" s="1"/>
  <c r="AG504" i="2"/>
  <c r="AQ516" i="2"/>
  <c r="AH516" i="2" s="1"/>
  <c r="AD541" i="2"/>
  <c r="AE558" i="2"/>
  <c r="AE574" i="2"/>
  <c r="AE589" i="2"/>
  <c r="AD591" i="2"/>
  <c r="AQ591" i="2"/>
  <c r="AH591" i="2" s="1"/>
  <c r="AQ600" i="2"/>
  <c r="AH600" i="2" s="1"/>
  <c r="AE622" i="2"/>
  <c r="AQ625" i="2"/>
  <c r="AH625" i="2" s="1"/>
  <c r="AC664" i="2"/>
  <c r="AQ664" i="2"/>
  <c r="AH664" i="2" s="1"/>
  <c r="AD635" i="2"/>
  <c r="AQ635" i="2"/>
  <c r="AH635" i="2" s="1"/>
  <c r="AQ636" i="2"/>
  <c r="AH636" i="2" s="1"/>
  <c r="AD445" i="2"/>
  <c r="AD461" i="2"/>
  <c r="AQ489" i="2"/>
  <c r="AH489" i="2" s="1"/>
  <c r="AQ497" i="2"/>
  <c r="AH497" i="2" s="1"/>
  <c r="AQ514" i="2"/>
  <c r="AH514" i="2" s="1"/>
  <c r="AE598" i="2"/>
  <c r="AQ598" i="2"/>
  <c r="AH598" i="2" s="1"/>
  <c r="AE623" i="2"/>
  <c r="AQ623" i="2"/>
  <c r="AH623" i="2" s="1"/>
  <c r="AD629" i="2"/>
  <c r="AQ629" i="2"/>
  <c r="AH629" i="2" s="1"/>
  <c r="AQ512" i="2"/>
  <c r="AH512" i="2" s="1"/>
  <c r="AD534" i="2"/>
  <c r="AQ534" i="2"/>
  <c r="AH534" i="2" s="1"/>
  <c r="AD550" i="2"/>
  <c r="AQ550" i="2"/>
  <c r="AH550" i="2" s="1"/>
  <c r="AD566" i="2"/>
  <c r="AQ566" i="2"/>
  <c r="AH566" i="2" s="1"/>
  <c r="AD582" i="2"/>
  <c r="AQ582" i="2"/>
  <c r="AH582" i="2" s="1"/>
  <c r="AD604" i="2"/>
  <c r="AQ604" i="2"/>
  <c r="AH604" i="2" s="1"/>
  <c r="AE611" i="2"/>
  <c r="AQ611" i="2"/>
  <c r="AH611" i="2" s="1"/>
  <c r="AE587" i="2"/>
  <c r="AD617" i="2"/>
  <c r="AQ617" i="2"/>
  <c r="AH617" i="2" s="1"/>
  <c r="AQ618" i="2"/>
  <c r="AH618" i="2" s="1"/>
  <c r="AD628" i="2"/>
  <c r="AQ628" i="2"/>
  <c r="AH628" i="2" s="1"/>
  <c r="AD634" i="2"/>
  <c r="AQ634" i="2"/>
  <c r="AH634" i="2" s="1"/>
  <c r="AQ511" i="2"/>
  <c r="AH511" i="2" s="1"/>
  <c r="AD653" i="2"/>
  <c r="AQ653" i="2"/>
  <c r="AH653" i="2" s="1"/>
  <c r="AD596" i="2"/>
  <c r="AQ596" i="2"/>
  <c r="AH596" i="2" s="1"/>
  <c r="AQ494" i="2"/>
  <c r="AH494" i="2" s="1"/>
  <c r="AQ510" i="2"/>
  <c r="AH510" i="2" s="1"/>
  <c r="AQ524" i="2"/>
  <c r="AH524" i="2" s="1"/>
  <c r="AQ540" i="2"/>
  <c r="AH540" i="2" s="1"/>
  <c r="AQ556" i="2"/>
  <c r="AH556" i="2" s="1"/>
  <c r="AQ572" i="2"/>
  <c r="AH572" i="2" s="1"/>
  <c r="AQ588" i="2"/>
  <c r="AH588" i="2" s="1"/>
  <c r="AD621" i="2"/>
  <c r="AQ621" i="2"/>
  <c r="AH621" i="2" s="1"/>
  <c r="AD639" i="2"/>
  <c r="AQ639" i="2"/>
  <c r="AH639" i="2" s="1"/>
  <c r="AQ666" i="2"/>
  <c r="AH666" i="2" s="1"/>
  <c r="AQ597" i="2"/>
  <c r="AH597" i="2" s="1"/>
  <c r="AD609" i="2"/>
  <c r="AQ609" i="2"/>
  <c r="AH609" i="2" s="1"/>
  <c r="AD648" i="2"/>
  <c r="AQ648" i="2"/>
  <c r="AH648" i="2" s="1"/>
  <c r="AQ493" i="2"/>
  <c r="AH493" i="2" s="1"/>
  <c r="AQ509" i="2"/>
  <c r="AH509" i="2" s="1"/>
  <c r="AQ522" i="2"/>
  <c r="AH522" i="2" s="1"/>
  <c r="AD615" i="2"/>
  <c r="AQ615" i="2"/>
  <c r="AH615" i="2" s="1"/>
  <c r="AE652" i="2"/>
  <c r="AQ652" i="2"/>
  <c r="AH652" i="2" s="1"/>
  <c r="AQ492" i="2"/>
  <c r="AH492" i="2" s="1"/>
  <c r="AQ500" i="2"/>
  <c r="AH500" i="2" s="1"/>
  <c r="AQ521" i="2"/>
  <c r="AH521" i="2" s="1"/>
  <c r="AQ602" i="2"/>
  <c r="AH602" i="2" s="1"/>
  <c r="AE643" i="2"/>
  <c r="AQ643" i="2"/>
  <c r="AH643" i="2" s="1"/>
  <c r="AQ626" i="2"/>
  <c r="AH626" i="2" s="1"/>
  <c r="AE669" i="2"/>
  <c r="AQ669" i="2"/>
  <c r="AH669" i="2" s="1"/>
  <c r="AD644" i="2"/>
  <c r="AQ644" i="2"/>
  <c r="AH644" i="2" s="1"/>
  <c r="AC666" i="2"/>
  <c r="AC671" i="2"/>
  <c r="AQ667" i="2"/>
  <c r="AH667" i="2" s="1"/>
  <c r="AC667" i="2"/>
  <c r="AD689" i="2"/>
  <c r="AQ689" i="2"/>
  <c r="AH689" i="2" s="1"/>
  <c r="AQ657" i="2"/>
  <c r="AH657" i="2" s="1"/>
  <c r="AC678" i="2"/>
  <c r="AG647" i="2"/>
  <c r="AQ656" i="2"/>
  <c r="AH656" i="2" s="1"/>
  <c r="AQ649" i="2"/>
  <c r="AH649" i="2" s="1"/>
  <c r="AD654" i="2"/>
  <c r="AQ654" i="2"/>
  <c r="AH654" i="2" s="1"/>
  <c r="AD612" i="2"/>
  <c r="AQ612" i="2"/>
  <c r="AH612" i="2" s="1"/>
  <c r="AQ658" i="2"/>
  <c r="AH658" i="2" s="1"/>
  <c r="AQ614" i="2"/>
  <c r="AH614" i="2" s="1"/>
  <c r="AQ627" i="2"/>
  <c r="AH627" i="2" s="1"/>
  <c r="AQ638" i="2"/>
  <c r="AH638" i="2" s="1"/>
  <c r="AD645" i="2"/>
  <c r="AQ645" i="2"/>
  <c r="AH645" i="2" s="1"/>
  <c r="AQ668" i="2"/>
  <c r="AH668" i="2" s="1"/>
  <c r="AQ672" i="2"/>
  <c r="AH672" i="2" s="1"/>
  <c r="AD672" i="2"/>
  <c r="AQ734" i="2"/>
  <c r="AH734" i="2" s="1"/>
  <c r="AQ681" i="2"/>
  <c r="AH681" i="2" s="1"/>
  <c r="AC702" i="2"/>
  <c r="AQ705" i="2"/>
  <c r="AH705" i="2" s="1"/>
  <c r="AQ659" i="2"/>
  <c r="AH659" i="2" s="1"/>
  <c r="AQ662" i="2"/>
  <c r="AH662" i="2" s="1"/>
  <c r="AQ675" i="2"/>
  <c r="AH675" i="2" s="1"/>
  <c r="AQ711" i="2"/>
  <c r="AH711" i="2" s="1"/>
  <c r="AQ650" i="2"/>
  <c r="AH650" i="2" s="1"/>
  <c r="AQ680" i="2"/>
  <c r="AH680" i="2" s="1"/>
  <c r="AQ717" i="2"/>
  <c r="AH717" i="2" s="1"/>
  <c r="AQ723" i="2"/>
  <c r="AH723" i="2" s="1"/>
  <c r="AQ686" i="2"/>
  <c r="AH686" i="2" s="1"/>
  <c r="AD737" i="2"/>
  <c r="AQ737" i="2"/>
  <c r="AH737" i="2" s="1"/>
  <c r="AE778" i="2"/>
  <c r="AQ778" i="2"/>
  <c r="AH778" i="2" s="1"/>
  <c r="AQ697" i="2"/>
  <c r="AH697" i="2" s="1"/>
  <c r="AQ716" i="2"/>
  <c r="AH716" i="2" s="1"/>
  <c r="AC741" i="2"/>
  <c r="AQ741" i="2"/>
  <c r="AH741" i="2" s="1"/>
  <c r="AQ665" i="2"/>
  <c r="AH665" i="2" s="1"/>
  <c r="AQ709" i="2"/>
  <c r="AH709" i="2" s="1"/>
  <c r="AQ715" i="2"/>
  <c r="AH715" i="2" s="1"/>
  <c r="AQ727" i="2"/>
  <c r="AH727" i="2" s="1"/>
  <c r="AH745" i="2"/>
  <c r="AQ690" i="2"/>
  <c r="AH690" i="2" s="1"/>
  <c r="AQ696" i="2"/>
  <c r="AH696" i="2" s="1"/>
  <c r="AC757" i="2"/>
  <c r="AQ757" i="2"/>
  <c r="AH757" i="2" s="1"/>
  <c r="AD761" i="2"/>
  <c r="AQ761" i="2"/>
  <c r="AH761" i="2" s="1"/>
  <c r="AD773" i="2"/>
  <c r="AQ773" i="2"/>
  <c r="AH773" i="2" s="1"/>
  <c r="AQ744" i="2"/>
  <c r="AH744" i="2" s="1"/>
  <c r="AC744" i="2"/>
  <c r="AQ708" i="2"/>
  <c r="AH708" i="2" s="1"/>
  <c r="AQ726" i="2"/>
  <c r="AH726" i="2" s="1"/>
  <c r="AC734" i="2"/>
  <c r="AQ713" i="2"/>
  <c r="AH713" i="2" s="1"/>
  <c r="AD730" i="2"/>
  <c r="AQ730" i="2"/>
  <c r="AH730" i="2" s="1"/>
  <c r="AD769" i="2"/>
  <c r="AQ769" i="2"/>
  <c r="AH769" i="2" s="1"/>
  <c r="AQ640" i="2"/>
  <c r="AH640" i="2" s="1"/>
  <c r="AQ701" i="2"/>
  <c r="AH701" i="2" s="1"/>
  <c r="AQ682" i="2"/>
  <c r="AH682" i="2" s="1"/>
  <c r="AQ688" i="2"/>
  <c r="AH688" i="2" s="1"/>
  <c r="AC748" i="2"/>
  <c r="AQ748" i="2"/>
  <c r="AH748" i="2" s="1"/>
  <c r="AQ784" i="2"/>
  <c r="AH784" i="2" s="1"/>
  <c r="AC784" i="2"/>
  <c r="AH785" i="2"/>
  <c r="AQ742" i="2"/>
  <c r="AH742" i="2" s="1"/>
  <c r="AC788" i="2"/>
  <c r="AQ788" i="2"/>
  <c r="AH788" i="2" s="1"/>
  <c r="AQ789" i="2"/>
  <c r="AH789" i="2" s="1"/>
  <c r="AC792" i="2"/>
  <c r="AQ792" i="2"/>
  <c r="AH792" i="2" s="1"/>
  <c r="AQ812" i="2"/>
  <c r="AH812" i="2" s="1"/>
  <c r="AQ762" i="2"/>
  <c r="AH762" i="2" s="1"/>
  <c r="AQ793" i="2"/>
  <c r="AH793" i="2" s="1"/>
  <c r="AQ802" i="2"/>
  <c r="AH802" i="2" s="1"/>
  <c r="AQ752" i="2"/>
  <c r="AH752" i="2" s="1"/>
  <c r="AC752" i="2"/>
  <c r="AQ753" i="2"/>
  <c r="AH753" i="2" s="1"/>
  <c r="AC756" i="2"/>
  <c r="AQ756" i="2"/>
  <c r="AH756" i="2" s="1"/>
  <c r="AC760" i="2"/>
  <c r="AQ760" i="2"/>
  <c r="AH760" i="2" s="1"/>
  <c r="AC796" i="2"/>
  <c r="AQ796" i="2"/>
  <c r="AH796" i="2" s="1"/>
  <c r="AH797" i="2"/>
  <c r="AQ815" i="2"/>
  <c r="AH815" i="2" s="1"/>
  <c r="AQ738" i="2"/>
  <c r="AH738" i="2" s="1"/>
  <c r="AC764" i="2"/>
  <c r="AQ764" i="2"/>
  <c r="AH764" i="2" s="1"/>
  <c r="AQ782" i="2"/>
  <c r="AH782" i="2" s="1"/>
  <c r="AQ811" i="2"/>
  <c r="AH811" i="2" s="1"/>
  <c r="AF818" i="2"/>
  <c r="AQ818" i="2"/>
  <c r="AH818" i="2" s="1"/>
  <c r="AQ800" i="2"/>
  <c r="AH800" i="2" s="1"/>
  <c r="AC800" i="2"/>
  <c r="AH801" i="2"/>
  <c r="AF824" i="2"/>
  <c r="AQ824" i="2"/>
  <c r="AH824" i="2" s="1"/>
  <c r="AE759" i="2"/>
  <c r="AQ759" i="2"/>
  <c r="AH759" i="2" s="1"/>
  <c r="AC809" i="2"/>
  <c r="AQ809" i="2"/>
  <c r="AH809" i="2" s="1"/>
  <c r="AQ810" i="2"/>
  <c r="AH810" i="2" s="1"/>
  <c r="AQ743" i="2"/>
  <c r="AH743" i="2" s="1"/>
  <c r="AQ768" i="2"/>
  <c r="AH768" i="2" s="1"/>
  <c r="AC768" i="2"/>
  <c r="AC772" i="2"/>
  <c r="AQ772" i="2"/>
  <c r="AH772" i="2" s="1"/>
  <c r="AC776" i="2"/>
  <c r="AQ776" i="2"/>
  <c r="AH776" i="2" s="1"/>
  <c r="AQ754" i="2"/>
  <c r="AH754" i="2" s="1"/>
  <c r="AD758" i="2"/>
  <c r="AQ758" i="2"/>
  <c r="AH758" i="2" s="1"/>
  <c r="AQ777" i="2"/>
  <c r="AH777" i="2" s="1"/>
  <c r="AF820" i="2"/>
  <c r="AQ820" i="2"/>
  <c r="AH820" i="2" s="1"/>
  <c r="AC780" i="2"/>
  <c r="AQ780" i="2"/>
  <c r="AH780" i="2" s="1"/>
  <c r="AQ781" i="2"/>
  <c r="AH781" i="2" s="1"/>
  <c r="AE794" i="2"/>
  <c r="AQ794" i="2"/>
  <c r="AH794" i="2" s="1"/>
  <c r="AQ813" i="2"/>
  <c r="AH813" i="2" s="1"/>
  <c r="AC805" i="2"/>
  <c r="AQ805" i="2"/>
  <c r="AH805" i="2" s="1"/>
  <c r="AQ828" i="2"/>
  <c r="AH828" i="2" s="1"/>
  <c r="AQ832" i="2"/>
  <c r="AH832" i="2" s="1"/>
  <c r="AQ836" i="2"/>
  <c r="AH836" i="2" s="1"/>
  <c r="AQ840" i="2"/>
  <c r="AH840" i="2" s="1"/>
  <c r="AQ844" i="2"/>
  <c r="AH844" i="2" s="1"/>
  <c r="AD861" i="2"/>
  <c r="AQ861" i="2"/>
  <c r="AH861" i="2" s="1"/>
  <c r="AD808" i="2"/>
  <c r="AQ775" i="2"/>
  <c r="AH775" i="2" s="1"/>
  <c r="AQ791" i="2"/>
  <c r="AH791" i="2" s="1"/>
  <c r="AQ819" i="2"/>
  <c r="AH819" i="2" s="1"/>
  <c r="AQ823" i="2"/>
  <c r="AH823" i="2" s="1"/>
  <c r="AQ827" i="2"/>
  <c r="AH827" i="2" s="1"/>
  <c r="AQ831" i="2"/>
  <c r="AH831" i="2" s="1"/>
  <c r="AQ835" i="2"/>
  <c r="AH835" i="2" s="1"/>
  <c r="AQ839" i="2"/>
  <c r="AH839" i="2" s="1"/>
  <c r="AQ843" i="2"/>
  <c r="AH843" i="2" s="1"/>
  <c r="AQ847" i="2"/>
  <c r="AH847" i="2" s="1"/>
  <c r="AF854" i="2"/>
  <c r="AQ854" i="2"/>
  <c r="AH854" i="2" s="1"/>
  <c r="AQ774" i="2"/>
  <c r="AH774" i="2" s="1"/>
  <c r="AQ790" i="2"/>
  <c r="AH790" i="2" s="1"/>
  <c r="AG881" i="2"/>
  <c r="AQ881" i="2"/>
  <c r="AH881" i="2" s="1"/>
  <c r="AQ804" i="2"/>
  <c r="AH804" i="2" s="1"/>
  <c r="AQ850" i="2"/>
  <c r="AH850" i="2" s="1"/>
  <c r="AQ755" i="2"/>
  <c r="AH755" i="2" s="1"/>
  <c r="AQ771" i="2"/>
  <c r="AH771" i="2" s="1"/>
  <c r="AQ822" i="2"/>
  <c r="AH822" i="2" s="1"/>
  <c r="AQ826" i="2"/>
  <c r="AH826" i="2" s="1"/>
  <c r="AQ830" i="2"/>
  <c r="AH830" i="2" s="1"/>
  <c r="AQ834" i="2"/>
  <c r="AH834" i="2" s="1"/>
  <c r="AQ803" i="2"/>
  <c r="AH803" i="2" s="1"/>
  <c r="AQ853" i="2"/>
  <c r="AH853" i="2" s="1"/>
  <c r="AC807" i="2"/>
  <c r="AQ807" i="2"/>
  <c r="AH807" i="2" s="1"/>
  <c r="AQ849" i="2"/>
  <c r="AH849" i="2" s="1"/>
  <c r="AQ817" i="2"/>
  <c r="AH817" i="2" s="1"/>
  <c r="AQ821" i="2"/>
  <c r="AH821" i="2" s="1"/>
  <c r="AQ825" i="2"/>
  <c r="AH825" i="2" s="1"/>
  <c r="AQ829" i="2"/>
  <c r="AH829" i="2" s="1"/>
  <c r="AQ833" i="2"/>
  <c r="AH833" i="2" s="1"/>
  <c r="AQ837" i="2"/>
  <c r="AH837" i="2" s="1"/>
  <c r="AQ841" i="2"/>
  <c r="AH841" i="2" s="1"/>
  <c r="AQ845" i="2"/>
  <c r="AH845" i="2" s="1"/>
  <c r="AD869" i="2"/>
  <c r="AQ869" i="2"/>
  <c r="AH869" i="2" s="1"/>
  <c r="AQ862" i="2"/>
  <c r="AH862" i="2" s="1"/>
  <c r="AQ870" i="2"/>
  <c r="AH870" i="2" s="1"/>
  <c r="AG873" i="2"/>
  <c r="AQ875" i="2"/>
  <c r="AH875" i="2" s="1"/>
  <c r="AQ885" i="2"/>
  <c r="AH885" i="2" s="1"/>
  <c r="AQ880" i="2"/>
  <c r="AH880" i="2" s="1"/>
  <c r="AG883" i="2"/>
  <c r="AQ860" i="2"/>
  <c r="AH860" i="2" s="1"/>
  <c r="AQ868" i="2"/>
  <c r="AH868" i="2" s="1"/>
  <c r="AQ874" i="2"/>
  <c r="AH874" i="2" s="1"/>
  <c r="AQ879" i="2"/>
  <c r="AH879" i="2" s="1"/>
  <c r="AQ859" i="2"/>
  <c r="AH859" i="2" s="1"/>
  <c r="AQ858" i="2"/>
  <c r="AH858" i="2" s="1"/>
  <c r="AQ866" i="2"/>
  <c r="AH866" i="2" s="1"/>
  <c r="AQ878" i="2"/>
  <c r="AH878" i="2" s="1"/>
  <c r="AQ887" i="2"/>
  <c r="AH887" i="2" s="1"/>
  <c r="AQ857" i="2"/>
  <c r="AH857" i="2" s="1"/>
  <c r="AQ865" i="2"/>
  <c r="AH865" i="2" s="1"/>
  <c r="AQ872" i="2"/>
  <c r="AH872" i="2" s="1"/>
  <c r="AQ882" i="2"/>
  <c r="AH882" i="2" s="1"/>
  <c r="AQ848" i="2"/>
  <c r="AH848" i="2" s="1"/>
  <c r="AQ856" i="2"/>
  <c r="AH856" i="2" s="1"/>
  <c r="AQ864" i="2"/>
  <c r="AH864" i="2" s="1"/>
  <c r="AQ871" i="2"/>
  <c r="AH871" i="2" s="1"/>
  <c r="AC88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taco</author>
  </authors>
  <commentList>
    <comment ref="BR12" authorId="0" shapeId="0" xr:uid="{091333BE-4E46-4306-8FE1-E8B8C3524882}">
      <text>
        <r>
          <rPr>
            <b/>
            <sz val="9"/>
            <color indexed="81"/>
            <rFont val="細明體"/>
            <family val="3"/>
            <charset val="136"/>
          </rPr>
          <t>與</t>
        </r>
        <r>
          <rPr>
            <b/>
            <sz val="9"/>
            <color indexed="81"/>
            <rFont val="Tahoma"/>
            <family val="2"/>
          </rPr>
          <t>NACE</t>
        </r>
        <r>
          <rPr>
            <b/>
            <sz val="9"/>
            <color indexed="81"/>
            <rFont val="細明體"/>
            <family val="3"/>
            <charset val="136"/>
          </rPr>
          <t>共用</t>
        </r>
      </text>
    </comment>
    <comment ref="AI671" authorId="0" shapeId="0" xr:uid="{AA3C50DE-24DA-4A52-A79F-43EA41C889A4}">
      <text>
        <r>
          <rPr>
            <b/>
            <sz val="9"/>
            <color indexed="81"/>
            <rFont val="細明體"/>
            <family val="3"/>
            <charset val="136"/>
          </rPr>
          <t>只領需求量</t>
        </r>
      </text>
    </comment>
  </commentList>
</comments>
</file>

<file path=xl/sharedStrings.xml><?xml version="1.0" encoding="utf-8"?>
<sst xmlns="http://schemas.openxmlformats.org/spreadsheetml/2006/main" count="10590" uniqueCount="1577">
  <si>
    <t>範圍(NEW)</t>
  </si>
  <si>
    <t>(全部)</t>
  </si>
  <si>
    <t>DWG_NO</t>
  </si>
  <si>
    <t>管線材質</t>
  </si>
  <si>
    <t>ORDER_SEQ</t>
  </si>
  <si>
    <t>SIZE1</t>
  </si>
  <si>
    <t>SIZE2</t>
  </si>
  <si>
    <t>SCH1</t>
  </si>
  <si>
    <t>SCH2</t>
  </si>
  <si>
    <t>SIZE_LAYOUT</t>
  </si>
  <si>
    <t>厚度</t>
  </si>
  <si>
    <t>UNIT</t>
  </si>
  <si>
    <t>IDENT_CODE</t>
  </si>
  <si>
    <t>用料時機</t>
  </si>
  <si>
    <t>採購量</t>
  </si>
  <si>
    <t>可領用量</t>
  </si>
  <si>
    <t>合計</t>
  </si>
  <si>
    <t>碳鋼</t>
  </si>
  <si>
    <t xml:space="preserve">PIPE SMLS BE CS A106-B  ASME   </t>
  </si>
  <si>
    <t xml:space="preserve"> </t>
  </si>
  <si>
    <t>S-40</t>
  </si>
  <si>
    <t>8" S-40</t>
  </si>
  <si>
    <t>M</t>
  </si>
  <si>
    <t>P24567</t>
  </si>
  <si>
    <t>預製</t>
  </si>
  <si>
    <t>S-80</t>
  </si>
  <si>
    <t>8" S-80</t>
  </si>
  <si>
    <t>P24511</t>
  </si>
  <si>
    <t>6" S-40</t>
  </si>
  <si>
    <t>P24568</t>
  </si>
  <si>
    <t>4" S-40</t>
  </si>
  <si>
    <t>P24570</t>
  </si>
  <si>
    <t>3" S-40</t>
  </si>
  <si>
    <t>P24571</t>
  </si>
  <si>
    <t>2" S-80</t>
  </si>
  <si>
    <t>PIPE SMLS BE CS A106-B  ASME  NACE</t>
  </si>
  <si>
    <t>STD</t>
  </si>
  <si>
    <t>20" STD</t>
  </si>
  <si>
    <t>P210038</t>
  </si>
  <si>
    <t>16" STD</t>
  </si>
  <si>
    <t>P105222</t>
  </si>
  <si>
    <t>S-160</t>
  </si>
  <si>
    <t>6" S-160</t>
  </si>
  <si>
    <t>P47531</t>
  </si>
  <si>
    <t>P211749</t>
  </si>
  <si>
    <t>S-120</t>
  </si>
  <si>
    <t>4" S-120</t>
  </si>
  <si>
    <t>P100758</t>
  </si>
  <si>
    <t>4" S-160</t>
  </si>
  <si>
    <t>P46905</t>
  </si>
  <si>
    <t>P211707</t>
  </si>
  <si>
    <t>3" S-160</t>
  </si>
  <si>
    <t>P46863</t>
  </si>
  <si>
    <t>P211677</t>
  </si>
  <si>
    <t>2" S-160</t>
  </si>
  <si>
    <t>P98370</t>
  </si>
  <si>
    <t>P75659</t>
  </si>
  <si>
    <t>1-1/2" S-160</t>
  </si>
  <si>
    <t>P64172</t>
  </si>
  <si>
    <t>1" S-160</t>
  </si>
  <si>
    <t>P64128</t>
  </si>
  <si>
    <t>3/4" S-160</t>
  </si>
  <si>
    <t>P64100</t>
  </si>
  <si>
    <t>XXS</t>
  </si>
  <si>
    <t>3/4" XXS</t>
  </si>
  <si>
    <t>P72847</t>
  </si>
  <si>
    <t>1/2" S-160</t>
  </si>
  <si>
    <t>P64075</t>
  </si>
  <si>
    <t>PIPE SMLS BE CS A106-B  ASME  NACE(IMPACT TEST at -1 DEG. C)</t>
  </si>
  <si>
    <t>S-140</t>
  </si>
  <si>
    <t>8" S-140</t>
  </si>
  <si>
    <t>P44818</t>
  </si>
  <si>
    <t xml:space="preserve">PIPE SMLS PE CS A106-B  ASME   </t>
  </si>
  <si>
    <t>1-1/2" S-80</t>
  </si>
  <si>
    <t>P24908</t>
  </si>
  <si>
    <t>P24900</t>
  </si>
  <si>
    <t>1" S-80</t>
  </si>
  <si>
    <t>P24910</t>
  </si>
  <si>
    <t>3/4" S-80</t>
  </si>
  <si>
    <t>P24911</t>
  </si>
  <si>
    <t>P24902</t>
  </si>
  <si>
    <t>1/2" S-80</t>
  </si>
  <si>
    <t>P24912</t>
  </si>
  <si>
    <t>PIPE SMLS PE CS A106-B  ASME  NACE</t>
  </si>
  <si>
    <t>P76243</t>
  </si>
  <si>
    <t>P98428</t>
  </si>
  <si>
    <t>P76202</t>
  </si>
  <si>
    <t>P104959</t>
  </si>
  <si>
    <t>P76177</t>
  </si>
  <si>
    <t>P76153</t>
  </si>
  <si>
    <t xml:space="preserve">PIPE NIPPLE SMLS PE/ TE CS A106-B L=100MM(4") ASME   </t>
  </si>
  <si>
    <t>PC</t>
  </si>
  <si>
    <t>P48804</t>
  </si>
  <si>
    <t xml:space="preserve">PIPE NIPPLE SMLS PE/ TE CS A106-B L=75MM (3") ASME   </t>
  </si>
  <si>
    <t>P38041</t>
  </si>
  <si>
    <t>P08425</t>
  </si>
  <si>
    <t>PIPE NIPPLE SMLS TBE CS A106-B L=75MM (3") ASME  NACE</t>
  </si>
  <si>
    <t>P55325</t>
  </si>
  <si>
    <t xml:space="preserve">45 ELBOW CL3000 SW CS A105  ASME   </t>
  </si>
  <si>
    <t>1-1/2"</t>
  </si>
  <si>
    <t>N00369</t>
  </si>
  <si>
    <t>1"</t>
  </si>
  <si>
    <t>N00368</t>
  </si>
  <si>
    <t>3/4"</t>
  </si>
  <si>
    <t>N00367</t>
  </si>
  <si>
    <t>1/2"</t>
  </si>
  <si>
    <t>N00366</t>
  </si>
  <si>
    <t>45 ELBOW CL3000 SW CS A105  ASME  NACE</t>
  </si>
  <si>
    <t>N195579</t>
  </si>
  <si>
    <t xml:space="preserve">45 ELBOW SMLS BW CS A234-WPB  ASME   </t>
  </si>
  <si>
    <t>N03198</t>
  </si>
  <si>
    <t>N03235</t>
  </si>
  <si>
    <t>N03237</t>
  </si>
  <si>
    <t>N03238</t>
  </si>
  <si>
    <t>45 ELBOW SMLS BW CS A234-WPB  ASME  NACE</t>
  </si>
  <si>
    <t>N48090</t>
  </si>
  <si>
    <t>N214200</t>
  </si>
  <si>
    <t>N147272</t>
  </si>
  <si>
    <t>N214158</t>
  </si>
  <si>
    <t>N121689</t>
  </si>
  <si>
    <t>N119063</t>
  </si>
  <si>
    <t>N89655</t>
  </si>
  <si>
    <t>N103553</t>
  </si>
  <si>
    <t xml:space="preserve">90 ELBOW CL3000 SW CS A105  ASME   </t>
  </si>
  <si>
    <t>N00373</t>
  </si>
  <si>
    <t>N00372</t>
  </si>
  <si>
    <t>N00371</t>
  </si>
  <si>
    <t>90 ELBOW CL3000 SW CS A105  ASME  NACE</t>
  </si>
  <si>
    <t>N195584</t>
  </si>
  <si>
    <t>N195582</t>
  </si>
  <si>
    <t>N195581</t>
  </si>
  <si>
    <t xml:space="preserve">90 ELBOW CL6000 SW CS A105  ASME   </t>
  </si>
  <si>
    <t>N01247</t>
  </si>
  <si>
    <t>90 ELBOW CL6000 SW CS A105  ASME  NACE</t>
  </si>
  <si>
    <t>N126021</t>
  </si>
  <si>
    <t xml:space="preserve">90 ELBOW SMLS BW CS A234-WPB  ASME   </t>
  </si>
  <si>
    <t>N02014</t>
  </si>
  <si>
    <t>N02015</t>
  </si>
  <si>
    <t>N02017</t>
  </si>
  <si>
    <t>N02018</t>
  </si>
  <si>
    <t>N01981</t>
  </si>
  <si>
    <t>90 ELBOW SMLS BW CS A234-WPB  ASME  NACE</t>
  </si>
  <si>
    <t>N35505</t>
  </si>
  <si>
    <t>N215112</t>
  </si>
  <si>
    <t>N147835</t>
  </si>
  <si>
    <t>N215070</t>
  </si>
  <si>
    <t>N215040</t>
  </si>
  <si>
    <t>N121978</t>
  </si>
  <si>
    <t>N119562</t>
  </si>
  <si>
    <t>N90466</t>
  </si>
  <si>
    <t>N104540</t>
  </si>
  <si>
    <t>N90413</t>
  </si>
  <si>
    <t>90 ELBOW SMLS BW CS A234-WPB  ASME  NACE(IMPACT TEST at -1 DEG. C)</t>
  </si>
  <si>
    <t>N75555</t>
  </si>
  <si>
    <t xml:space="preserve">TEE CL3000 SW CS A105  ASME   </t>
  </si>
  <si>
    <t>S00121</t>
  </si>
  <si>
    <t>S00120</t>
  </si>
  <si>
    <t>S00119</t>
  </si>
  <si>
    <t>TEE CL3000 SW CS A105  ASME  NACE</t>
  </si>
  <si>
    <t>S298005</t>
  </si>
  <si>
    <t>S298003</t>
  </si>
  <si>
    <t>TEE CL6000 SW CS A105  ASME  NACE</t>
  </si>
  <si>
    <t>S195631</t>
  </si>
  <si>
    <t xml:space="preserve">TEE SMLS BW CS A234-WPB  ASME   </t>
  </si>
  <si>
    <t>S06651</t>
  </si>
  <si>
    <t>S06650</t>
  </si>
  <si>
    <t>S06648</t>
  </si>
  <si>
    <t>S06647</t>
  </si>
  <si>
    <t>S06685</t>
  </si>
  <si>
    <t>TEE SMLS BW CS A234-WPB  ASME  NACE</t>
  </si>
  <si>
    <t>S157818</t>
  </si>
  <si>
    <t>S155393</t>
  </si>
  <si>
    <t>S126430</t>
  </si>
  <si>
    <t>S196758</t>
  </si>
  <si>
    <t xml:space="preserve">REDU. TEE CL3000 SW CS A105  ASME   </t>
  </si>
  <si>
    <t>1-1/2" X 3/4"</t>
  </si>
  <si>
    <t>R01455</t>
  </si>
  <si>
    <t>1-1/2" X 1"</t>
  </si>
  <si>
    <t>R01456</t>
  </si>
  <si>
    <t>1" X 3/4"</t>
  </si>
  <si>
    <t>R01452</t>
  </si>
  <si>
    <t>REDU. TEE CL3000 SW CS A105  ASME  NACE</t>
  </si>
  <si>
    <t>R7198466</t>
  </si>
  <si>
    <t xml:space="preserve">REDU. TEE SMLS BW CS A234-WPB  ASME   </t>
  </si>
  <si>
    <t>8" S-40 X 4" S-40</t>
  </si>
  <si>
    <t>R25994</t>
  </si>
  <si>
    <t>6" S-40 X 4" S-40</t>
  </si>
  <si>
    <t>R25992</t>
  </si>
  <si>
    <t>4" S-40 X 2" S-80</t>
  </si>
  <si>
    <t>R26196</t>
  </si>
  <si>
    <t>3" S-40 X 1-1/2" S-80</t>
  </si>
  <si>
    <t>R26193</t>
  </si>
  <si>
    <t>2" S-80 X 1-1/2" S-80</t>
  </si>
  <si>
    <t>R25546</t>
  </si>
  <si>
    <t>2" S-80 X 1" S-80</t>
  </si>
  <si>
    <t>R25544</t>
  </si>
  <si>
    <t>REDU. TEE SMLS BW CS A234-WPB  ASME  NACE</t>
  </si>
  <si>
    <t>6" S-160 X 4" S-120</t>
  </si>
  <si>
    <t>R855390</t>
  </si>
  <si>
    <t>1" S-160 X 3/4" S-160</t>
  </si>
  <si>
    <t>R441276</t>
  </si>
  <si>
    <t>REDU. TEE SMLS BW CS A234-WPB  ASME  NACE(IMPACT TEST at -1 DEG. C)</t>
  </si>
  <si>
    <t>8" S-140 X 4" S-120</t>
  </si>
  <si>
    <t>R752682</t>
  </si>
  <si>
    <t>8" S-140 X 6" S-160</t>
  </si>
  <si>
    <t>R458994</t>
  </si>
  <si>
    <t xml:space="preserve">HALF COUPLING CL3000 SW CS A105  ASME   </t>
  </si>
  <si>
    <t>S00166</t>
  </si>
  <si>
    <t xml:space="preserve">SOCKOLET CL3000 SW CS A105  MSS   </t>
  </si>
  <si>
    <t>8" X 3/4"</t>
  </si>
  <si>
    <t>S07382</t>
  </si>
  <si>
    <t>8" X 1-1/2"</t>
  </si>
  <si>
    <t>S07380</t>
  </si>
  <si>
    <t>8" X 1"</t>
  </si>
  <si>
    <t>S07381</t>
  </si>
  <si>
    <t>6" X 3/4"</t>
  </si>
  <si>
    <t>S07387</t>
  </si>
  <si>
    <t>6" X 1-1/2"</t>
  </si>
  <si>
    <t>S07385</t>
  </si>
  <si>
    <t>6" X 1"</t>
  </si>
  <si>
    <t>S07386</t>
  </si>
  <si>
    <t>4" X 3/4"</t>
  </si>
  <si>
    <t>S07397</t>
  </si>
  <si>
    <t>4" X 1-1/2"</t>
  </si>
  <si>
    <t>S07395</t>
  </si>
  <si>
    <t>4" X 1"</t>
  </si>
  <si>
    <t>S07396</t>
  </si>
  <si>
    <t>3" X 3/4"</t>
  </si>
  <si>
    <t>S07402</t>
  </si>
  <si>
    <t>3" X 1"</t>
  </si>
  <si>
    <t>S07401</t>
  </si>
  <si>
    <t>2" X 3/4"</t>
  </si>
  <si>
    <t>S07411</t>
  </si>
  <si>
    <t>SOCKOLET CL3000 SW CS A105  MSS  NACE</t>
  </si>
  <si>
    <t>S297972</t>
  </si>
  <si>
    <t xml:space="preserve">THREDOLET CL3000 FNPT CS A105  MSS   </t>
  </si>
  <si>
    <t>N06732</t>
  </si>
  <si>
    <t>N06742</t>
  </si>
  <si>
    <t>N06747</t>
  </si>
  <si>
    <t>N06756</t>
  </si>
  <si>
    <t xml:space="preserve">WELDOLET  BW CS A105  MSS   </t>
  </si>
  <si>
    <t>6" S-40 X 2" S-80</t>
  </si>
  <si>
    <t>R22455</t>
  </si>
  <si>
    <t>WELDOLET  BW CS A105  MSS  NACE</t>
  </si>
  <si>
    <t>8" S-140 X 1-1/2" S-160</t>
  </si>
  <si>
    <t>R735698</t>
  </si>
  <si>
    <t>8" S-140 X 1" S-160</t>
  </si>
  <si>
    <t>R735594</t>
  </si>
  <si>
    <t>6" S-160 X 1" S-160</t>
  </si>
  <si>
    <t>R735118</t>
  </si>
  <si>
    <t>4" S-120 X 1" S-160</t>
  </si>
  <si>
    <t>R478135</t>
  </si>
  <si>
    <t xml:space="preserve">FULL COUPLING CL3000 SW CS A105  ASME   </t>
  </si>
  <si>
    <t>S00044</t>
  </si>
  <si>
    <t>S00045</t>
  </si>
  <si>
    <t>S00046</t>
  </si>
  <si>
    <t>S00047</t>
  </si>
  <si>
    <t>FULL COUPLING CL3000 SW CS A105  ASME  NACE</t>
  </si>
  <si>
    <t>S298015</t>
  </si>
  <si>
    <t>S298011</t>
  </si>
  <si>
    <t xml:space="preserve">FULL COUPLING CL6000 SW CS A105  ASME   </t>
  </si>
  <si>
    <t>S01530</t>
  </si>
  <si>
    <t>FULL COUPLING CL6000 SW CS A105  ASME  NACE</t>
  </si>
  <si>
    <t>S198141</t>
  </si>
  <si>
    <t xml:space="preserve">CONC. REDU. COUPLING CL3000 SW CS A105  ASME   </t>
  </si>
  <si>
    <t>1" X 1/2"</t>
  </si>
  <si>
    <t>R00328</t>
  </si>
  <si>
    <t>R00329</t>
  </si>
  <si>
    <t>CONC. REDU. COUPLING CL3000 SW CS A105  ASME  NACE</t>
  </si>
  <si>
    <t>R7198469</t>
  </si>
  <si>
    <t>CONC. REDU. COUPLING CL6000 SW CS A105  ASME  NACE</t>
  </si>
  <si>
    <t>R6663892</t>
  </si>
  <si>
    <t xml:space="preserve">CONC. SWAGE NIPPLE  BLE/ PSE CS A234-WPB  MSS   </t>
  </si>
  <si>
    <t>S01888</t>
  </si>
  <si>
    <t>CONC. SWAGE NIPPLE  BLE/ PSE CS A234-WPB  MSS  NACE</t>
  </si>
  <si>
    <t>S157016</t>
  </si>
  <si>
    <t xml:space="preserve">CONC. SWAGE NIPPLE  PBE CS A234-WPB  MSS   </t>
  </si>
  <si>
    <t>1-1/2" S-80 X 3/4" S-80</t>
  </si>
  <si>
    <t>1" S-80 X 1/2" S-80</t>
  </si>
  <si>
    <t>S01276</t>
  </si>
  <si>
    <t>1" S-80 X 3/4" S-80</t>
  </si>
  <si>
    <t>S01274</t>
  </si>
  <si>
    <t>CONC. SWAGE NIPPLE  PBE CS A234-WPB  MSS  NACE</t>
  </si>
  <si>
    <t>1-1/2" S-80 X 1" S-80</t>
  </si>
  <si>
    <t>S156121</t>
  </si>
  <si>
    <t xml:space="preserve">ECC. SWAGE NIPPLE  BLE/ PSE CS A234-WPB  MSS   </t>
  </si>
  <si>
    <t>3" S-40 X 1" S-80</t>
  </si>
  <si>
    <t>S11360</t>
  </si>
  <si>
    <t>2" S-80 X 3/4" S-80</t>
  </si>
  <si>
    <t>S04843</t>
  </si>
  <si>
    <t>S04842</t>
  </si>
  <si>
    <t>ECC. SWAGE NIPPLE  BLE/ PSE CS A234-WPB  MSS  NACE</t>
  </si>
  <si>
    <t>2" S-160 X 1" S-160</t>
  </si>
  <si>
    <t>S158996</t>
  </si>
  <si>
    <t xml:space="preserve">ECC. SWAGE NIPPLE  PBE CS A234-WPB  MSS   </t>
  </si>
  <si>
    <t>1-1/2" S-80 X 1/2" S-80</t>
  </si>
  <si>
    <t>S03709</t>
  </si>
  <si>
    <t>S03708</t>
  </si>
  <si>
    <t>S03712</t>
  </si>
  <si>
    <t>S03711</t>
  </si>
  <si>
    <t xml:space="preserve">CONC. REDUCER SMLS BW CS A234-WPB  ASME   </t>
  </si>
  <si>
    <t>R16291</t>
  </si>
  <si>
    <t>6" S-40 X 3" S-40</t>
  </si>
  <si>
    <t>R16288</t>
  </si>
  <si>
    <t>3" S-40 X 2" S-80</t>
  </si>
  <si>
    <t>R16329</t>
  </si>
  <si>
    <t>CONC. REDUCER SMLS BW CS A234-WPB  ASME  NACE</t>
  </si>
  <si>
    <t>R341360</t>
  </si>
  <si>
    <t>1" S-160 X 1/2" S-160</t>
  </si>
  <si>
    <t>R442217</t>
  </si>
  <si>
    <t>R442245</t>
  </si>
  <si>
    <t xml:space="preserve">ECC. REDUCER SMLS BW CS A234-WPB  ASME   </t>
  </si>
  <si>
    <t>R09708</t>
  </si>
  <si>
    <t>4" S-40 X 3" S-40</t>
  </si>
  <si>
    <t>R09715</t>
  </si>
  <si>
    <t>R09668</t>
  </si>
  <si>
    <t>ECC. REDUCER SMLS BW CS A234-WPB  ASME  NACE</t>
  </si>
  <si>
    <t>4" S-120 X 2" S-160</t>
  </si>
  <si>
    <t>R630900</t>
  </si>
  <si>
    <t>4" S-120 X 3" S-160</t>
  </si>
  <si>
    <t>R1024975</t>
  </si>
  <si>
    <t>R345330</t>
  </si>
  <si>
    <t>ECC. REDUCER SMLS BW CS A234-WPB  ASME  NACE(IMPACT TEST at -1 DEG. C)</t>
  </si>
  <si>
    <t>R692845</t>
  </si>
  <si>
    <t xml:space="preserve">PLUG  MNPT CS A105 RD HD ASME   </t>
  </si>
  <si>
    <t>N00425</t>
  </si>
  <si>
    <t>N00424</t>
  </si>
  <si>
    <t xml:space="preserve">CAP CL3000 FNPT CS A105  ASME   </t>
  </si>
  <si>
    <t>N00086</t>
  </si>
  <si>
    <t>N00088</t>
  </si>
  <si>
    <t>CAP CL3000 FNPT CS A105  ASME  NACE</t>
  </si>
  <si>
    <t>N195622</t>
  </si>
  <si>
    <t xml:space="preserve">BLIND FLANGE CL150 RF CS A105  ASME   </t>
  </si>
  <si>
    <t>10"</t>
  </si>
  <si>
    <t>F00364</t>
  </si>
  <si>
    <t>安裝</t>
  </si>
  <si>
    <t>4"</t>
  </si>
  <si>
    <t>F00374</t>
  </si>
  <si>
    <t>3"</t>
  </si>
  <si>
    <t>F00373</t>
  </si>
  <si>
    <t>2"</t>
  </si>
  <si>
    <t>F00369</t>
  </si>
  <si>
    <t>F00363</t>
  </si>
  <si>
    <t>BLIND FLANGE CL1500 RJ CS A105  ASME  NACE(IMPACT TEST at -1 DEG. C)</t>
  </si>
  <si>
    <t>F204821</t>
  </si>
  <si>
    <t>BLIND FLANGE CL2500 RJ CS A105  ASME  NACE(IMPACT TEST at -1 DEG. C)</t>
  </si>
  <si>
    <t>F59038</t>
  </si>
  <si>
    <t xml:space="preserve">BLIND FLANGE CL300 RF CS A105  ASME   </t>
  </si>
  <si>
    <t>8"</t>
  </si>
  <si>
    <t>F01113</t>
  </si>
  <si>
    <t>F01118</t>
  </si>
  <si>
    <t>F01123</t>
  </si>
  <si>
    <t xml:space="preserve">SW FLANGE CL150 RF CS A105  ASME   </t>
  </si>
  <si>
    <t>F06075</t>
  </si>
  <si>
    <t>F07042</t>
  </si>
  <si>
    <t>F06073</t>
  </si>
  <si>
    <t>F06072</t>
  </si>
  <si>
    <t>F06071</t>
  </si>
  <si>
    <t>SW FLANGE CL150 RF CS A105  ASME  NACE</t>
  </si>
  <si>
    <t>F60065</t>
  </si>
  <si>
    <t>F145771</t>
  </si>
  <si>
    <t>F60026</t>
  </si>
  <si>
    <t xml:space="preserve">SW FLANGE CL2500 RJ CS A105  ASME   </t>
  </si>
  <si>
    <t>F14988</t>
  </si>
  <si>
    <t>F130601</t>
  </si>
  <si>
    <t xml:space="preserve">SW FLANGE CL300 RF CS A105  ASME   </t>
  </si>
  <si>
    <t>F04169</t>
  </si>
  <si>
    <t>F04167</t>
  </si>
  <si>
    <t>F04166</t>
  </si>
  <si>
    <t>F04165</t>
  </si>
  <si>
    <t>SW FLANGE CL300 RF CS A105  ASME  NACE</t>
  </si>
  <si>
    <t>F135941</t>
  </si>
  <si>
    <t>F60691</t>
  </si>
  <si>
    <t xml:space="preserve">WN FLANGE CL150 RF CS A105  ASME   </t>
  </si>
  <si>
    <t>10" S-40</t>
  </si>
  <si>
    <t>F03918</t>
  </si>
  <si>
    <t>F03917</t>
  </si>
  <si>
    <t>F03916</t>
  </si>
  <si>
    <t>F03914</t>
  </si>
  <si>
    <t>F03913</t>
  </si>
  <si>
    <t>F03960</t>
  </si>
  <si>
    <t>WN FLANGE CL150 RF CS A105  ASME  NACE</t>
  </si>
  <si>
    <t>F127855</t>
  </si>
  <si>
    <t>F145586</t>
  </si>
  <si>
    <t>F60336</t>
  </si>
  <si>
    <t>WN FLANGE CL1500 RJ CS A105  ASME  NACE</t>
  </si>
  <si>
    <t>F134020</t>
  </si>
  <si>
    <t>F231451</t>
  </si>
  <si>
    <t>F61352</t>
  </si>
  <si>
    <t xml:space="preserve">WN FLANGE CL2500 RJ CS A105  ASME   </t>
  </si>
  <si>
    <t>F61747</t>
  </si>
  <si>
    <t>F90144</t>
  </si>
  <si>
    <t>F70343</t>
  </si>
  <si>
    <t>WN FLANGE CL2500 RJ CS A105  ASME  NACE</t>
  </si>
  <si>
    <t>F59521</t>
  </si>
  <si>
    <t>F108500</t>
  </si>
  <si>
    <t>F108430</t>
  </si>
  <si>
    <t>F108390</t>
  </si>
  <si>
    <t>F108291</t>
  </si>
  <si>
    <t>F108253</t>
  </si>
  <si>
    <t>F108219</t>
  </si>
  <si>
    <t xml:space="preserve">WN FLANGE CL300 RF CS A105  ASME   </t>
  </si>
  <si>
    <t>F05076</t>
  </si>
  <si>
    <t>F05075</t>
  </si>
  <si>
    <t>F05073</t>
  </si>
  <si>
    <t>F05072</t>
  </si>
  <si>
    <t>F05089</t>
  </si>
  <si>
    <t>WN FLANGE CL300 RF CS A105  ASME  NACE</t>
  </si>
  <si>
    <t>F127317</t>
  </si>
  <si>
    <t>F61015</t>
  </si>
  <si>
    <t xml:space="preserve">WN FLANGE CL600 RF CS A105  ASME   </t>
  </si>
  <si>
    <t>F02962</t>
  </si>
  <si>
    <t>ORIFICE WN FLANGE CL1500 RJ CS A105 W/ 3/4" SW TAPS ASME  NACE</t>
  </si>
  <si>
    <t>PAIR</t>
  </si>
  <si>
    <t>F199064</t>
  </si>
  <si>
    <t>ORIFICE WN FLANGE CL2500 RJ CS A105 W/ 1/2" SW TAPS ASME  NACE(IMPACT TEST at -1 DEG. C)</t>
  </si>
  <si>
    <t>F140280</t>
  </si>
  <si>
    <t xml:space="preserve">ORIFICE WN FLANGE CL300 RF CS A105 W/ 1/2" FNPT TAPS ASME   </t>
  </si>
  <si>
    <t>F02622</t>
  </si>
  <si>
    <t>F02652</t>
  </si>
  <si>
    <t>F02654</t>
  </si>
  <si>
    <t>F02655</t>
  </si>
  <si>
    <t>ORIFICE WN FLANGE CL300 RF CS A105 W/ 1/2" FNPT TAPS ASME  NACE</t>
  </si>
  <si>
    <t>F129389</t>
  </si>
  <si>
    <t>F61903</t>
  </si>
  <si>
    <t xml:space="preserve">SPECTACLE BLIND CL150 RF CS A516-70  JOB STD   </t>
  </si>
  <si>
    <t>G03400</t>
  </si>
  <si>
    <t>G03399</t>
  </si>
  <si>
    <t>SPECTACLE BLIND CL150 RF CS A516-70  JOB STD  NACE</t>
  </si>
  <si>
    <t>G200516</t>
  </si>
  <si>
    <t>G200513</t>
  </si>
  <si>
    <t>SPECTACLE BLIND CL1500 RJ CS A516-60  JOB STD  NACE(IMPACT TEST at -1 DEG. C)</t>
  </si>
  <si>
    <t>G831795</t>
  </si>
  <si>
    <t>SPECTACLE BLIND CL1500 RJ CS A516-70  JOB STD  NACE</t>
  </si>
  <si>
    <t>G348942</t>
  </si>
  <si>
    <t xml:space="preserve">SPECTACLE BLIND CL300 RF CS A516-70  JOB STD   </t>
  </si>
  <si>
    <t>G04649</t>
  </si>
  <si>
    <t>G04656</t>
  </si>
  <si>
    <t xml:space="preserve">BLANK &amp; SPACER CL300 RF CS A516-70  JOB STD   </t>
  </si>
  <si>
    <t>G11136</t>
  </si>
  <si>
    <t xml:space="preserve">GASKET CL150 RF SP-WD SS304 &amp; FIL-FLEX-GRAPH O.R-CS  ASME  4.5MM(3/16") THCK  </t>
  </si>
  <si>
    <t>G09348</t>
  </si>
  <si>
    <t>G09333</t>
  </si>
  <si>
    <t>6"</t>
  </si>
  <si>
    <t>G09334</t>
  </si>
  <si>
    <t>G09336</t>
  </si>
  <si>
    <t>G09338</t>
  </si>
  <si>
    <t>G09343</t>
  </si>
  <si>
    <t>G09349</t>
  </si>
  <si>
    <t>G09351</t>
  </si>
  <si>
    <t>G09352</t>
  </si>
  <si>
    <t>G09353</t>
  </si>
  <si>
    <t xml:space="preserve">GASKET CL150 RF SP-WD SS316 &amp; FIL-FLEX-GRAPH O.R-CS  ASME  4.5MM(3/16") THCK  </t>
  </si>
  <si>
    <t>G34915</t>
  </si>
  <si>
    <t>G34912</t>
  </si>
  <si>
    <t>G34909</t>
  </si>
  <si>
    <t>G34907</t>
  </si>
  <si>
    <t xml:space="preserve">GASKET CL1500 RJ OCT-R SOFT IRON  ASME    </t>
  </si>
  <si>
    <t>G13727</t>
  </si>
  <si>
    <t>G13733</t>
  </si>
  <si>
    <t>G13734</t>
  </si>
  <si>
    <t xml:space="preserve">GASKET CL2500 RJ OCT-R SOFT IRON  ASME    </t>
  </si>
  <si>
    <t>G13840</t>
  </si>
  <si>
    <t xml:space="preserve">GASKET CL2500 RJ OCT-R SS316  ASME    </t>
  </si>
  <si>
    <t>G442342</t>
  </si>
  <si>
    <t>G442335</t>
  </si>
  <si>
    <t xml:space="preserve">GASKET CL300 RF SP-WD SS304 &amp; FIL-FLEX-GRAPH O.R-CS  ASME  4.5MM(3/16") THCK  </t>
  </si>
  <si>
    <t>G09207</t>
  </si>
  <si>
    <t>G09208</t>
  </si>
  <si>
    <t>G09210</t>
  </si>
  <si>
    <t>G09212</t>
  </si>
  <si>
    <t>G09217</t>
  </si>
  <si>
    <t>G09202</t>
  </si>
  <si>
    <t>G09204</t>
  </si>
  <si>
    <t>G09205</t>
  </si>
  <si>
    <t>G09206</t>
  </si>
  <si>
    <t xml:space="preserve">GASKET CL300 RF SP-WD SS316 &amp; FIL-FLEX-GRAPH O.R-CS  ASME  4.5MM(3/16") THCK  </t>
  </si>
  <si>
    <t>G09223</t>
  </si>
  <si>
    <t>G09226</t>
  </si>
  <si>
    <t>G09228</t>
  </si>
  <si>
    <t>G09233</t>
  </si>
  <si>
    <t>G09242</t>
  </si>
  <si>
    <t>G09224</t>
  </si>
  <si>
    <t xml:space="preserve">GASKET CL600 RF SP-WD SS304 &amp; FIL-FLEX-GRAPH O.R-CS  ASME  4.5MM(3/16") THCK  </t>
  </si>
  <si>
    <t>G09010</t>
  </si>
  <si>
    <t xml:space="preserve">INSULATION KIT CL150 RF RING REINF PHENOLIC GSK &amp; BLT W/ METAL &amp; INSU WASHR &amp; SLVE  JOB STD 3.0MM THCK  </t>
  </si>
  <si>
    <t>SET</t>
  </si>
  <si>
    <t>G46190</t>
  </si>
  <si>
    <t>G46324</t>
  </si>
  <si>
    <t>G46322</t>
  </si>
  <si>
    <t>STUD BOLT 8UN AS A193-B7M/ A194-2HM W/ 2 HVY HEX NUTS  ASME  NACE</t>
  </si>
  <si>
    <t>2 IN x 480 MM LG</t>
  </si>
  <si>
    <t>G202103</t>
  </si>
  <si>
    <t>1-1/2 IN x 280 MM LG</t>
  </si>
  <si>
    <t>G201652</t>
  </si>
  <si>
    <t xml:space="preserve">STUD BOLT UNC AS A193-B7/ A194-2H W/ 2 HVY HEX NUTS  ASME   </t>
  </si>
  <si>
    <t>7/8 IN x 175 MM LG</t>
  </si>
  <si>
    <t>G14806</t>
  </si>
  <si>
    <t>7/8 IN x 145 MM LG</t>
  </si>
  <si>
    <t>G14812</t>
  </si>
  <si>
    <t>7/8 IN x 125 MM LG</t>
  </si>
  <si>
    <t>G14816</t>
  </si>
  <si>
    <t>7/8 IN x 155 MM LG</t>
  </si>
  <si>
    <t>G14810</t>
  </si>
  <si>
    <t>3/4 IN x 130 MM LG</t>
  </si>
  <si>
    <t>G14898</t>
  </si>
  <si>
    <t>3/4 IN x 95 MM LG</t>
  </si>
  <si>
    <t>G14822</t>
  </si>
  <si>
    <t>3/4 IN x 110 MM LG</t>
  </si>
  <si>
    <t>G14902</t>
  </si>
  <si>
    <t>3/4 IN x 140 MM LG</t>
  </si>
  <si>
    <t>G14896</t>
  </si>
  <si>
    <t>3/4 IN x 115 MM LG</t>
  </si>
  <si>
    <t>G14901</t>
  </si>
  <si>
    <t>3/4 IN x 105 MM LG</t>
  </si>
  <si>
    <t>G14903</t>
  </si>
  <si>
    <t>3/4 IN x 120 MM LG</t>
  </si>
  <si>
    <t>G14900</t>
  </si>
  <si>
    <t>3/4 IN x 135 MM LG</t>
  </si>
  <si>
    <t>G14897</t>
  </si>
  <si>
    <t>5/8 IN x 90 MM LG</t>
  </si>
  <si>
    <t>G14906</t>
  </si>
  <si>
    <t>5/8 IN x 85 MM LG</t>
  </si>
  <si>
    <t>G14907</t>
  </si>
  <si>
    <t>5/8 IN x 80 MM LG</t>
  </si>
  <si>
    <t>G14908</t>
  </si>
  <si>
    <t>5/8 IN x 95 MM LG</t>
  </si>
  <si>
    <t>G14905</t>
  </si>
  <si>
    <t>5/8 IN x 110 MM LG</t>
  </si>
  <si>
    <t>G14584</t>
  </si>
  <si>
    <t>5/8 IN x 100 MM LG</t>
  </si>
  <si>
    <t>1/2 IN x 65 MM LG</t>
  </si>
  <si>
    <t>G14593</t>
  </si>
  <si>
    <t>1/2 IN x 80 MM LG</t>
  </si>
  <si>
    <t>G14590</t>
  </si>
  <si>
    <t>1/2 IN x 70 MM LG</t>
  </si>
  <si>
    <t>G14592</t>
  </si>
  <si>
    <t>1/2 IN x 105 MM LG</t>
  </si>
  <si>
    <t>G14656</t>
  </si>
  <si>
    <t>1/2 IN x 75 MM LG</t>
  </si>
  <si>
    <t>G14591</t>
  </si>
  <si>
    <t>STUD BOLT UNC AS A193-B7M/ A194-2HM W/ 2 HVY HEX NUTS  ASME  NACE</t>
  </si>
  <si>
    <t>7/8 IN x 150 MM LG</t>
  </si>
  <si>
    <t>G201120</t>
  </si>
  <si>
    <t>7/8 IN x 160 MM LG</t>
  </si>
  <si>
    <t>G201122</t>
  </si>
  <si>
    <t>7/8 IN x 140 MM LG</t>
  </si>
  <si>
    <t>G201118</t>
  </si>
  <si>
    <t>G201125</t>
  </si>
  <si>
    <t>G201010</t>
  </si>
  <si>
    <t>3/4 IN x 150 MM LG</t>
  </si>
  <si>
    <t>G201014</t>
  </si>
  <si>
    <t>G201005</t>
  </si>
  <si>
    <t>G201012</t>
  </si>
  <si>
    <t>G201007</t>
  </si>
  <si>
    <t>3/4 IN x 145 MM LG</t>
  </si>
  <si>
    <t>G201013</t>
  </si>
  <si>
    <t>3/4 IN x 165 MM LG</t>
  </si>
  <si>
    <t>G201017</t>
  </si>
  <si>
    <t>G201011</t>
  </si>
  <si>
    <t>G201001</t>
  </si>
  <si>
    <t>G201000</t>
  </si>
  <si>
    <t>G200999</t>
  </si>
  <si>
    <t>G201002</t>
  </si>
  <si>
    <t>5/8 IN x 150 MM LG</t>
  </si>
  <si>
    <t>G200938</t>
  </si>
  <si>
    <t>G200923</t>
  </si>
  <si>
    <t>G200921</t>
  </si>
  <si>
    <t>G200922</t>
  </si>
  <si>
    <t xml:space="preserve">GATE VALVE CL150 RF CS A105 BODY 13CR AND HF-TR API TR #8 SLD-WG OS&amp;Y BB API ASME   </t>
  </si>
  <si>
    <t>V35901</t>
  </si>
  <si>
    <t>V08557</t>
  </si>
  <si>
    <t xml:space="preserve">GATE VALVE CL150 RF CS A216-WCB BODY 13CR AND HF-TR API TR #8 FLEX-WG OS&amp;Y BB API ASME   </t>
  </si>
  <si>
    <t>V05269</t>
  </si>
  <si>
    <t>V05266</t>
  </si>
  <si>
    <t>V05265</t>
  </si>
  <si>
    <t>GATE VALVE CL150 RF CS A216-WCB BODY 13CR AND HF-TR API TR #8 FLEX-WG OS&amp;Y BB API ASME LOW EMIS   (FUGITIVE EMISSION:ISO 15848 TIGHTNESS CLASS B)</t>
  </si>
  <si>
    <t>V22502</t>
  </si>
  <si>
    <t>V22501</t>
  </si>
  <si>
    <t>V22499</t>
  </si>
  <si>
    <t>V22498</t>
  </si>
  <si>
    <t>GATE VALVE CL1500 BW-STUB CS A105 BODY SS 316-TR STLD-S&amp;D SLD-WG OS&amp;Y WB API LOW EMIS (STUB : SMLS BE XXS A106-B) NACE(FUGITIVE EMISSION:ISO 15848 TIGHTNESS CLASS B)</t>
  </si>
  <si>
    <t>V223262</t>
  </si>
  <si>
    <t>GATE VALVE CL2500 BW-STUB CS A105 BODY SS 316-TR STLD-S&amp;D SLD-WG OS&amp;Y WB API LOW EMIS (STUB : SMLS BE S-160 A106-B) NACE(FUGITIVE EMISSION:ISO 15848 TIGHTNESS CLASS B)</t>
  </si>
  <si>
    <t>V223176</t>
  </si>
  <si>
    <t>V223174</t>
  </si>
  <si>
    <t xml:space="preserve">GATE VALVE CL300 RF CS A216-WCB BODY 13CR AND HF-TR API TR #8 FLEX-WG OS&amp;Y BB API ASME   </t>
  </si>
  <si>
    <t>V02772</t>
  </si>
  <si>
    <t>V02775</t>
  </si>
  <si>
    <t>GATE VALVE CL300 RF CS A216-WCB BODY 13CR AND HF-TR API TR #8 FLEX-WG OS&amp;Y BB API ASME LOW EMIS   (FUGITIVE EMISSION:ISO 15848 TIGHTNESS CLASS B)</t>
  </si>
  <si>
    <t>V28509</t>
  </si>
  <si>
    <t>V28507</t>
  </si>
  <si>
    <t>V28505</t>
  </si>
  <si>
    <t>V28503</t>
  </si>
  <si>
    <t xml:space="preserve">GATE VALVE CL800 SW CS A105 BODY 13CR AND HF-TR API TR #8 SLD-WG OS&amp;Y BB API   </t>
  </si>
  <si>
    <t>V10725</t>
  </si>
  <si>
    <t>V03533</t>
  </si>
  <si>
    <t>V03535</t>
  </si>
  <si>
    <t>V03536</t>
  </si>
  <si>
    <t>GATE VALVE CL800 SW CS A105 BODY 13CR AND HF-TR API TR #8 SLD-WG OS&amp;Y BB API LOW EMIS   (FUGITIVE EMISSION:ISO 15848 TIGHTNESS CLASS B)</t>
  </si>
  <si>
    <t>V20093</t>
  </si>
  <si>
    <t>V22491</t>
  </si>
  <si>
    <t>V22490</t>
  </si>
  <si>
    <t xml:space="preserve">GATE VALVE CL800 SW/ FNPT CS A105 BODY 13CR AND HF-TR API TR #8 SLD-WG OS&amp;Y BB API   </t>
  </si>
  <si>
    <t>V05625</t>
  </si>
  <si>
    <t>V05623</t>
  </si>
  <si>
    <t>GATE VALVE CL800 SW/ FNPT CS A105 BODY 13CR AND HF-TR API TR #8 SLD-WG OS&amp;Y BB API LOW EMIS   (FUGITIVE EMISSION:ISO 15848 TIGHTNESS CLASS B)</t>
  </si>
  <si>
    <t>V22847</t>
  </si>
  <si>
    <t>V22846</t>
  </si>
  <si>
    <t>GATE VALVE CL800 SW-STUB CS A105 BODY SS 316 AND HF-TR API TR #12 SLD-WG OS&amp;Y BB  (STUB : SMLS PE S-80 A106-B) NACE</t>
  </si>
  <si>
    <t>V136009</t>
  </si>
  <si>
    <t>GATE VALVE CL800 SW-STUB CS A105 BODY SS 316 AND HF-TR API TR #12 SLD-WG OS&amp;Y BB API (STUB : SMLS PE S-160 A106-B) NACE</t>
  </si>
  <si>
    <t>V56490</t>
  </si>
  <si>
    <t>GATE VALVE CL800 SW-STUB CS A105 BODY SS 316 AND HF-TR API TR #12 SLD-WG OS&amp;Y BB API LOW EMIS (STUB : SMLS BE S-80 A106-B) NACE(FUGITIVE EMISSION:ISO 15848 TIGHTNESS CLASS B)</t>
  </si>
  <si>
    <t>V56621</t>
  </si>
  <si>
    <t>GATE VALVE CL800 SW-STUB CS A105 BODY SS 316 AND HF-TR API TR #12 SLD-WG OS&amp;Y BB API LOW EMIS (STUB : SMLS PE S-80 A106-B) NACE(FUGITIVE EMISSION:ISO 15848 TIGHTNESS CLASS B)</t>
  </si>
  <si>
    <t>V56620</t>
  </si>
  <si>
    <t>V56618</t>
  </si>
  <si>
    <t>GATE VALVE CL800 SW-STUB/ FNPT CS A105 BODY SS 316 AND HF-TR API TR #12 SLD-WG OS&amp;Y BB API LOW EMIS (STUB : SMLS PE S-80 A106-B) NACE(FUGITIVE EMISSION:ISO 15848 TIGHTNESS CLASS B)</t>
  </si>
  <si>
    <t>V223148</t>
  </si>
  <si>
    <t>V223147</t>
  </si>
  <si>
    <t>V110664</t>
  </si>
  <si>
    <t>GLOBE VALVE CL1500 BW-STUB CS A105 BODY SS 316-TR STLD-S&amp;D PLUG-D OS&amp;Y WB API LOW EMIS (STUB : SMLS BE XXS A106-B) NACE(FUGITIVE EMISSION:ISO 15848 TIGHTNESS CLASS B)</t>
  </si>
  <si>
    <t>V223214</t>
  </si>
  <si>
    <t>GLOBE VALVE CL1500 BW-STUB CS A105 BODY SS 316-TR STLD-S&amp;D PLUG-D OS&amp;Y WB Y-PAT API (STUB : SMLS BE XXS A106-B) NACE</t>
  </si>
  <si>
    <t>V110649</t>
  </si>
  <si>
    <t>GLOBE VALVE CL2500 BW CS A216-WCB BODY SS 316-TR STLD-S&amp;D PLUG-D OS&amp;Y PSB GR OP API LOW EMIS  NACE(FUGITIVE EMISSION:ISO 15848 TIGHTNESS CLASS B) (IMPACT TEST at -1 DEG. C)</t>
  </si>
  <si>
    <t>V223179</t>
  </si>
  <si>
    <t>GLOBE VALVE CL2500 BW-STUB CS A105 BODY SS 316-TR STLD-S&amp;D PLUG-D OS&amp;Y WB API LOW EMIS (STUB : SMLS BE S-160 A106-B) NACE(FUGITIVE EMISSION:ISO 15848 TIGHTNESS CLASS B)</t>
  </si>
  <si>
    <t>V223259</t>
  </si>
  <si>
    <t>V223258</t>
  </si>
  <si>
    <t>V223257</t>
  </si>
  <si>
    <t>GLOBE VALVE CL2500 BW-STUB CS A105 BODY SS 316-TR STLD-S&amp;D PLUG-D OS&amp;Y WB Y-PAT API LOW EMIS (STUB : SMLS BE S-160 A106-B) NACE(FUGITIVE EMISSION:ISO 15848 TIGHTNESS CLASS B)</t>
  </si>
  <si>
    <t>V223182</t>
  </si>
  <si>
    <t xml:space="preserve">GLOBE VALVE CL800 SW CS A105 BODY 13CR AND HF-TR API TR #8 PLUG-D OS&amp;Y BB API   </t>
  </si>
  <si>
    <t>V03403</t>
  </si>
  <si>
    <t>V03404</t>
  </si>
  <si>
    <t>GLOBE VALVE CL800 SW CS A105 BODY 13CR AND HF-TR API TR #8 PLUG-D OS&amp;Y BB API LOW EMIS   (FUGITIVE EMISSION:ISO 15848 TIGHTNESS CLASS B)</t>
  </si>
  <si>
    <t>V22243</t>
  </si>
  <si>
    <t xml:space="preserve">CHECK VALVE CL150 RF CS A216-WCB BODY 13CR AND HF-TR API TR #8 SWING BC API ASME   </t>
  </si>
  <si>
    <t>V08225</t>
  </si>
  <si>
    <t>CHECK VALVE CL1500 BW-STUB CS A105 BODY SS 316-TR STLD-S&amp;D LIFT W/ SPRG WC API (STUB : SMLS BE XXS A106-B) NACE</t>
  </si>
  <si>
    <t>V110616</t>
  </si>
  <si>
    <t xml:space="preserve">CHECK VALVE CL300 RF CS A216-WCB BODY 13CR AND HF-TR API TR #8 SWING BC API ASME   </t>
  </si>
  <si>
    <t>V08249</t>
  </si>
  <si>
    <t>V08250</t>
  </si>
  <si>
    <t>V08254</t>
  </si>
  <si>
    <t xml:space="preserve">CHECK VALVE CL800 SW CS A105 BODY 13CR AND HF-TR API TR #8 LIFT W/ SPRG BC API   </t>
  </si>
  <si>
    <t>V19424</t>
  </si>
  <si>
    <t>V19421</t>
  </si>
  <si>
    <t>V19420</t>
  </si>
  <si>
    <t>CHECK VALVE CL800 SW-STUB CS A105 BODY SS 316 AND HF-TR API TR #12 LIFT W/ SPRG BC  (STUB : SMLS BE S-80 A106-B) NACE</t>
  </si>
  <si>
    <t>V103940</t>
  </si>
  <si>
    <t xml:space="preserve">STOP CHECK VALVE CL1500 BW CS A105 BODY SS 316-TR STLD-S&amp;D PLUG-D OS&amp;Y WB Y-PAT API   </t>
  </si>
  <si>
    <t>V151693</t>
  </si>
  <si>
    <t>0.75", STEAM TRAP, CL150, RF, CS BODY SS 304 SCREEN, TECH. D.SHT</t>
  </si>
  <si>
    <t>TR-300004</t>
  </si>
  <si>
    <t>0.75", STEAM TRAP, CL300, RF, CS BODY SS 304 SCREEN, TECH. D.SHT</t>
  </si>
  <si>
    <t>TR-300003</t>
  </si>
  <si>
    <t>2", T-TYPE STRAINER, CL150, BW, CS BODY SS 304 SCREEN, TECH. D.SHT</t>
  </si>
  <si>
    <t>ST-305201</t>
  </si>
  <si>
    <t>ST-305202</t>
  </si>
  <si>
    <t>3", T-TYPE STRAINER, CL150, BW, CS BODY SS 304 SCREEN, TECH. D.SHT</t>
  </si>
  <si>
    <t>ST-3011201</t>
  </si>
  <si>
    <t>ST-3011202</t>
  </si>
  <si>
    <t>3", T-TYPE STRAINER, CL300, BW, CS BODY SS 304 SCREEN, TECH. D.SHT</t>
  </si>
  <si>
    <t>ST-3011203</t>
  </si>
  <si>
    <t>4", T-TYPE STRAINER, CL150, BW, CS BODY SS 304 SCREEN, TECH. D.SHT</t>
  </si>
  <si>
    <t>ST-304701</t>
  </si>
  <si>
    <t>ST-304702</t>
  </si>
  <si>
    <t>6", T-TYPE STRAINER, CL150, BW, CS BODY SS 304 SCREEN, TECH. D.SHT</t>
  </si>
  <si>
    <t>ST-304901</t>
  </si>
  <si>
    <t>ST-304902</t>
  </si>
  <si>
    <t>8", T-TYPE STRAINER, CL150, BW, CS BODY SS 304 SCREEN, TECH. D.SHT</t>
  </si>
  <si>
    <t>ST-300903</t>
  </si>
  <si>
    <t>ST-300904</t>
  </si>
  <si>
    <t>SR-01E</t>
  </si>
  <si>
    <t>STEAM RING, PIP 3.5 M ( FOR 14" -2500# NOZZLE USE)</t>
  </si>
  <si>
    <t>SR-01D</t>
  </si>
  <si>
    <t>STEAM RING, PIP 3.7 M ( FOR 16" -2500# NOZZLE USE)</t>
  </si>
  <si>
    <t>SR-01C</t>
  </si>
  <si>
    <t>STEAM RING, PIP 4.1 M ( FOR 20" -2500# NOZZLE USE)</t>
  </si>
  <si>
    <t>SR-01B</t>
  </si>
  <si>
    <t>STEAM RING, PIP 5.9 M ( FOR REACTOR TOP NOZZLE USE)</t>
  </si>
  <si>
    <t>SR-01A</t>
  </si>
  <si>
    <t>鍍鋅鋼</t>
  </si>
  <si>
    <t xml:space="preserve">PIPE ERW BE CS A53-B GA  ASME   </t>
  </si>
  <si>
    <t>P30718</t>
  </si>
  <si>
    <t>P30719</t>
  </si>
  <si>
    <t>P30720</t>
  </si>
  <si>
    <t xml:space="preserve">PIPE SMLS MNPT CS A106-B GA  ASME   </t>
  </si>
  <si>
    <t>P25235</t>
  </si>
  <si>
    <t>P25234</t>
  </si>
  <si>
    <t>P25231</t>
  </si>
  <si>
    <t xml:space="preserve">45 ELBOW CL3000 FNPT CS A105 GA  ASME   </t>
  </si>
  <si>
    <t>N02846</t>
  </si>
  <si>
    <t xml:space="preserve">45 ELBOW WELDED BW CS A234-WPB GA  ASME   </t>
  </si>
  <si>
    <t>N66883</t>
  </si>
  <si>
    <t>N66830</t>
  </si>
  <si>
    <t xml:space="preserve">90 ELBOW CL3000 FNPT CS A105 GA  ASME   </t>
  </si>
  <si>
    <t>N04225</t>
  </si>
  <si>
    <t>N04221</t>
  </si>
  <si>
    <t xml:space="preserve">90 ELBOW WELDED BW CS A234-WPB GA  ASME   </t>
  </si>
  <si>
    <t>N67254</t>
  </si>
  <si>
    <t>N67199</t>
  </si>
  <si>
    <t xml:space="preserve">TEE CL3000 FNPT CS A105 GA  ASME   </t>
  </si>
  <si>
    <t>S06615</t>
  </si>
  <si>
    <t>S06611</t>
  </si>
  <si>
    <t xml:space="preserve">TEE WELDED BW CS A234-WPB GA  ASME   </t>
  </si>
  <si>
    <t>S193387</t>
  </si>
  <si>
    <t xml:space="preserve">REDU. TEE CL3000 FNPT CS A105 GA  ASME   </t>
  </si>
  <si>
    <t>2" X 1-1/2"</t>
  </si>
  <si>
    <t>R24485</t>
  </si>
  <si>
    <t>1-1/2" X 1/2"</t>
  </si>
  <si>
    <t>R24478</t>
  </si>
  <si>
    <t xml:space="preserve">REDU. TEE WELDED BW CS A234-WPB GA  ASME   </t>
  </si>
  <si>
    <t>R4409611</t>
  </si>
  <si>
    <t>R4409478</t>
  </si>
  <si>
    <t xml:space="preserve">FULL COUPLING CL3000 FNPT CS A105 GA  ASME   </t>
  </si>
  <si>
    <t>S05597</t>
  </si>
  <si>
    <t>S05593</t>
  </si>
  <si>
    <t xml:space="preserve">UNION CL3000 FNPT CS A105 GA INTEG-S MSS   </t>
  </si>
  <si>
    <t xml:space="preserve">CONC. SWAGE NIPPLE  BLE/ TSE CS A234-WPB GA  MSS   </t>
  </si>
  <si>
    <t>S19041</t>
  </si>
  <si>
    <t xml:space="preserve">CONC. SWAGE NIPPLE  TBE CS A234-WPB GA  MSS   </t>
  </si>
  <si>
    <t>S02888</t>
  </si>
  <si>
    <t>S02893</t>
  </si>
  <si>
    <t xml:space="preserve">CONC. REDUCER WELDED BW CS A234-WPB GA  ASME   </t>
  </si>
  <si>
    <t>R4300268</t>
  </si>
  <si>
    <t>R4300095</t>
  </si>
  <si>
    <t>R4299926</t>
  </si>
  <si>
    <t xml:space="preserve">PLUG  MNPT CS A105 GA RD HD ASME   </t>
  </si>
  <si>
    <t>N04875</t>
  </si>
  <si>
    <t>N04871</t>
  </si>
  <si>
    <t xml:space="preserve">THD FLANGE CL150 RF CS A105 GA  ASME   </t>
  </si>
  <si>
    <t>F00082</t>
  </si>
  <si>
    <t>F00085</t>
  </si>
  <si>
    <t xml:space="preserve">WN FLANGE CL150 RF CS A105 GA  ASME   </t>
  </si>
  <si>
    <t>F13738</t>
  </si>
  <si>
    <t>F13736</t>
  </si>
  <si>
    <t>G46318</t>
  </si>
  <si>
    <t xml:space="preserve">STUD BOLT UNC AS A193-B7/ A194-2H W/ 2 HVY HEX NUTS HOT-DIP GA ASME   </t>
  </si>
  <si>
    <t>G35327</t>
  </si>
  <si>
    <t>G35329</t>
  </si>
  <si>
    <t xml:space="preserve">GATE VALVE CL150 FNPT BRZ B62 BODY BRZ-TR SLD-WG ISRS UB MSS   </t>
  </si>
  <si>
    <t>V02738</t>
  </si>
  <si>
    <t>WATER SPRINKLER MNPT, SPK 11 D.SHT "XG70C-0000-D17"</t>
  </si>
  <si>
    <t>D00234</t>
  </si>
  <si>
    <t>SPRAY NOZZLE MNPT, SNO 13 D.SHT "XG70C-0000-D16"</t>
  </si>
  <si>
    <t>D00039</t>
  </si>
  <si>
    <t>不銹鋼304</t>
  </si>
  <si>
    <t xml:space="preserve">PIPE SMLS PE SS A312-TP304  ASME   </t>
  </si>
  <si>
    <t>S-80S</t>
  </si>
  <si>
    <t>1-1/2" S-80S</t>
  </si>
  <si>
    <t>P25375</t>
  </si>
  <si>
    <t xml:space="preserve">45 ELBOW CL3000 SW SS A182-F304  ASME   </t>
  </si>
  <si>
    <t>N00334</t>
  </si>
  <si>
    <t xml:space="preserve">90 ELBOW CL3000 SW SS A182-F304  ASME   </t>
  </si>
  <si>
    <t>N00277</t>
  </si>
  <si>
    <t xml:space="preserve">TEE CL3000 SW SS A182-F304  ASME   </t>
  </si>
  <si>
    <t>S00011</t>
  </si>
  <si>
    <t xml:space="preserve">FULL COUPLING CL3000 SW SS A182-F304  ASME   </t>
  </si>
  <si>
    <t>S00109</t>
  </si>
  <si>
    <t xml:space="preserve">CONC. SWAGE NIPPLE  PLE/ TSE SS A403-WP304  MSS   </t>
  </si>
  <si>
    <t>1" S-80S X 3/4" S-80S</t>
  </si>
  <si>
    <t>S02662</t>
  </si>
  <si>
    <t xml:space="preserve">ECC. SWAGE NIPPLE  PLE/ TSE SS A403-WP304  MSS   </t>
  </si>
  <si>
    <t>S-40S</t>
  </si>
  <si>
    <t>1-1/2" S-40S X 1-1/4" S-80S</t>
  </si>
  <si>
    <t>S01671</t>
  </si>
  <si>
    <t xml:space="preserve">SW FLANGE CL150 RF SS A182-F304  ASME   </t>
  </si>
  <si>
    <t>F04885</t>
  </si>
  <si>
    <t xml:space="preserve">STUD BOLT UNC SS A193-B8-1/ A194-8 W/ 2 HVY HEX NUTS  ASME   </t>
  </si>
  <si>
    <t>G46071</t>
  </si>
  <si>
    <t xml:space="preserve">GATE VALVE CL800 SW SS A182-F304 BODY SS 304-TR STLD-S SLD-WG OS&amp;Y BB API   </t>
  </si>
  <si>
    <t>V06732</t>
  </si>
  <si>
    <t>不銹鋼304L</t>
  </si>
  <si>
    <t>PIPE SMLS BE SS A312-TP304L  ASME  NACE</t>
  </si>
  <si>
    <t>S-10S</t>
  </si>
  <si>
    <t>6" S-10S</t>
  </si>
  <si>
    <t>P09372</t>
  </si>
  <si>
    <t>P121828</t>
  </si>
  <si>
    <t>4" S-10S</t>
  </si>
  <si>
    <t>P10931</t>
  </si>
  <si>
    <t>P121754</t>
  </si>
  <si>
    <t>4" S-40S</t>
  </si>
  <si>
    <t>P119153</t>
  </si>
  <si>
    <t>3" S-10S</t>
  </si>
  <si>
    <t>P13078</t>
  </si>
  <si>
    <t>P121700</t>
  </si>
  <si>
    <t>2" S-80S</t>
  </si>
  <si>
    <t>P119030</t>
  </si>
  <si>
    <t>P122007</t>
  </si>
  <si>
    <t>P121967</t>
  </si>
  <si>
    <t>P121928</t>
  </si>
  <si>
    <t>PIPE SMLS PE SS A312-TP304L  ASME  NACE</t>
  </si>
  <si>
    <t>P120956</t>
  </si>
  <si>
    <t>1" S-80S</t>
  </si>
  <si>
    <t>P120894</t>
  </si>
  <si>
    <t>3/4" S-80S</t>
  </si>
  <si>
    <t>P120857</t>
  </si>
  <si>
    <t>1/2" S-80S</t>
  </si>
  <si>
    <t>P120824</t>
  </si>
  <si>
    <t>45 ELBOW CL3000 SW SS A182-F304L  ASME  NACE</t>
  </si>
  <si>
    <t>N107920</t>
  </si>
  <si>
    <t>90 ELBOW CL3000 SW SS A182-F304L  ASME  NACE</t>
  </si>
  <si>
    <t>N108507</t>
  </si>
  <si>
    <t>N108505</t>
  </si>
  <si>
    <t>90 ELBOW SMLS BW SS A403-WP304L  ASME  NACE</t>
  </si>
  <si>
    <t>N22202</t>
  </si>
  <si>
    <t>N131946</t>
  </si>
  <si>
    <t>N29196</t>
  </si>
  <si>
    <t>N29651</t>
  </si>
  <si>
    <t>N106004</t>
  </si>
  <si>
    <t>N105917</t>
  </si>
  <si>
    <t>TEE CL3000 SW SS A182-F304L  ASME  NACE</t>
  </si>
  <si>
    <t>S180988</t>
  </si>
  <si>
    <t>TEE SMLS BW SS A403-WP304L  ASME  NACE</t>
  </si>
  <si>
    <t>S221130</t>
  </si>
  <si>
    <t>S28901</t>
  </si>
  <si>
    <t>S29492</t>
  </si>
  <si>
    <t>S164502</t>
  </si>
  <si>
    <t>REDU. TEE SMLS BW SS A403-WP304L  ASME  NACE</t>
  </si>
  <si>
    <t>R513764</t>
  </si>
  <si>
    <t>SOCKOLET CL3000 SW SS A182-F304L  MSS  NACE</t>
  </si>
  <si>
    <t>S185784</t>
  </si>
  <si>
    <t>S180757</t>
  </si>
  <si>
    <t>S180759</t>
  </si>
  <si>
    <t>S180752</t>
  </si>
  <si>
    <t>WELDOLET  BW SS A182-F304L  MSS  NACE</t>
  </si>
  <si>
    <t>R595037</t>
  </si>
  <si>
    <t>FULL COUPLING CL3000 SW SS A182-F304L  ASME  NACE</t>
  </si>
  <si>
    <t>S180999</t>
  </si>
  <si>
    <t>CONC. SWAGE NIPPLE  BLE/ PSE SS A403-WP304L  MSS  NACE</t>
  </si>
  <si>
    <t>3" S-10S X 1" S-80S</t>
  </si>
  <si>
    <t>S179861</t>
  </si>
  <si>
    <t>CONC. REDUCER SMLS BW SS A403-WP304L  ASME  NACE</t>
  </si>
  <si>
    <t>6" S-10S X 4" S-10S</t>
  </si>
  <si>
    <t>R06721</t>
  </si>
  <si>
    <t>ECC. REDUCER SMLS BW SS A403-WP304L  ASME  NACE</t>
  </si>
  <si>
    <t>R23474</t>
  </si>
  <si>
    <t>6" S-160 X 4" S-160</t>
  </si>
  <si>
    <t>R1173100</t>
  </si>
  <si>
    <t>4" S-10S X 2" S-80S</t>
  </si>
  <si>
    <t>R564797</t>
  </si>
  <si>
    <t>4" S-10S X 3" S-10S</t>
  </si>
  <si>
    <t>R91944</t>
  </si>
  <si>
    <t>BLIND FLANGE CL1500 RJ SS A182-F304L  ASME  NACE</t>
  </si>
  <si>
    <t>F85271</t>
  </si>
  <si>
    <t>SW FLANGE CL150 RF SS A182-F304L  ASME  NACE</t>
  </si>
  <si>
    <t>F81324</t>
  </si>
  <si>
    <t>F81276</t>
  </si>
  <si>
    <t>SW FLANGE CL300 RF SS A182-F304L  ASME  NACE</t>
  </si>
  <si>
    <t>F81593</t>
  </si>
  <si>
    <t>F81522</t>
  </si>
  <si>
    <t>WN FLANGE CL150 RF SS A182-F304L  ASME  NACE</t>
  </si>
  <si>
    <t>F22294</t>
  </si>
  <si>
    <t>F23658</t>
  </si>
  <si>
    <t>WN FLANGE CL1500 RJ SS A182-F304L  ASME  NACE</t>
  </si>
  <si>
    <t>F85145</t>
  </si>
  <si>
    <t>F85058</t>
  </si>
  <si>
    <t>F82495</t>
  </si>
  <si>
    <t>F82452</t>
  </si>
  <si>
    <t>F82394</t>
  </si>
  <si>
    <t>WN FLANGE CL300 RF SS A182-F304L  ASME  NACE</t>
  </si>
  <si>
    <t>F80011</t>
  </si>
  <si>
    <t>WN FLANGE CL300 RJ SS A182-F304L  ASME  NACE</t>
  </si>
  <si>
    <t>F91701</t>
  </si>
  <si>
    <t>ORIFICE WN FLANGE CL1500 RJ SS A182-F304L W/ 1/2" SW TAPS ASME  NACE</t>
  </si>
  <si>
    <t>F90504</t>
  </si>
  <si>
    <t>ORIFICE WN FLANGE CL300 RF SS A182-F304L W/ 1/2" FNPT TAPS ASME  NACE</t>
  </si>
  <si>
    <t>F82174</t>
  </si>
  <si>
    <t>SPECTACLE BLIND CL1500 RJ SS A240 TY 304L  JOB STD  NACE</t>
  </si>
  <si>
    <t>G423231</t>
  </si>
  <si>
    <t>G423224</t>
  </si>
  <si>
    <t>G423223</t>
  </si>
  <si>
    <t>G34914</t>
  </si>
  <si>
    <t>G34906</t>
  </si>
  <si>
    <t xml:space="preserve">GASKET CL1500 RJ OCT-R SS304L  ASME    </t>
  </si>
  <si>
    <t>G342272</t>
  </si>
  <si>
    <t>G160033</t>
  </si>
  <si>
    <t>G160006</t>
  </si>
  <si>
    <t>G160028</t>
  </si>
  <si>
    <t>G09241</t>
  </si>
  <si>
    <t xml:space="preserve">STUD BOLT 8UN SS A193-B8-2/ A194-8 W/ 2 HVY HEX NUTS  ASME   </t>
  </si>
  <si>
    <t>1-3/8 IN x 280 MM LG</t>
  </si>
  <si>
    <t>G148521</t>
  </si>
  <si>
    <t>1-3/8 IN x 295 MM LG</t>
  </si>
  <si>
    <t>G148524</t>
  </si>
  <si>
    <t>1-1/4 IN x 265 MM LG</t>
  </si>
  <si>
    <t>G148430</t>
  </si>
  <si>
    <t>1-1/4 IN x 210 MM LG</t>
  </si>
  <si>
    <t>G148419</t>
  </si>
  <si>
    <t xml:space="preserve">STUD BOLT UNC SS A193-B8-2/ A194-8 W/ 2 HVY HEX NUTS  ASME   </t>
  </si>
  <si>
    <t>G150667</t>
  </si>
  <si>
    <t>7/8 IN x 180 MM LG</t>
  </si>
  <si>
    <t>G150675</t>
  </si>
  <si>
    <t>3/4 IN x 160 MM LG</t>
  </si>
  <si>
    <t>G150576</t>
  </si>
  <si>
    <t>STUD BOLT UNC SS A193-B8MA-1A/ A194-8MA W/ 2 HVY HEX NUTS  ASME  NACE</t>
  </si>
  <si>
    <t>G423889</t>
  </si>
  <si>
    <t>G423879</t>
  </si>
  <si>
    <t>G423878</t>
  </si>
  <si>
    <t>G423880</t>
  </si>
  <si>
    <t>G423779</t>
  </si>
  <si>
    <t>G423780</t>
  </si>
  <si>
    <t>GATE VALVE CL150 RF SS A351-CF3 BODY SS 316 AND HF TR API TR #12 FLEX-WG OS&amp;Y BB API ASME  NACE</t>
  </si>
  <si>
    <t>V119086</t>
  </si>
  <si>
    <t>V119081</t>
  </si>
  <si>
    <t>GATE VALVE CL1500 BW SS A182-F304L BODY SS 304L-TR STLD-S&amp;D SLD-WG OS&amp;Y WB API LOW EMIS  NACE(FUGITIVE EMISSION:ISO 15848 TIGHTNESS CLASS B)</t>
  </si>
  <si>
    <t>V232658</t>
  </si>
  <si>
    <t>GATE VALVE CL800 SW SS A182-F304L BODY SS 316 AND HF-TR API TR #12 SLD-WG OS&amp;Y BB API  NACE</t>
  </si>
  <si>
    <t>V119105</t>
  </si>
  <si>
    <t>V119102</t>
  </si>
  <si>
    <t>GATE VALVE CL800 SW/ FNPT SS A182-F304L BODY SS 316 AND HF-TR API TR #12 SLD-WG OS&amp;Y BB API  NACE</t>
  </si>
  <si>
    <t>V119140</t>
  </si>
  <si>
    <t>V119139</t>
  </si>
  <si>
    <t>GLOBE VALVE CL1500 BW SS A182-F304L BODY SS 304L-TR STLD-S&amp;D PLUG-D OS&amp;Y WB API LOW EMIS  NACE(FUGITIVE EMISSION:ISO 15848 TIGHTNESS CLASS B)</t>
  </si>
  <si>
    <t>V226602</t>
  </si>
  <si>
    <t>GLOBE VALVE CL1500 BW SS A182-F304L BODY SS 304L-TR STLD-S&amp;D PLUG-D OS&amp;Y WB Y-PAT API LOW EMIS  NACE(FUGITIVE EMISSION:ISO 15848 TIGHTNESS CLASS B)</t>
  </si>
  <si>
    <t>V226652</t>
  </si>
  <si>
    <t>GLOBE VALVE CL1500 BW SS A351-CF3 BODY SS 304L-TR STLD-S&amp;D PLUG-D OS&amp;Y PSB Y-PAT GR OP API LOW EMIS  NACE(FUGITIVE EMISSION:ISO 15848 TIGHTNESS CLASS B)</t>
  </si>
  <si>
    <t>V226600</t>
  </si>
  <si>
    <t>V226599</t>
  </si>
  <si>
    <t>CHECK VALVE CL150 RF SS A351-CF3 BODY SS 316 AND HF TR API TR #12 SWING BC API ASME  NACE</t>
  </si>
  <si>
    <t>V119243</t>
  </si>
  <si>
    <t>CHECK VALVE CL800 SW SS A182-F304L BODY SS 316 AND HF-TR API TR #12 LIFT W/ SPRG BC API  NACE</t>
  </si>
  <si>
    <t>V119237</t>
  </si>
  <si>
    <t>4", T-TYPE STRAINER, CL150, BW, SS 304LBODY SS 304L SCREEN, TECH. D.SHT</t>
  </si>
  <si>
    <t>ST-302201</t>
  </si>
  <si>
    <t>ST-302202</t>
  </si>
  <si>
    <t>不銹鋼321</t>
  </si>
  <si>
    <t>PIPE SMLS BE SS A312-TP321  ASME  NACE</t>
  </si>
  <si>
    <t>10" S-40S</t>
  </si>
  <si>
    <t>P46002</t>
  </si>
  <si>
    <t>8" S-40S</t>
  </si>
  <si>
    <t>P220756</t>
  </si>
  <si>
    <t>6" S-40S</t>
  </si>
  <si>
    <t>P220718</t>
  </si>
  <si>
    <t>P220675</t>
  </si>
  <si>
    <t>3" S-40S</t>
  </si>
  <si>
    <t>P220644</t>
  </si>
  <si>
    <t>P104837</t>
  </si>
  <si>
    <t>P104797</t>
  </si>
  <si>
    <t>P104741</t>
  </si>
  <si>
    <t>P104708</t>
  </si>
  <si>
    <t>P80830</t>
  </si>
  <si>
    <t>PIPE SMLS BE SS A312-TP321  ASME  NACE (minimum thickness per -7% tolerance)</t>
  </si>
  <si>
    <t>14" S-160</t>
  </si>
  <si>
    <t>12" S-160</t>
  </si>
  <si>
    <t>10" S-160</t>
  </si>
  <si>
    <t>P137544</t>
  </si>
  <si>
    <t>8" S-160</t>
  </si>
  <si>
    <t>P137956</t>
  </si>
  <si>
    <t>P137896</t>
  </si>
  <si>
    <t>P137824</t>
  </si>
  <si>
    <t>P137775</t>
  </si>
  <si>
    <t>PIPE SMLS BE SS A312-TP321  ASME  NACE (minimum thickness per -8% tolerance)</t>
  </si>
  <si>
    <t>16" S-160</t>
  </si>
  <si>
    <t>P18927</t>
  </si>
  <si>
    <t>PIPE SMLS PE SS A312-TP321  ASME  NACE</t>
  </si>
  <si>
    <t>P76712</t>
  </si>
  <si>
    <t>P38850</t>
  </si>
  <si>
    <t>PIPE NIPPLE SMLS PE/ TE SS A312-TP321 L=100MM(4") ASME  NACE</t>
  </si>
  <si>
    <t>P84823</t>
  </si>
  <si>
    <t>45 ELBOW CL3000 SW SS A182-F321  ASME  NACE</t>
  </si>
  <si>
    <t>N229466</t>
  </si>
  <si>
    <t>45 ELBOW SMLS BW SS A403-WP321  ASME  NACE</t>
  </si>
  <si>
    <t>N57462</t>
  </si>
  <si>
    <t>N144606</t>
  </si>
  <si>
    <t>N144573</t>
  </si>
  <si>
    <t>45 ELBOW SMLS BW SS A403-WP321  ASME  NACE (minimum thickness per -7% tolerance)</t>
  </si>
  <si>
    <t>N220944</t>
  </si>
  <si>
    <t>N221299</t>
  </si>
  <si>
    <t>N221166</t>
  </si>
  <si>
    <t>90 ELBOW CL3000 SW SS A182-F321  ASME  NACE</t>
  </si>
  <si>
    <t>N229664</t>
  </si>
  <si>
    <t>90 ELBOW SMLS BW SS A403-WP321  ASME  NACE</t>
  </si>
  <si>
    <t>N57813</t>
  </si>
  <si>
    <t>N231586</t>
  </si>
  <si>
    <t>N231543</t>
  </si>
  <si>
    <t>N144169</t>
  </si>
  <si>
    <t>N144077</t>
  </si>
  <si>
    <t>N144045</t>
  </si>
  <si>
    <t>N119709</t>
  </si>
  <si>
    <t>90 ELBOW SMLS BW SS A403-WP321  ASME  NACE (minimum thickness per  -8% tolerance)</t>
  </si>
  <si>
    <t>N21358</t>
  </si>
  <si>
    <t>90 ELBOW SMLS BW SS A403-WP321  ASME  NACE (minimum thickness per -7% tolerance)</t>
  </si>
  <si>
    <t>N219634</t>
  </si>
  <si>
    <t>N219566</t>
  </si>
  <si>
    <t>N219502</t>
  </si>
  <si>
    <t>N219948</t>
  </si>
  <si>
    <t>N219866</t>
  </si>
  <si>
    <t>N219792</t>
  </si>
  <si>
    <t>N219743</t>
  </si>
  <si>
    <t>TEE CL3000 SW SS A182-F321  ASME  NACE</t>
  </si>
  <si>
    <t>S280946</t>
  </si>
  <si>
    <t>TEE SMLS BW SS A403-WP321  ASME  NACE</t>
  </si>
  <si>
    <t>S139887</t>
  </si>
  <si>
    <t>S284095</t>
  </si>
  <si>
    <t>S284052</t>
  </si>
  <si>
    <t>S192978</t>
  </si>
  <si>
    <t>S192935</t>
  </si>
  <si>
    <t>TEE SMLS BW SS A403-WP321  ASME  NACE (minimum thickness per -7% tolerance)</t>
  </si>
  <si>
    <t>S344028</t>
  </si>
  <si>
    <t>S344258</t>
  </si>
  <si>
    <t>REDU. TEE SMLS BW SS A403-WP321  ASME  NACE</t>
  </si>
  <si>
    <t>4" S-40S X 2" S-80S</t>
  </si>
  <si>
    <t>R164556</t>
  </si>
  <si>
    <t>REDU. TEE SMLS BW SS A403-WP321  ASME  NACE (minimum thickness per -7% tolerance)</t>
  </si>
  <si>
    <t>12" S-160 X 8" S-160</t>
  </si>
  <si>
    <t>R1544289</t>
  </si>
  <si>
    <t>3" S-160 X 2" S-160</t>
  </si>
  <si>
    <t>R1545207</t>
  </si>
  <si>
    <t>SOCKOLET CL3000 SW SS A182-F321  MSS  NACE</t>
  </si>
  <si>
    <t>S281338</t>
  </si>
  <si>
    <t>S281339</t>
  </si>
  <si>
    <t>WELDOLET  BW SS A182-F321  MSS  NACE</t>
  </si>
  <si>
    <t>16" S-160 X 3/4" S-160</t>
  </si>
  <si>
    <t>R981546</t>
  </si>
  <si>
    <t>16" S-160 X 2" S-160</t>
  </si>
  <si>
    <t>R981790</t>
  </si>
  <si>
    <t>16" S-160 X 1-1/2" S-160</t>
  </si>
  <si>
    <t>R981706</t>
  </si>
  <si>
    <t>16" S-160 X 1" S-160</t>
  </si>
  <si>
    <t>R981614</t>
  </si>
  <si>
    <t>14" S-160 X 3/4" S-160</t>
  </si>
  <si>
    <t>R980742</t>
  </si>
  <si>
    <t>14" S-160 X 2" S-160</t>
  </si>
  <si>
    <t>R980988</t>
  </si>
  <si>
    <t>14" S-160 X 1-1/2" S-160</t>
  </si>
  <si>
    <t>R980903</t>
  </si>
  <si>
    <t>14" S-160 X 1" S-160</t>
  </si>
  <si>
    <t>R980812</t>
  </si>
  <si>
    <t>10" S-160 X 1" S-160</t>
  </si>
  <si>
    <t>R979322</t>
  </si>
  <si>
    <t>8" S-160 X 2" S-160</t>
  </si>
  <si>
    <t>R984242</t>
  </si>
  <si>
    <t>8" S-160 X 1" S-160</t>
  </si>
  <si>
    <t>R984061</t>
  </si>
  <si>
    <t>6" S-160 X 1-1/2" S-160</t>
  </si>
  <si>
    <t>R983658</t>
  </si>
  <si>
    <t>4" S-160 X 3/4" S-160</t>
  </si>
  <si>
    <t>R983018</t>
  </si>
  <si>
    <t>3" S-160 X 3/4" S-160</t>
  </si>
  <si>
    <t>R982728</t>
  </si>
  <si>
    <t>3" S-160 X 1" S-160</t>
  </si>
  <si>
    <t>R982780</t>
  </si>
  <si>
    <t>2" S-160 X 3/4" S-160</t>
  </si>
  <si>
    <t>R982317</t>
  </si>
  <si>
    <t>WELDOLET  BW SS A182-F321  MSS  NACE (minimum thickness per -7% tolerance)</t>
  </si>
  <si>
    <t>10" S-160 X 3" S-160</t>
  </si>
  <si>
    <t>R1552013</t>
  </si>
  <si>
    <t>FULL COUPLING CL3000 SW SS A182-F321  ASME  NACE</t>
  </si>
  <si>
    <t>S283597</t>
  </si>
  <si>
    <t>CONC. REDUCER SMLS BW SS A403-WP321  ASME  NACE</t>
  </si>
  <si>
    <t>R978045</t>
  </si>
  <si>
    <t>R976138</t>
  </si>
  <si>
    <t>CONC. REDUCER SMLS BW SS A403-WP321  ASME  NACE (minimum thickness per -7% tolerance)</t>
  </si>
  <si>
    <t>R1548391</t>
  </si>
  <si>
    <t>ECC. REDUCER SMLS BW SS A403-WP321  ASME  NACE</t>
  </si>
  <si>
    <t>6" S-40S X 4" S-40S</t>
  </si>
  <si>
    <t>R349011</t>
  </si>
  <si>
    <t>ECC. REDUCER SMLS BW SS A403-WP321  ASME  NACE (minimum thickness per -7% tolerance)</t>
  </si>
  <si>
    <t>12" S-160 X 10" S-160</t>
  </si>
  <si>
    <t>R1549557</t>
  </si>
  <si>
    <t>10" S-160 X 8" S-160</t>
  </si>
  <si>
    <t>R1549468</t>
  </si>
  <si>
    <t>10" S-160 X 6" S-160</t>
  </si>
  <si>
    <t>R1549368</t>
  </si>
  <si>
    <t>4" S-160 X 2" S-160</t>
  </si>
  <si>
    <t>R1550848</t>
  </si>
  <si>
    <t>4" S-160 X 3" S-160</t>
  </si>
  <si>
    <t>R1550955</t>
  </si>
  <si>
    <t>CAP CL3000 FNPT SS A182-F321  ASME  NACE</t>
  </si>
  <si>
    <t>N230602</t>
  </si>
  <si>
    <t>CAP SMLS BW SS A403-WP321  ASME  NACE</t>
  </si>
  <si>
    <t>N145204</t>
  </si>
  <si>
    <t>CAP SMLS BW SS A403-WP321  ASME  NACE (minimum thickness per -7% tolerance)</t>
  </si>
  <si>
    <t>N220439</t>
  </si>
  <si>
    <t>BLIND FLANGE CL1500 RJ SS A182-F321  ASME  NACE</t>
  </si>
  <si>
    <t>F56384</t>
  </si>
  <si>
    <t>F56378</t>
  </si>
  <si>
    <t>BLIND FLANGE CL2500 RJ SS A182-F321  ASME  NACE</t>
  </si>
  <si>
    <t>F145550</t>
  </si>
  <si>
    <t>F145542</t>
  </si>
  <si>
    <t>F145541</t>
  </si>
  <si>
    <t>BLIND FLANGE CL300 RJ SS A182-F321  ASME  NACE</t>
  </si>
  <si>
    <t>F37763</t>
  </si>
  <si>
    <t>SW FLANGE CL300 RJ SS A182-F321  ASME  NACE</t>
  </si>
  <si>
    <t>F39123</t>
  </si>
  <si>
    <t>F38918</t>
  </si>
  <si>
    <t>F38862</t>
  </si>
  <si>
    <t>WN FLANGE CL1500 RJ SS A182-F321  ASME  NACE</t>
  </si>
  <si>
    <t>F142536</t>
  </si>
  <si>
    <t>F142561</t>
  </si>
  <si>
    <t>F142560</t>
  </si>
  <si>
    <t>WN FLANGE CL1500 RJ SS A182-F321  JOB STD  NACE (minimum thickness per -7% tolerance)</t>
  </si>
  <si>
    <t>F142556</t>
  </si>
  <si>
    <t>WN FLANGE CL2500 RJ SS A182-F321  ASME  NACE</t>
  </si>
  <si>
    <t>F145178</t>
  </si>
  <si>
    <t>F144966</t>
  </si>
  <si>
    <t>F144907</t>
  </si>
  <si>
    <t>F144874</t>
  </si>
  <si>
    <t>F123119</t>
  </si>
  <si>
    <t>WN FLANGE CL2500 RJ SS A182-F321  ASME  NACE (minimum thickness per -7% tolerance)</t>
  </si>
  <si>
    <t>F229092</t>
  </si>
  <si>
    <t>F229380</t>
  </si>
  <si>
    <t>F229321</t>
  </si>
  <si>
    <t>F229248</t>
  </si>
  <si>
    <t>F229198</t>
  </si>
  <si>
    <t>WN FLANGE CL2500 RJ SS A182-F321  JOB STD  NACE (minimum thickness per -7% tolerance)</t>
  </si>
  <si>
    <t>F228485</t>
  </si>
  <si>
    <t>WN FLANGE CL2500 RJ SS A182-F321  JOB STD  NACE (minimum thickness per -8% tolerance)</t>
  </si>
  <si>
    <t>F12570</t>
  </si>
  <si>
    <t>WN FLANGE CL300 RJ SS A182-F321  ASME  NACE</t>
  </si>
  <si>
    <t>F39432</t>
  </si>
  <si>
    <t>F39310</t>
  </si>
  <si>
    <t>WN FLANGE CL600 RJ SS A182-F321  ASME  NACE</t>
  </si>
  <si>
    <t>F69559</t>
  </si>
  <si>
    <t>REDU. WN FLANGE CL2500 RJ SS A182-F321  JOB STD  NACE (minimum thickness per -8% tolerance)</t>
  </si>
  <si>
    <t>20" X 16" S-160</t>
  </si>
  <si>
    <t>F155912</t>
  </si>
  <si>
    <t>ORIFICE WN FLANGE CL2500 RJ SS A182-F321 W/ 1/2" SW TAPS ASME  NACE (minimum thickness per -7% tolerance)</t>
  </si>
  <si>
    <t>F229024</t>
  </si>
  <si>
    <t>SPECTACLE BLIND CL2500 RJ SS A240 TY 321  JOB STD  NACE</t>
  </si>
  <si>
    <t>G394009</t>
  </si>
  <si>
    <t>G394007</t>
  </si>
  <si>
    <t>G394002</t>
  </si>
  <si>
    <t>G409934</t>
  </si>
  <si>
    <t>SPECTACLE BLIND CL300 RJ SS A182-F321  JOB STD  NACE</t>
  </si>
  <si>
    <t>G816096</t>
  </si>
  <si>
    <t>G816095</t>
  </si>
  <si>
    <t>G819629</t>
  </si>
  <si>
    <t>BLANK &amp; SPACER CL1500 RJ SS A240 TY 321  JOB STD  NACE</t>
  </si>
  <si>
    <t>14"</t>
  </si>
  <si>
    <t>G872093</t>
  </si>
  <si>
    <t>BLANK &amp; SPACER CL2500 RJ SS A240 TY 321  JOB STD  NACE</t>
  </si>
  <si>
    <t>20"</t>
  </si>
  <si>
    <t>G888372</t>
  </si>
  <si>
    <t>16"</t>
  </si>
  <si>
    <t>G393996</t>
  </si>
  <si>
    <t>G393995</t>
  </si>
  <si>
    <t>G394001</t>
  </si>
  <si>
    <t xml:space="preserve">GASKET CL1500 RJ OCT-R SS347  ASME    </t>
  </si>
  <si>
    <t>G400213</t>
  </si>
  <si>
    <t>G400210</t>
  </si>
  <si>
    <t xml:space="preserve">GASKET CL1500 RJ OCT-R SS347  JOB STD   </t>
  </si>
  <si>
    <t>G872068</t>
  </si>
  <si>
    <t xml:space="preserve">GASKET CL2500 RJ OCT-R SS347  ASME    </t>
  </si>
  <si>
    <t>G343273</t>
  </si>
  <si>
    <t>G343291</t>
  </si>
  <si>
    <t>G343288</t>
  </si>
  <si>
    <t>G343285</t>
  </si>
  <si>
    <t>G343281</t>
  </si>
  <si>
    <t>G343277</t>
  </si>
  <si>
    <t>G343270</t>
  </si>
  <si>
    <t>G343269</t>
  </si>
  <si>
    <t xml:space="preserve">GASKET CL2500 RJ OCT-R SS347  JOB STD   </t>
  </si>
  <si>
    <t>G888371</t>
  </si>
  <si>
    <t>G343295</t>
  </si>
  <si>
    <t>G343293</t>
  </si>
  <si>
    <t xml:space="preserve">GASKET CL300 RJ OCT-R SS347  ASME    </t>
  </si>
  <si>
    <t>G84338</t>
  </si>
  <si>
    <t>G84336</t>
  </si>
  <si>
    <t>G84329</t>
  </si>
  <si>
    <t>G84321</t>
  </si>
  <si>
    <t>G84320</t>
  </si>
  <si>
    <t xml:space="preserve">GASKET CL600 RJ OCT-R SS347  ASME    </t>
  </si>
  <si>
    <t>G101088</t>
  </si>
  <si>
    <t xml:space="preserve">STUD BOLT 8UN SS A453-660-D/ A453-660-D W/ 2 HVY HEX NUTS  ASME   </t>
  </si>
  <si>
    <t>3-1/4 IN x 935 MM LG</t>
  </si>
  <si>
    <t>G890452</t>
  </si>
  <si>
    <t>3-1/4 IN x 930 MM LG</t>
  </si>
  <si>
    <t>G890451</t>
  </si>
  <si>
    <t>3-1/4 IN x 980 MM LG</t>
  </si>
  <si>
    <t>G832811</t>
  </si>
  <si>
    <t>3 IN x 1220 MM LG</t>
  </si>
  <si>
    <t>G890213</t>
  </si>
  <si>
    <t>2-1/2 IN x 595 MM LG</t>
  </si>
  <si>
    <t>G890023</t>
  </si>
  <si>
    <t>2-1/4 IN x 635 MM LG</t>
  </si>
  <si>
    <t>G889967</t>
  </si>
  <si>
    <t>2 IN x 430 MM LG</t>
  </si>
  <si>
    <t>G890162</t>
  </si>
  <si>
    <t>2 IN x 455 MM LG</t>
  </si>
  <si>
    <t>G890167</t>
  </si>
  <si>
    <t>2 IN x 470 MM LG</t>
  </si>
  <si>
    <t>G890170</t>
  </si>
  <si>
    <t>G890172</t>
  </si>
  <si>
    <t>2 IN x 440 MM LG</t>
  </si>
  <si>
    <t>G890164</t>
  </si>
  <si>
    <t>2 IN x 575 MM LG</t>
  </si>
  <si>
    <t>G890191</t>
  </si>
  <si>
    <t>2 IN x 445 MM LG</t>
  </si>
  <si>
    <t>G890165</t>
  </si>
  <si>
    <t>2 IN x 570 MM LG</t>
  </si>
  <si>
    <t>G890190</t>
  </si>
  <si>
    <t>1-1/2 IN x 350 MM LG</t>
  </si>
  <si>
    <t>G892354</t>
  </si>
  <si>
    <t>1-1/4 IN x 240 MM LG</t>
  </si>
  <si>
    <t>G892775</t>
  </si>
  <si>
    <t>1-1/4 IN x 300 MM LG</t>
  </si>
  <si>
    <t>G892635</t>
  </si>
  <si>
    <t xml:space="preserve">STUD BOLT UNC SS A453-660-D/ A453-660-D W/ 2 HVY HEX NUTS  ASME   </t>
  </si>
  <si>
    <t>1 IN x 190 MM LG</t>
  </si>
  <si>
    <t>G893621</t>
  </si>
  <si>
    <t>G893345</t>
  </si>
  <si>
    <t>G893347</t>
  </si>
  <si>
    <t>G893343</t>
  </si>
  <si>
    <t>7/8 IN x 185 MM LG</t>
  </si>
  <si>
    <t>G893352</t>
  </si>
  <si>
    <t>G893389</t>
  </si>
  <si>
    <t>G893387</t>
  </si>
  <si>
    <t>3/4 IN x 175 MM LG</t>
  </si>
  <si>
    <t>G893394</t>
  </si>
  <si>
    <t>3/4 IN x 180 MM LG</t>
  </si>
  <si>
    <t>G893395</t>
  </si>
  <si>
    <t>3/4 IN x 195 MM LG</t>
  </si>
  <si>
    <t>G893398</t>
  </si>
  <si>
    <t>G893443</t>
  </si>
  <si>
    <t>G893595</t>
  </si>
  <si>
    <t>5/8 IN x 125 MM LG</t>
  </si>
  <si>
    <t>G893447</t>
  </si>
  <si>
    <t>GATE VALVE CL1500 BW SS A182-F321 BODY SS 321-TR STLD-S&amp;D SLD-WG OS&amp;Y WB API LOW EMIS  NACE(FUGITIVE EMISSION:ISO 15848 TIGHTNESS CLASS B)</t>
  </si>
  <si>
    <t>V232842</t>
  </si>
  <si>
    <t>GATE VALVE CL2500 BW SS A182-F321 BODY SS 321-TR STLD-S&amp;D SLD-WG OS&amp;Y WB ASME  LOW EMIS  NACE(FUGITIVE EMISSION:ISO 15848 TIGHTNESS CLASS B)</t>
  </si>
  <si>
    <t>V223185</t>
  </si>
  <si>
    <t>V223184</t>
  </si>
  <si>
    <t>GATE VALVE CL300 RJ SS A351-CF8C BODY SS 321-TR STLD-S&amp;D FLEX-WG OS&amp;Y BB API ASME LOW EMIS  NACE(FUGITIVE EMISSION:ISO 15848 TIGHTNESS CLASS B)</t>
  </si>
  <si>
    <t>V223245</t>
  </si>
  <si>
    <t>V223244</t>
  </si>
  <si>
    <t>GATE VALVE CL800 SW SS A182-F321 BODY SS 321-TR STLD-S&amp;D SLD-WG OS&amp;Y BB API LOW EMIS  NACE(FUGITIVE EMISSION:ISO 15848 TIGHTNESS CLASS B)</t>
  </si>
  <si>
    <t>V223240</t>
  </si>
  <si>
    <t>V223239</t>
  </si>
  <si>
    <t>GATE VALVE CL800 SW/ FNPT SS A182-F321 BODY SS 321-TR STLD-S&amp;D SLD-WG OS&amp;Y BB API LOW EMIS  NACE(FUGITIVE EMISSION:ISO 15848 TIGHTNESS CLASS B)</t>
  </si>
  <si>
    <t>V223234</t>
  </si>
  <si>
    <t>GLOBE VALVE CL2500 BW SS A182-F321 BODY SS 321-TR STLD-S&amp;D PLUG-D OS&amp;Y WB ASME  LOW EMIS  NACE(FUGITIVE EMISSION:ISO 15848 TIGHTNESS CLASS B)</t>
  </si>
  <si>
    <t>V223200</t>
  </si>
  <si>
    <t>V223194</t>
  </si>
  <si>
    <t>V223193</t>
  </si>
  <si>
    <t>V223192</t>
  </si>
  <si>
    <t>GLOBE VALVE CL2500 BW SS A182-F321 BODY SS 321-TR STLD-S&amp;D PLUG-D OS&amp;Y WB Y-PAT ASME  LOW EMIS  NACE(FUGITIVE EMISSION:ISO 15848 TIGHTNESS CLASS B)</t>
  </si>
  <si>
    <t>V223198</t>
  </si>
  <si>
    <t>V223197</t>
  </si>
  <si>
    <t>GLOBE VALVE CL2500 BW SS A351-CF8C BODY SS 321-TR STLD-S&amp;D PLUG-D OS&amp;Y PSB GR OP API LOW EMIS  NACE(FUGITIVE EMISSION:ISO 15848 TIGHTNESS CLASS B)</t>
  </si>
  <si>
    <t>V223204</t>
  </si>
  <si>
    <t>GLOBE VALVE CL2500 BW SS A351-CF8C BODY SS 321-TR STLD-S&amp;D PLUG-D OS&amp;Y PSB Y-PAT GR OP API LOW EMIS  NACE(FUGITIVE EMISSION:ISO 15848 TIGHTNESS CLASS B)</t>
  </si>
  <si>
    <t>V223207</t>
  </si>
  <si>
    <t>V223208</t>
  </si>
  <si>
    <t>GLOBE VALVE CL300 RJ SS A351-CF8C BODY SS 321-TR STLD-S&amp;D PLUG-D OS&amp;Y BB API ASME LOW EMIS  NACE(FUGITIVE EMISSION:ISO 15848 TIGHTNESS CLASS B)</t>
  </si>
  <si>
    <t>V223247</t>
  </si>
  <si>
    <t>CHECK VALVE CL2500 BW SS A182-F321 BODY SS 321-TR STLD-S&amp;D LIFT W/ SPRG WC ASME  NACE</t>
  </si>
  <si>
    <t>V112054</t>
  </si>
  <si>
    <t>V111995</t>
  </si>
  <si>
    <t>CHECK VALVE CL800 SW SS A182-F321 BODY SS 321-TR STLD-S&amp;D LIFT W/ SPRG BC API  NACE</t>
  </si>
  <si>
    <t>V107680</t>
  </si>
  <si>
    <t>STOP CHECK VALVE CL2500 BW SS A351-CF8C BODY SS 321-TR STLD-S&amp;D PLUG-D OS&amp;Y PSB Y-PAT GR OP API LOW EMIS  NACE(FUGITIVE EMISSION:ISO 15848 TIGHTNESS CLASS B)</t>
  </si>
  <si>
    <t>V230322</t>
  </si>
  <si>
    <t>合金鋼P11</t>
  </si>
  <si>
    <t xml:space="preserve">PIPE SMLS BE AS A335-P11  ASME   </t>
  </si>
  <si>
    <t>P50719</t>
  </si>
  <si>
    <t>PIPE SMLS BE AS A335-P11  ASME   (IMPACT TEST at -1 DEG. C)</t>
  </si>
  <si>
    <t>35MM</t>
  </si>
  <si>
    <t>10" 35MM</t>
  </si>
  <si>
    <t>P44899</t>
  </si>
  <si>
    <t>28MM</t>
  </si>
  <si>
    <t>8" 28MM</t>
  </si>
  <si>
    <t>P45135</t>
  </si>
  <si>
    <t>24MM</t>
  </si>
  <si>
    <t>6" 24MM</t>
  </si>
  <si>
    <t>P45039</t>
  </si>
  <si>
    <t xml:space="preserve">90 ELBOW SMLS BW AS A234-WP11-2  ASME   </t>
  </si>
  <si>
    <t>N11101</t>
  </si>
  <si>
    <t>90 ELBOW SMLS BW AS A234-WP11-2  ASME   (IMPACT TEST at -1 DEG. C)</t>
  </si>
  <si>
    <t>N139911</t>
  </si>
  <si>
    <t>ECC. REDUCER SMLS BW AS A234-WP11-2  ASME   (IMPACT TEST at -1 DEG. C)</t>
  </si>
  <si>
    <t>10" 35MM X 8" 28MM</t>
  </si>
  <si>
    <t>R752059</t>
  </si>
  <si>
    <t>8" 28MM X 6" 24MM</t>
  </si>
  <si>
    <t>R752060</t>
  </si>
  <si>
    <t xml:space="preserve">WN FLANGE CL2500 RJ AS A182-F11-2  ASME   </t>
  </si>
  <si>
    <t>F41280</t>
  </si>
  <si>
    <t>WN FLANGE CL2500 RJ AS A182-F11-2  ASME   (IMPACT TEST at -1 DEG. C)</t>
  </si>
  <si>
    <t>F137633</t>
  </si>
  <si>
    <t>ORIFICE WN FLANGE CL2500 RJ AS A182-F11-2 W/ 1/2" SW TAPS ASME   (IMPACT TEST at -1 DEG. C)</t>
  </si>
  <si>
    <t>F137648</t>
  </si>
  <si>
    <t xml:space="preserve">GASKET CL2500 RJ OCT-R AS 5CR-1/2MO  ASME    </t>
  </si>
  <si>
    <t>G94149</t>
  </si>
  <si>
    <t>G94148</t>
  </si>
  <si>
    <t xml:space="preserve">STUD BOLT 8UN AS A193-B16/ A194-4 W/ 2 HVY HEX NUTS  ASME   </t>
  </si>
  <si>
    <t>2-1/2 IN x 605 MM LG</t>
  </si>
  <si>
    <t>G81630</t>
  </si>
  <si>
    <t>G22029</t>
  </si>
  <si>
    <t>G81565</t>
  </si>
  <si>
    <t>GLOBE VALVE CL2500 BW-STUB AS A182-F11 BODY 13CR-TR STLD-S&amp;D PLUG-D OS&amp;Y WB Y-PAT ASME  LOW EMIS (STUB : SMLS BE XXS A335-P11)  (FUGITIVE EMISSION:ISO 15848 TIGHTNESS CLASS B)</t>
  </si>
  <si>
    <t>V232456</t>
  </si>
  <si>
    <t>合金鋼P5</t>
  </si>
  <si>
    <t xml:space="preserve">PIPE SMLS BE AS A335-P5  ASME   </t>
  </si>
  <si>
    <t>P24642</t>
  </si>
  <si>
    <t>6" S-80</t>
  </si>
  <si>
    <t>P24643</t>
  </si>
  <si>
    <t xml:space="preserve">PIPE NIPPLE SMLS TBE AS A335-P5 L=100MM(4") ASME   </t>
  </si>
  <si>
    <t>P50584</t>
  </si>
  <si>
    <t xml:space="preserve">45 ELBOW SMLS BW AS A234-WP5  ASME   </t>
  </si>
  <si>
    <t>N03273</t>
  </si>
  <si>
    <t xml:space="preserve">90 ELBOW SMLS BW AS A234-WP5  ASME   </t>
  </si>
  <si>
    <t>N05448</t>
  </si>
  <si>
    <t>N05447</t>
  </si>
  <si>
    <t xml:space="preserve">SOCKOLET CL6000 SW AS A182-F5  MSS   </t>
  </si>
  <si>
    <t>S08472</t>
  </si>
  <si>
    <t xml:space="preserve">CAP CL6000 FNPT AS A182-F5  ASME   </t>
  </si>
  <si>
    <t>N69824</t>
  </si>
  <si>
    <t>G09000</t>
  </si>
  <si>
    <t>G09003</t>
  </si>
  <si>
    <t xml:space="preserve">STUD BOLT UNC AS A193-B16/ A194-4 W/ 2 HVY HEX NUTS  ASME   </t>
  </si>
  <si>
    <t>G18525</t>
  </si>
  <si>
    <t>G18523</t>
  </si>
  <si>
    <t>G18690</t>
  </si>
  <si>
    <t>GATE VALVE CL800 SW-STUB/ FNPT AS A182-F5 BODY 13CR-TR STLD-S&amp;D SLD-WG OS&amp;Y BB API LOW EMIS (STUB : SMLS PE S-160 A335-P5)  (FUGITIVE EMISSION:ISO 15848 TIGHTNESS CLASS B)</t>
  </si>
  <si>
    <t>V222267</t>
  </si>
  <si>
    <t>鎳鉻鋼825</t>
  </si>
  <si>
    <t>PIPE SMLS BE NI-AL B423 N08825  ASME  NACE</t>
  </si>
  <si>
    <t>P07179</t>
  </si>
  <si>
    <t>P16053</t>
  </si>
  <si>
    <t>P15885</t>
  </si>
  <si>
    <t>P15787</t>
  </si>
  <si>
    <t>PIPE WELDED 100%-RT BE NI-AL B705 N08825  ASME  NACE</t>
  </si>
  <si>
    <t>16" S-80</t>
  </si>
  <si>
    <t>P15174</t>
  </si>
  <si>
    <t>14" S-80</t>
  </si>
  <si>
    <t>P15018</t>
  </si>
  <si>
    <t>12" S-80</t>
  </si>
  <si>
    <t>P14816</t>
  </si>
  <si>
    <t>10" S-80</t>
  </si>
  <si>
    <t>P14641</t>
  </si>
  <si>
    <t>8" S-80S</t>
  </si>
  <si>
    <t>P15604</t>
  </si>
  <si>
    <t>6" S-80S</t>
  </si>
  <si>
    <t>P15311</t>
  </si>
  <si>
    <t>45 ELBOW WELDED 100%-RT BW NI-AL B366-WPNICMC  ASME  NACE</t>
  </si>
  <si>
    <t>N24475</t>
  </si>
  <si>
    <t>90 ELBOW CL3000 FNPT NI-AL B564 N08825  ASME  NACE</t>
  </si>
  <si>
    <t>N41708</t>
  </si>
  <si>
    <t>N41706</t>
  </si>
  <si>
    <t>90 ELBOW SMLS BW NI-AL B366-WPNICMC  ASME  NACE</t>
  </si>
  <si>
    <t>N31572</t>
  </si>
  <si>
    <t>N31302</t>
  </si>
  <si>
    <t>N31121</t>
  </si>
  <si>
    <t>90 ELBOW WELDED 100%-RT BW NI-AL B366-WPNICMC  ASME  NACE</t>
  </si>
  <si>
    <t>N32468</t>
  </si>
  <si>
    <t>N32283</t>
  </si>
  <si>
    <t>N32160</t>
  </si>
  <si>
    <t>N31987</t>
  </si>
  <si>
    <t>N32763</t>
  </si>
  <si>
    <t>N32583</t>
  </si>
  <si>
    <t>TEE SMLS BW NI-AL B366-WPNICMC  ASME  NACE</t>
  </si>
  <si>
    <t>S27953</t>
  </si>
  <si>
    <t>TEE WELDED 100%-RT BW NI-AL B366-WPNICMC  ASME  NACE</t>
  </si>
  <si>
    <t>S29133</t>
  </si>
  <si>
    <t>S28979</t>
  </si>
  <si>
    <t>S28781</t>
  </si>
  <si>
    <t>S28647</t>
  </si>
  <si>
    <t>S29439</t>
  </si>
  <si>
    <t>S29225</t>
  </si>
  <si>
    <t>REDU. TEE SMLS BW NI-AL B366-WPNICMC  ASME  NACE</t>
  </si>
  <si>
    <t>2" S-80S X 1" S-80S</t>
  </si>
  <si>
    <t>R02559</t>
  </si>
  <si>
    <t>REDU. TEE WELDED 100%-RT BW NI-AL B366-WPNICMC  ASME  NACE</t>
  </si>
  <si>
    <t>16" S-80 X 10" S-80</t>
  </si>
  <si>
    <t>R45326</t>
  </si>
  <si>
    <t>14" S-80 X 10" S-80</t>
  </si>
  <si>
    <t>R41004</t>
  </si>
  <si>
    <t>WELDOLET  BW NI-AL B564 N08825  MSS  NACE</t>
  </si>
  <si>
    <t>16" S-80 X 3/4" S-80S</t>
  </si>
  <si>
    <t>R118972</t>
  </si>
  <si>
    <t>16" S-80 X 1-1/2" S-80S</t>
  </si>
  <si>
    <t>R119471</t>
  </si>
  <si>
    <t>16" S-80 X 6" S-80S</t>
  </si>
  <si>
    <t>R120655</t>
  </si>
  <si>
    <t>10" S-80 X 1-1/2" S-80S</t>
  </si>
  <si>
    <t>R112132</t>
  </si>
  <si>
    <t>8" S-80S X 3/4" S-80S</t>
  </si>
  <si>
    <t>R126076</t>
  </si>
  <si>
    <t>6" S-80S X 1-1/2" S-80S</t>
  </si>
  <si>
    <t>R125015</t>
  </si>
  <si>
    <t>6" S-80S X 1" S-80S</t>
  </si>
  <si>
    <t>R124763</t>
  </si>
  <si>
    <t>CONC. SWAGE NIPPLE  BLE/ PSE NI-AL B366-WPNICMC  MSS  NACE</t>
  </si>
  <si>
    <t>S31586</t>
  </si>
  <si>
    <t>CONC. REDUCER WELDED 100%-RT BW NI-AL B366-WPNICMC  ASME  NACE</t>
  </si>
  <si>
    <t>R102428</t>
  </si>
  <si>
    <t>ECC. REDUCER SMLS BW NI-AL B366-WPNICMC  ASME  NACE</t>
  </si>
  <si>
    <t>2" S-80S X 1-1/2" S-80S</t>
  </si>
  <si>
    <t>R90054</t>
  </si>
  <si>
    <t>ECC. REDUCER WELDED 100%-RT BW NI-AL B366-WPNICMC  ASME  NACE</t>
  </si>
  <si>
    <t>16" S-80 X 12" S-80</t>
  </si>
  <si>
    <t>R95737</t>
  </si>
  <si>
    <t>14" S-80 X 12" S-80</t>
  </si>
  <si>
    <t>R94310</t>
  </si>
  <si>
    <t>12" S-80 X 8" S-80S</t>
  </si>
  <si>
    <t>R93566</t>
  </si>
  <si>
    <t>12" S-80 X 10" S-80</t>
  </si>
  <si>
    <t>R92718</t>
  </si>
  <si>
    <t>10" S-80 X 6" S-80S</t>
  </si>
  <si>
    <t>R92256</t>
  </si>
  <si>
    <t>8" S-80S X 6" S-80S</t>
  </si>
  <si>
    <t>R98286</t>
  </si>
  <si>
    <t>CAP SMLS BW NI-AL B366-WPNICMC  ASME  NACE</t>
  </si>
  <si>
    <t>N33679</t>
  </si>
  <si>
    <t>BLIND FLANGE CL1500 RJ NI-AL B564 N08825  ASME  NACE</t>
  </si>
  <si>
    <t>F13422</t>
  </si>
  <si>
    <t>F13435</t>
  </si>
  <si>
    <t>F13417</t>
  </si>
  <si>
    <t>WN FLANGE CL1500 RJ NI-AL B564 N08825  ASME  NACE</t>
  </si>
  <si>
    <t>F30840</t>
  </si>
  <si>
    <t>F30742</t>
  </si>
  <si>
    <t>F30501</t>
  </si>
  <si>
    <t>F32540</t>
  </si>
  <si>
    <t>F30929</t>
  </si>
  <si>
    <t>F30331</t>
  </si>
  <si>
    <t>F30109</t>
  </si>
  <si>
    <t>F30034</t>
  </si>
  <si>
    <t>BLANK &amp; SPACER CL1500 RJ NI-AL B424 N08825  JOB STD  NACE</t>
  </si>
  <si>
    <t>G369077</t>
  </si>
  <si>
    <t xml:space="preserve">GASKET CL1500 RJ OCT-R INCOLOY 825  ASME    </t>
  </si>
  <si>
    <t>G691278</t>
  </si>
  <si>
    <t>G691237</t>
  </si>
  <si>
    <t>G705163</t>
  </si>
  <si>
    <t>G705208</t>
  </si>
  <si>
    <t>G705185</t>
  </si>
  <si>
    <t>G705168</t>
  </si>
  <si>
    <t>G705161</t>
  </si>
  <si>
    <t>G705148</t>
  </si>
  <si>
    <t>2-1/2 IN x 690 MM LG</t>
  </si>
  <si>
    <t>G267453</t>
  </si>
  <si>
    <t>1-7/8 IN x 370 MM LG</t>
  </si>
  <si>
    <t>G117406</t>
  </si>
  <si>
    <t>1-1/8 IN x 215 MM LG</t>
  </si>
  <si>
    <t>G148316</t>
  </si>
  <si>
    <t>1 IN x 150 MM LG</t>
  </si>
  <si>
    <t>G150780</t>
  </si>
  <si>
    <t>G150671</t>
  </si>
  <si>
    <t>GATE VALVE CL1500 BW NI-AL INCO-825 BODY&amp;TR SLD-WG OS&amp;Y WB API  NACE</t>
  </si>
  <si>
    <t>V109664</t>
  </si>
  <si>
    <t>GATE VALVE CL1500 BW NI-AL INCO-825 BODY&amp;TR SLD-WG OS&amp;Y WB API LOW EMIS  NACE(FUGITIVE EMISSION:ISO 15848 TIGHTNESS CLASS B)</t>
  </si>
  <si>
    <t>V223218</t>
  </si>
  <si>
    <t>GLOBE VALVE CL1500 BW NI-AL INCO-825 BODY&amp;TR PLUG-D OS&amp;Y WB API LOW EMIS  NACE(FUGITIVE EMISSION:ISO 15848 TIGHTNESS CLASS B)</t>
  </si>
  <si>
    <t>V223221</t>
  </si>
  <si>
    <t>GLOBE VALVE CL1500 BW NI-AL INCO-825 BODY&amp;TR PLUG-D OS&amp;Y WB Y-PAT API  NACE</t>
  </si>
  <si>
    <t>V112593</t>
  </si>
  <si>
    <t>CHECK VALVE CL1500 BW NI-AL INCO-825 BODY&amp;TR SWING PSC API  NACE</t>
  </si>
  <si>
    <t>V114477</t>
  </si>
  <si>
    <t>STOP CHECK VALVE CL1500 BW NI-AL INCO-825 BODY&amp;TR PLUG-D OS&amp;Y WB Y-PAT API  NACE</t>
  </si>
  <si>
    <t>V112569</t>
  </si>
  <si>
    <t>SP-302101</t>
  </si>
  <si>
    <t>1.5", SPRAY NOZZLE , MNPT , TECH. D.SHT "XG14-3RDS-0007"</t>
  </si>
  <si>
    <t>SP-301901</t>
  </si>
  <si>
    <t>總計</t>
  </si>
  <si>
    <t>智源需求量</t>
  </si>
  <si>
    <t>缺料量</t>
  </si>
  <si>
    <t>GL-02</t>
    <phoneticPr fontId="1" type="noConversion"/>
  </si>
  <si>
    <t>(智源、智源+川信)</t>
    <phoneticPr fontId="1" type="noConversion"/>
  </si>
  <si>
    <r>
      <rPr>
        <strike/>
        <sz val="12"/>
        <color theme="1"/>
        <rFont val="新細明體"/>
        <family val="1"/>
        <charset val="136"/>
        <scheme val="minor"/>
      </rPr>
      <t>N03204</t>
    </r>
    <r>
      <rPr>
        <sz val="12"/>
        <color rgb="FFFF0000"/>
        <rFont val="新細明體"/>
        <family val="1"/>
        <charset val="136"/>
        <scheme val="minor"/>
      </rPr>
      <t>N03234</t>
    </r>
    <phoneticPr fontId="1" type="noConversion"/>
  </si>
  <si>
    <t>領用料統計</t>
    <phoneticPr fontId="1" type="noConversion"/>
  </si>
  <si>
    <t>目前總領量</t>
    <phoneticPr fontId="1" type="noConversion"/>
  </si>
  <si>
    <t>先不領</t>
    <phoneticPr fontId="1" type="noConversion"/>
  </si>
  <si>
    <t>安裝</t>
    <phoneticPr fontId="1" type="noConversion"/>
  </si>
  <si>
    <t>預製</t>
    <phoneticPr fontId="1" type="noConversion"/>
  </si>
  <si>
    <t>GLOBE VALVE CL1500 BW-STUB CS A105 BODY SS 316-TR STLD-S&amp;D PLUG-D OS&amp;Y WB API (STUB : SMLS BE XXS A106-B) NACE</t>
    <phoneticPr fontId="1" type="noConversion"/>
  </si>
  <si>
    <t>2", T-TYPE STRAINER, CL150, BW, CS BODY SS 304 SCREEN, TECH. D.SHT</t>
    <phoneticPr fontId="1" type="noConversion"/>
  </si>
  <si>
    <t>STEAM RING, PIP 3.1 M ( FOR 10" -2500# NOZZLE USE)</t>
    <phoneticPr fontId="1" type="noConversion"/>
  </si>
  <si>
    <t>1", SPRAY NOZZLE , MNPT , TECH. D.SHT "XG14-3RDS-0007"</t>
    <phoneticPr fontId="1" type="noConversion"/>
  </si>
  <si>
    <t>GATE VALVE CL300 RJ SS A351-CF8C BODY SS 321-TR STLD-S&amp;D FLEX-WG OS&amp;Y BB API ASME LOW EMIS  NACE(FUGITIVE EMISSION:ISO 15848 TIGHTNESS CLASS B)</t>
    <phoneticPr fontId="1" type="noConversion"/>
  </si>
  <si>
    <t>CHECK</t>
  </si>
  <si>
    <t>ID_code</t>
  </si>
  <si>
    <t>PAI_CD</t>
  </si>
  <si>
    <t>油漆完成</t>
    <phoneticPr fontId="7" type="noConversion"/>
  </si>
  <si>
    <t>D</t>
  </si>
  <si>
    <t>E</t>
  </si>
  <si>
    <t>1-A</t>
    <phoneticPr fontId="7" type="noConversion"/>
  </si>
  <si>
    <t>可領料</t>
  </si>
  <si>
    <t>X</t>
  </si>
  <si>
    <t>V</t>
  </si>
  <si>
    <t>?</t>
  </si>
  <si>
    <t>90 ELBOW CL3000 SW SS A182-F321  ASME  NACE</t>
    <phoneticPr fontId="1" type="noConversion"/>
  </si>
  <si>
    <t>1"</t>
    <phoneticPr fontId="1" type="noConversion"/>
  </si>
  <si>
    <t>N229665</t>
    <phoneticPr fontId="1" type="noConversion"/>
  </si>
  <si>
    <t>STUD BOLT UNC AS A193-B16/ A194-4 W/ 2 HVY HEX NUTS  ASME</t>
    <phoneticPr fontId="1" type="noConversion"/>
  </si>
  <si>
    <t>1-1/8 IN x 215 MM LG</t>
    <phoneticPr fontId="1" type="noConversion"/>
  </si>
  <si>
    <t>G18837</t>
    <phoneticPr fontId="1" type="noConversion"/>
  </si>
  <si>
    <t>STUD BOLT UNC SS A453-660-D/ A453-660-D W/ 2 HVY HEX NUTS  ASME</t>
    <phoneticPr fontId="1" type="noConversion"/>
  </si>
  <si>
    <t>5/8 IN x 130 MM LG</t>
    <phoneticPr fontId="1" type="noConversion"/>
  </si>
  <si>
    <t>G893448</t>
    <phoneticPr fontId="1" type="noConversion"/>
  </si>
  <si>
    <t>TEE CL3000 SW SS A182-F321  ASME  NACE</t>
    <phoneticPr fontId="1" type="noConversion"/>
  </si>
  <si>
    <t>S280947</t>
    <phoneticPr fontId="1" type="noConversion"/>
  </si>
  <si>
    <t>2"</t>
    <phoneticPr fontId="1" type="noConversion"/>
  </si>
  <si>
    <t xml:space="preserve">FULL COUPLING CL3000 FNPT CS A105 GA  ASME </t>
    <phoneticPr fontId="1" type="noConversion"/>
  </si>
  <si>
    <t>S05598</t>
    <phoneticPr fontId="1" type="noConversion"/>
  </si>
  <si>
    <t>SPECTACLE BLIND CL300 RJ SS A182-F321  JOB STD  NACE</t>
    <phoneticPr fontId="1" type="noConversion"/>
  </si>
  <si>
    <t>G434845</t>
    <phoneticPr fontId="1" type="noConversion"/>
  </si>
  <si>
    <t xml:space="preserve">2" X 1/2", THREDOLET, CL3000, FNPT, CS ASTM A105 GALV., MSS-SP-97 </t>
    <phoneticPr fontId="1" type="noConversion"/>
  </si>
  <si>
    <t>N06821</t>
    <phoneticPr fontId="1" type="noConversion"/>
  </si>
  <si>
    <t xml:space="preserve">1/2", UNION, CL3000, FNPT, CS ASTM A105 GALV., INTEGRAL SEAT, MSS-SP-83 </t>
    <phoneticPr fontId="1" type="noConversion"/>
  </si>
  <si>
    <t>N04863</t>
    <phoneticPr fontId="1" type="noConversion"/>
  </si>
  <si>
    <t>N04868</t>
    <phoneticPr fontId="1" type="noConversion"/>
  </si>
  <si>
    <t>P38929</t>
    <phoneticPr fontId="1" type="noConversion"/>
  </si>
  <si>
    <t>P137605</t>
    <phoneticPr fontId="1" type="noConversion"/>
  </si>
  <si>
    <t>P137671</t>
    <phoneticPr fontId="1" type="noConversion"/>
  </si>
  <si>
    <t>P24517</t>
    <phoneticPr fontId="1" type="noConversion"/>
  </si>
  <si>
    <t>R971238</t>
    <phoneticPr fontId="1" type="noConversion"/>
  </si>
  <si>
    <t>S03142</t>
    <phoneticPr fontId="1" type="noConversion"/>
  </si>
  <si>
    <t>S03707</t>
    <phoneticPr fontId="1" type="noConversion"/>
  </si>
  <si>
    <t>S04841</t>
    <phoneticPr fontId="1" type="noConversion"/>
  </si>
  <si>
    <t>-</t>
    <phoneticPr fontId="1" type="noConversion"/>
  </si>
  <si>
    <t>A</t>
    <phoneticPr fontId="1" type="noConversion"/>
  </si>
  <si>
    <t>B</t>
    <phoneticPr fontId="1" type="noConversion"/>
  </si>
  <si>
    <t>D</t>
    <phoneticPr fontId="1" type="noConversion"/>
  </si>
  <si>
    <t>E</t>
    <phoneticPr fontId="1" type="noConversion"/>
  </si>
  <si>
    <t>合計2</t>
    <phoneticPr fontId="1" type="noConversion"/>
  </si>
  <si>
    <t>合計</t>
    <phoneticPr fontId="1" type="noConversion"/>
  </si>
  <si>
    <t>8/07更新</t>
    <phoneticPr fontId="1" type="noConversion"/>
  </si>
  <si>
    <t>P24567</t>
    <phoneticPr fontId="1" type="noConversion"/>
  </si>
  <si>
    <t>智源需求量(8/21更新)</t>
    <phoneticPr fontId="1" type="noConversion"/>
  </si>
  <si>
    <t>管需量縮短不同漆取代</t>
    <phoneticPr fontId="1" type="noConversion"/>
  </si>
  <si>
    <t>領料-</t>
    <phoneticPr fontId="1" type="noConversion"/>
  </si>
  <si>
    <t>領料A</t>
    <phoneticPr fontId="1" type="noConversion"/>
  </si>
  <si>
    <t>領料B</t>
    <phoneticPr fontId="1" type="noConversion"/>
  </si>
  <si>
    <t>領料D</t>
    <phoneticPr fontId="1" type="noConversion"/>
  </si>
  <si>
    <t>領料E</t>
    <phoneticPr fontId="1" type="noConversion"/>
  </si>
  <si>
    <t>7/2</t>
    <phoneticPr fontId="1" type="noConversion"/>
  </si>
  <si>
    <t>7/9</t>
    <phoneticPr fontId="1" type="noConversion"/>
  </si>
  <si>
    <t>7/10</t>
    <phoneticPr fontId="1" type="noConversion"/>
  </si>
  <si>
    <t>7/11</t>
    <phoneticPr fontId="1" type="noConversion"/>
  </si>
  <si>
    <t>8/15</t>
    <phoneticPr fontId="1" type="noConversion"/>
  </si>
  <si>
    <t>領料(總)</t>
    <phoneticPr fontId="1" type="noConversion"/>
  </si>
  <si>
    <t>缺料總計</t>
    <phoneticPr fontId="1" type="noConversion"/>
  </si>
  <si>
    <t>-</t>
  </si>
  <si>
    <t>A</t>
  </si>
  <si>
    <t>B</t>
  </si>
  <si>
    <t>需求總計</t>
    <phoneticPr fontId="1" type="noConversion"/>
  </si>
  <si>
    <t>領料總計</t>
    <phoneticPr fontId="1" type="noConversion"/>
  </si>
  <si>
    <t>N00370</t>
    <phoneticPr fontId="1" type="noConversion"/>
  </si>
  <si>
    <t>合計2</t>
  </si>
  <si>
    <t>需求總計</t>
  </si>
  <si>
    <t>缺料總計</t>
  </si>
  <si>
    <t>先不領</t>
  </si>
  <si>
    <t>領料總計</t>
  </si>
  <si>
    <t>7/2</t>
  </si>
  <si>
    <t>7/9</t>
  </si>
  <si>
    <t>7/11</t>
  </si>
  <si>
    <t>8/15</t>
  </si>
  <si>
    <t>7/10</t>
  </si>
  <si>
    <t>目前總領量</t>
  </si>
  <si>
    <t>合計參考2024_08_03(設計)</t>
  </si>
  <si>
    <t>合計參考2024_08_03(設計)</t>
    <phoneticPr fontId="1" type="noConversion"/>
  </si>
  <si>
    <t>領用料統計</t>
  </si>
  <si>
    <t>智源需求量(8/21更新)</t>
  </si>
  <si>
    <t>P24517</t>
  </si>
  <si>
    <t>N03204N03234</t>
  </si>
  <si>
    <t>N00370</t>
  </si>
  <si>
    <t>S03142</t>
  </si>
  <si>
    <t>S04841</t>
  </si>
  <si>
    <t>S03707</t>
  </si>
  <si>
    <t>S05598</t>
  </si>
  <si>
    <t>N04868</t>
  </si>
  <si>
    <t>N04863</t>
  </si>
  <si>
    <t>N06821</t>
  </si>
  <si>
    <t>P137671</t>
  </si>
  <si>
    <t>P137605</t>
  </si>
  <si>
    <t>P38929</t>
  </si>
  <si>
    <t>N229665</t>
  </si>
  <si>
    <t>S280947</t>
  </si>
  <si>
    <t>R971238</t>
  </si>
  <si>
    <t>G434845</t>
  </si>
  <si>
    <t>G893448</t>
  </si>
  <si>
    <t>G18837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</si>
</sst>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_(* #,##0.00_);_(* \(#,##0.00\);_(* &quot;-&quot;??_);_(@_)"/>
    <numFmt numFmtId="177" formatCode="m&quot;月&quot;d&quot;日&quot;"/>
    <numFmt numFmtId="178" formatCode="_-* #,##0_-;\-* #,##0_-;_-* &quot;-&quot;??_-;_-@_-"/>
  </numFmts>
  <fonts count="11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b/>
      <sz val="9"/>
      <color indexed="81"/>
      <name val="Tahoma"/>
      <family val="2"/>
    </font>
    <font>
      <b/>
      <sz val="9"/>
      <color indexed="81"/>
      <name val="細明體"/>
      <family val="3"/>
      <charset val="136"/>
    </font>
    <font>
      <strike/>
      <sz val="12"/>
      <color theme="1"/>
      <name val="新細明體"/>
      <family val="1"/>
      <charset val="136"/>
      <scheme val="minor"/>
    </font>
    <font>
      <sz val="12"/>
      <color rgb="FFFF0000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color rgb="FFFF0000"/>
      <name val="Arial"/>
      <family val="2"/>
    </font>
    <font>
      <sz val="9"/>
      <color theme="1"/>
      <name val="Arial"/>
      <family val="2"/>
    </font>
    <font>
      <sz val="9"/>
      <color theme="1"/>
      <name val="細明體"/>
      <family val="2"/>
      <charset val="136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176" fontId="7" fillId="0" borderId="0" applyFont="0" applyFill="0" applyBorder="0" applyAlignment="0" applyProtection="0">
      <alignment vertical="center"/>
    </xf>
  </cellStyleXfs>
  <cellXfs count="31">
    <xf numFmtId="0" fontId="0" fillId="0" borderId="0" xfId="0">
      <alignment vertical="center"/>
    </xf>
    <xf numFmtId="177" fontId="0" fillId="0" borderId="0" xfId="0" applyNumberFormat="1">
      <alignment vertical="center"/>
    </xf>
    <xf numFmtId="1" fontId="0" fillId="0" borderId="0" xfId="0" applyNumberFormat="1">
      <alignment vertical="center"/>
    </xf>
    <xf numFmtId="0" fontId="0" fillId="0" borderId="1" xfId="0" applyBorder="1">
      <alignment vertical="center"/>
    </xf>
    <xf numFmtId="0" fontId="0" fillId="3" borderId="1" xfId="0" applyFill="1" applyBorder="1">
      <alignment vertical="center"/>
    </xf>
    <xf numFmtId="0" fontId="0" fillId="2" borderId="1" xfId="0" applyFill="1" applyBorder="1">
      <alignment vertical="center"/>
    </xf>
    <xf numFmtId="178" fontId="0" fillId="0" borderId="1" xfId="0" applyNumberFormat="1" applyBorder="1">
      <alignment vertical="center"/>
    </xf>
    <xf numFmtId="0" fontId="6" fillId="0" borderId="1" xfId="0" applyFont="1" applyBorder="1">
      <alignment vertical="center"/>
    </xf>
    <xf numFmtId="0" fontId="0" fillId="2" borderId="0" xfId="0" applyFill="1">
      <alignment vertical="center"/>
    </xf>
    <xf numFmtId="0" fontId="0" fillId="4" borderId="1" xfId="0" applyFill="1" applyBorder="1">
      <alignment vertical="center"/>
    </xf>
    <xf numFmtId="0" fontId="8" fillId="5" borderId="0" xfId="0" applyFont="1" applyFill="1" applyAlignment="1"/>
    <xf numFmtId="0" fontId="9" fillId="5" borderId="0" xfId="0" applyFont="1" applyFill="1" applyAlignment="1"/>
    <xf numFmtId="0" fontId="10" fillId="2" borderId="0" xfId="0" applyFont="1" applyFill="1" applyAlignment="1"/>
    <xf numFmtId="0" fontId="9" fillId="0" borderId="0" xfId="0" applyFont="1" applyAlignment="1"/>
    <xf numFmtId="0" fontId="0" fillId="3" borderId="0" xfId="0" applyFill="1">
      <alignment vertical="center"/>
    </xf>
    <xf numFmtId="176" fontId="0" fillId="0" borderId="0" xfId="1" applyFont="1">
      <alignment vertical="center"/>
    </xf>
    <xf numFmtId="178" fontId="0" fillId="0" borderId="0" xfId="0" applyNumberFormat="1">
      <alignment vertical="center"/>
    </xf>
    <xf numFmtId="176" fontId="0" fillId="0" borderId="0" xfId="1" applyFont="1" applyAlignment="1">
      <alignment horizontal="right" vertical="center"/>
    </xf>
    <xf numFmtId="178" fontId="0" fillId="6" borderId="1" xfId="0" applyNumberFormat="1" applyFill="1" applyBorder="1">
      <alignment vertical="center"/>
    </xf>
    <xf numFmtId="49" fontId="0" fillId="0" borderId="0" xfId="0" applyNumberFormat="1">
      <alignment vertical="center"/>
    </xf>
    <xf numFmtId="49" fontId="0" fillId="0" borderId="1" xfId="0" applyNumberFormat="1" applyBorder="1">
      <alignment vertical="center"/>
    </xf>
    <xf numFmtId="178" fontId="0" fillId="7" borderId="1" xfId="0" applyNumberFormat="1" applyFill="1" applyBorder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</cellXfs>
  <cellStyles count="2">
    <cellStyle name="一般" xfId="0" builtinId="0"/>
    <cellStyle name="千分位" xfId="1" builtinId="3"/>
  </cellStyles>
  <dxfs count="5">
    <dxf>
      <font>
        <color auto="1"/>
      </font>
      <fill>
        <patternFill>
          <bgColor rgb="FFFFFF00"/>
        </patternFill>
      </fill>
    </dxf>
    <dxf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30480</xdr:rowOff>
    </xdr:from>
    <xdr:to>
      <xdr:col>22</xdr:col>
      <xdr:colOff>457200</xdr:colOff>
      <xdr:row>22</xdr:row>
      <xdr:rowOff>30480</xdr:rowOff>
    </xdr:to>
    <xdr:sp macro="" textlink="">
      <xdr:nvSpPr>
        <xdr:cNvPr id="2" name="矩形: 圓角 1">
          <a:extLst>
            <a:ext uri="{FF2B5EF4-FFF2-40B4-BE49-F238E27FC236}">
              <a16:creationId xmlns:a16="http://schemas.microsoft.com/office/drawing/2014/main" id="{A7BF30DE-2284-17F4-6A1C-02B1D60092B6}"/>
            </a:ext>
          </a:extLst>
        </xdr:cNvPr>
        <xdr:cNvSpPr>
          <a:spLocks noChangeAspect="1"/>
        </xdr:cNvSpPr>
      </xdr:nvSpPr>
      <xdr:spPr>
        <a:xfrm>
          <a:off x="0" y="30480"/>
          <a:ext cx="13868400" cy="4526280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594360</xdr:colOff>
          <xdr:row>2</xdr:row>
          <xdr:rowOff>76200</xdr:rowOff>
        </xdr:from>
        <xdr:to>
          <xdr:col>10</xdr:col>
          <xdr:colOff>289560</xdr:colOff>
          <xdr:row>3</xdr:row>
          <xdr:rowOff>129540</xdr:rowOff>
        </xdr:to>
        <xdr:sp macro="" textlink="">
          <xdr:nvSpPr>
            <xdr:cNvPr id="3081" name="ComboBox1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2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8</xdr:col>
      <xdr:colOff>523954</xdr:colOff>
      <xdr:row>0</xdr:row>
      <xdr:rowOff>0</xdr:rowOff>
    </xdr:from>
    <xdr:ext cx="902811" cy="559127"/>
    <xdr:sp macro="" textlink="">
      <xdr:nvSpPr>
        <xdr:cNvPr id="3" name="矩形 2">
          <a:extLst>
            <a:ext uri="{FF2B5EF4-FFF2-40B4-BE49-F238E27FC236}">
              <a16:creationId xmlns:a16="http://schemas.microsoft.com/office/drawing/2014/main" id="{3293706F-287E-A2E3-C48E-E68809FB3493}"/>
            </a:ext>
          </a:extLst>
        </xdr:cNvPr>
        <xdr:cNvSpPr/>
      </xdr:nvSpPr>
      <xdr:spPr>
        <a:xfrm>
          <a:off x="5400754" y="0"/>
          <a:ext cx="902811" cy="559127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zh-TW" altLang="en-US" sz="2800" b="0" i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標楷體" panose="03000509000000000000" pitchFamily="65" charset="-120"/>
              <a:ea typeface="標楷體" panose="03000509000000000000" pitchFamily="65" charset="-120"/>
            </a:rPr>
            <a:t>尺吋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586740</xdr:colOff>
          <xdr:row>3</xdr:row>
          <xdr:rowOff>182880</xdr:rowOff>
        </xdr:from>
        <xdr:to>
          <xdr:col>2</xdr:col>
          <xdr:colOff>365760</xdr:colOff>
          <xdr:row>4</xdr:row>
          <xdr:rowOff>198120</xdr:rowOff>
        </xdr:to>
        <xdr:sp macro="" textlink="">
          <xdr:nvSpPr>
            <xdr:cNvPr id="3087" name="ComboBox2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2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571500</xdr:colOff>
          <xdr:row>5</xdr:row>
          <xdr:rowOff>60960</xdr:rowOff>
        </xdr:from>
        <xdr:to>
          <xdr:col>2</xdr:col>
          <xdr:colOff>541020</xdr:colOff>
          <xdr:row>6</xdr:row>
          <xdr:rowOff>76200</xdr:rowOff>
        </xdr:to>
        <xdr:sp macro="" textlink="">
          <xdr:nvSpPr>
            <xdr:cNvPr id="3088" name="ComboBox3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2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4</xdr:col>
      <xdr:colOff>58812</xdr:colOff>
      <xdr:row>0</xdr:row>
      <xdr:rowOff>1</xdr:rowOff>
    </xdr:from>
    <xdr:ext cx="985127" cy="559127"/>
    <xdr:sp macro="" textlink="">
      <xdr:nvSpPr>
        <xdr:cNvPr id="4" name="矩形 3">
          <a:extLst>
            <a:ext uri="{FF2B5EF4-FFF2-40B4-BE49-F238E27FC236}">
              <a16:creationId xmlns:a16="http://schemas.microsoft.com/office/drawing/2014/main" id="{5C562FA0-8FE8-4827-968D-819814CFF457}"/>
            </a:ext>
          </a:extLst>
        </xdr:cNvPr>
        <xdr:cNvSpPr/>
      </xdr:nvSpPr>
      <xdr:spPr>
        <a:xfrm>
          <a:off x="2497212" y="1"/>
          <a:ext cx="985127" cy="55912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zh-TW" altLang="en-US" sz="2800" b="0" i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標楷體" panose="03000509000000000000" pitchFamily="65" charset="-120"/>
              <a:ea typeface="標楷體" panose="03000509000000000000" pitchFamily="65" charset="-120"/>
            </a:rPr>
            <a:t>品項</a:t>
          </a:r>
        </a:p>
      </xdr:txBody>
    </xdr:sp>
    <xdr:clientData/>
  </xdr:oneCellAnchor>
  <xdr:oneCellAnchor>
    <xdr:from>
      <xdr:col>13</xdr:col>
      <xdr:colOff>132730</xdr:colOff>
      <xdr:row>0</xdr:row>
      <xdr:rowOff>0</xdr:rowOff>
    </xdr:from>
    <xdr:ext cx="1441420" cy="559127"/>
    <xdr:sp macro="" textlink="">
      <xdr:nvSpPr>
        <xdr:cNvPr id="5" name="矩形 4">
          <a:extLst>
            <a:ext uri="{FF2B5EF4-FFF2-40B4-BE49-F238E27FC236}">
              <a16:creationId xmlns:a16="http://schemas.microsoft.com/office/drawing/2014/main" id="{4B9321D5-DD4E-4057-B104-65CD6650E28D}"/>
            </a:ext>
          </a:extLst>
        </xdr:cNvPr>
        <xdr:cNvSpPr/>
      </xdr:nvSpPr>
      <xdr:spPr>
        <a:xfrm>
          <a:off x="8057530" y="0"/>
          <a:ext cx="1441420" cy="559127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zh-TW" altLang="en-US" sz="2800" b="0" i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標楷體" panose="03000509000000000000" pitchFamily="65" charset="-120"/>
              <a:ea typeface="標楷體" panose="03000509000000000000" pitchFamily="65" charset="-120"/>
            </a:rPr>
            <a:t>厚度</a:t>
          </a:r>
          <a:r>
            <a:rPr lang="en-US" altLang="zh-TW" sz="2800" b="0" i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標楷體" panose="03000509000000000000" pitchFamily="65" charset="-120"/>
              <a:ea typeface="標楷體" panose="03000509000000000000" pitchFamily="65" charset="-120"/>
            </a:rPr>
            <a:t>Sch</a:t>
          </a:r>
          <a:endParaRPr lang="zh-TW" altLang="en-US" sz="2800" b="0" i="1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標楷體" panose="03000509000000000000" pitchFamily="65" charset="-120"/>
            <a:ea typeface="標楷體" panose="03000509000000000000" pitchFamily="65" charset="-120"/>
          </a:endParaRPr>
        </a:p>
      </xdr:txBody>
    </xdr:sp>
    <xdr:clientData/>
  </xdr:one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1D3DC9-D65A-4F9B-88FC-2B8889526CFE}">
  <sheetPr codeName="工作表1">
    <pageSetUpPr fitToPage="1"/>
  </sheetPr>
  <dimension ref="A1:BV889"/>
  <sheetViews>
    <sheetView tabSelected="1" topLeftCell="A412" zoomScale="70" zoomScaleNormal="70" workbookViewId="0">
      <selection activeCell="I434" sqref="I434"/>
    </sheetView>
  </sheetViews>
  <sheetFormatPr defaultRowHeight="16.2" outlineLevelCol="3" x14ac:dyDescent="0.3"/>
  <cols>
    <col min="1" max="1" width="11.77734375" customWidth="1"/>
    <col min="2" max="2" width="8.88671875" customWidth="1"/>
    <col min="3" max="3" width="50.6640625" customWidth="1"/>
    <col min="4" max="4" width="7.21875" customWidth="1"/>
    <col min="5" max="5" width="7.109375" customWidth="1"/>
    <col min="6" max="7" width="7.44140625" customWidth="1"/>
    <col min="8" max="8" width="19.44140625" customWidth="1"/>
    <col min="9" max="9" width="7.21875" bestFit="1" customWidth="1"/>
    <col min="10" max="10" width="6.6640625" bestFit="1" customWidth="1"/>
    <col min="11" max="11" width="15.109375" bestFit="1" customWidth="1"/>
    <col min="12" max="12" width="11.77734375" customWidth="1" outlineLevel="3"/>
    <col min="13" max="13" width="11.6640625" bestFit="1" customWidth="1" outlineLevel="3"/>
    <col min="14" max="14" width="10.5546875" customWidth="1" outlineLevel="3"/>
    <col min="15" max="16" width="11.88671875" customWidth="1" outlineLevel="3"/>
    <col min="17" max="22" width="10.5546875" customWidth="1" outlineLevel="2"/>
    <col min="23" max="27" width="7.77734375" customWidth="1"/>
    <col min="28" max="28" width="10.33203125" customWidth="1"/>
    <col min="29" max="33" width="7.77734375" customWidth="1"/>
    <col min="34" max="34" width="9.77734375" customWidth="1"/>
    <col min="35" max="37" width="8.33203125" customWidth="1" outlineLevel="1"/>
    <col min="38" max="42" width="7.77734375" customWidth="1"/>
    <col min="43" max="43" width="10.33203125" customWidth="1"/>
    <col min="44" max="67" width="7.77734375" customWidth="1"/>
    <col min="68" max="68" width="12.88671875" bestFit="1" customWidth="1"/>
    <col min="69" max="69" width="11.44140625" customWidth="1"/>
    <col min="70" max="73" width="8.88671875" customWidth="1" outlineLevel="1"/>
  </cols>
  <sheetData>
    <row r="1" spans="1:74" x14ac:dyDescent="0.3">
      <c r="A1" t="s">
        <v>1461</v>
      </c>
      <c r="W1" s="14" t="s">
        <v>1524</v>
      </c>
      <c r="X1" s="14"/>
    </row>
    <row r="2" spans="1:74" x14ac:dyDescent="0.3">
      <c r="A2" t="s">
        <v>0</v>
      </c>
      <c r="C2" t="s">
        <v>1462</v>
      </c>
    </row>
    <row r="3" spans="1:74" x14ac:dyDescent="0.3">
      <c r="A3" t="s">
        <v>2</v>
      </c>
      <c r="C3" t="s">
        <v>1</v>
      </c>
      <c r="O3" s="15">
        <f>SUM(O7:O888)</f>
        <v>13996.499999999998</v>
      </c>
      <c r="P3" s="15">
        <f>SUM(P7:P888)</f>
        <v>15274.539999999999</v>
      </c>
      <c r="Q3" s="2"/>
      <c r="R3" s="2"/>
      <c r="S3" s="2"/>
      <c r="T3" s="2"/>
      <c r="U3" s="2"/>
      <c r="V3" s="15">
        <f>SUM(V7:V888)</f>
        <v>15291.539999999999</v>
      </c>
      <c r="W3" s="2"/>
      <c r="X3" s="2"/>
      <c r="Y3" s="2"/>
      <c r="Z3" s="2"/>
      <c r="AA3" s="2"/>
      <c r="AB3" s="17">
        <f>SUM(AB7:AB888)</f>
        <v>16175</v>
      </c>
      <c r="AC3" s="17"/>
      <c r="AD3" s="17"/>
      <c r="AE3" s="17"/>
      <c r="AF3" s="17"/>
      <c r="AG3" s="17"/>
    </row>
    <row r="4" spans="1:74" x14ac:dyDescent="0.3">
      <c r="BR4" s="23" t="s">
        <v>1535</v>
      </c>
      <c r="BS4" s="23"/>
      <c r="BT4" s="23"/>
      <c r="BU4" s="23"/>
      <c r="BV4" s="23"/>
    </row>
    <row r="5" spans="1:74" x14ac:dyDescent="0.3">
      <c r="A5" t="s">
        <v>1464</v>
      </c>
      <c r="Q5" s="27" t="s">
        <v>1555</v>
      </c>
      <c r="R5" s="27"/>
      <c r="S5" s="27"/>
      <c r="T5" s="27"/>
      <c r="U5" s="27"/>
      <c r="V5" s="27"/>
      <c r="W5" s="28" t="s">
        <v>1523</v>
      </c>
      <c r="X5" s="28"/>
      <c r="Y5" s="28"/>
      <c r="Z5" s="28"/>
      <c r="AA5" s="28"/>
      <c r="AB5" s="28"/>
      <c r="AC5" s="30" t="s">
        <v>1460</v>
      </c>
      <c r="AD5" s="30"/>
      <c r="AE5" s="30"/>
      <c r="AF5" s="30"/>
      <c r="AG5" s="30"/>
      <c r="AH5" s="30"/>
      <c r="AI5" s="1"/>
      <c r="AJ5" s="1">
        <v>45511</v>
      </c>
      <c r="AK5" s="1"/>
      <c r="AL5" s="24" t="s">
        <v>1465</v>
      </c>
      <c r="AM5" s="25"/>
      <c r="AN5" s="25"/>
      <c r="AO5" s="25"/>
      <c r="AP5" s="25"/>
      <c r="AQ5" s="26"/>
      <c r="AR5" s="29" t="s">
        <v>1525</v>
      </c>
      <c r="AS5" s="29"/>
      <c r="AT5" s="29"/>
      <c r="AU5" s="29"/>
      <c r="AV5" s="29"/>
      <c r="AW5" s="29" t="s">
        <v>1526</v>
      </c>
      <c r="AX5" s="29"/>
      <c r="AY5" s="29"/>
      <c r="AZ5" s="29"/>
      <c r="BA5" s="29" t="s">
        <v>1527</v>
      </c>
      <c r="BB5" s="29"/>
      <c r="BC5" s="29"/>
      <c r="BD5" s="29"/>
      <c r="BE5" s="29"/>
      <c r="BF5" s="29" t="s">
        <v>1528</v>
      </c>
      <c r="BG5" s="29"/>
      <c r="BH5" s="29"/>
      <c r="BI5" s="29"/>
      <c r="BJ5" s="29" t="s">
        <v>1529</v>
      </c>
      <c r="BK5" s="29"/>
      <c r="BL5" s="29"/>
      <c r="BM5" s="29"/>
      <c r="BN5" s="29"/>
      <c r="BO5" s="22"/>
      <c r="BP5" t="s">
        <v>1521</v>
      </c>
      <c r="BQ5" s="1"/>
      <c r="BS5" s="1"/>
      <c r="BT5" s="1"/>
      <c r="BU5" s="1"/>
      <c r="BV5" s="1"/>
    </row>
    <row r="6" spans="1:74" x14ac:dyDescent="0.3">
      <c r="A6" s="3" t="s">
        <v>3</v>
      </c>
      <c r="B6" s="3" t="s">
        <v>4</v>
      </c>
      <c r="C6" s="3">
        <v>0</v>
      </c>
      <c r="D6" s="3" t="s">
        <v>5</v>
      </c>
      <c r="E6" s="3" t="s">
        <v>6</v>
      </c>
      <c r="F6" s="3" t="s">
        <v>7</v>
      </c>
      <c r="G6" s="3" t="s">
        <v>8</v>
      </c>
      <c r="H6" s="3" t="s">
        <v>9</v>
      </c>
      <c r="I6" s="3" t="s">
        <v>10</v>
      </c>
      <c r="J6" s="3" t="s">
        <v>11</v>
      </c>
      <c r="K6" s="3" t="s">
        <v>12</v>
      </c>
      <c r="L6" s="3" t="s">
        <v>13</v>
      </c>
      <c r="M6" s="4" t="s">
        <v>14</v>
      </c>
      <c r="N6" s="3" t="s">
        <v>15</v>
      </c>
      <c r="O6" s="3" t="s">
        <v>16</v>
      </c>
      <c r="P6" s="3" t="s">
        <v>1519</v>
      </c>
      <c r="Q6" s="4" t="s">
        <v>1514</v>
      </c>
      <c r="R6" s="4" t="s">
        <v>1515</v>
      </c>
      <c r="S6" s="4" t="s">
        <v>1516</v>
      </c>
      <c r="T6" s="4" t="s">
        <v>1517</v>
      </c>
      <c r="U6" s="4" t="s">
        <v>1518</v>
      </c>
      <c r="V6" s="4" t="s">
        <v>1520</v>
      </c>
      <c r="W6" s="5" t="s">
        <v>1514</v>
      </c>
      <c r="X6" s="5" t="s">
        <v>1515</v>
      </c>
      <c r="Y6" s="5" t="s">
        <v>1516</v>
      </c>
      <c r="Z6" s="5" t="s">
        <v>1517</v>
      </c>
      <c r="AA6" s="5" t="s">
        <v>1518</v>
      </c>
      <c r="AB6" s="5" t="s">
        <v>1540</v>
      </c>
      <c r="AC6" s="9" t="s">
        <v>1537</v>
      </c>
      <c r="AD6" s="9" t="s">
        <v>1538</v>
      </c>
      <c r="AE6" s="9" t="s">
        <v>1539</v>
      </c>
      <c r="AF6" s="9" t="s">
        <v>1478</v>
      </c>
      <c r="AG6" s="9" t="s">
        <v>1479</v>
      </c>
      <c r="AH6" s="9" t="s">
        <v>1536</v>
      </c>
      <c r="AI6" s="9" t="s">
        <v>1466</v>
      </c>
      <c r="AJ6" t="s">
        <v>1481</v>
      </c>
      <c r="AK6" t="s">
        <v>1474</v>
      </c>
      <c r="AL6" s="5" t="s">
        <v>1514</v>
      </c>
      <c r="AM6" s="5" t="s">
        <v>1515</v>
      </c>
      <c r="AN6" s="5" t="s">
        <v>1516</v>
      </c>
      <c r="AO6" s="5" t="s">
        <v>1517</v>
      </c>
      <c r="AP6" s="5" t="s">
        <v>1518</v>
      </c>
      <c r="AQ6" s="8" t="s">
        <v>1541</v>
      </c>
      <c r="AR6" s="19" t="s">
        <v>1530</v>
      </c>
      <c r="AS6" s="20" t="s">
        <v>1531</v>
      </c>
      <c r="AT6" s="20" t="s">
        <v>1533</v>
      </c>
      <c r="AU6" s="20" t="s">
        <v>1534</v>
      </c>
      <c r="AV6" s="20"/>
      <c r="AW6" s="19" t="s">
        <v>1530</v>
      </c>
      <c r="AX6" s="19" t="s">
        <v>1532</v>
      </c>
      <c r="AY6" s="20" t="s">
        <v>1534</v>
      </c>
      <c r="AZ6" s="20"/>
      <c r="BA6" s="19" t="s">
        <v>1530</v>
      </c>
      <c r="BB6" s="19" t="s">
        <v>1532</v>
      </c>
      <c r="BC6" s="20" t="s">
        <v>1533</v>
      </c>
      <c r="BD6" s="20" t="s">
        <v>1534</v>
      </c>
      <c r="BE6" s="20"/>
      <c r="BF6" s="19" t="s">
        <v>1530</v>
      </c>
      <c r="BG6" s="19" t="s">
        <v>1532</v>
      </c>
      <c r="BH6" s="20" t="s">
        <v>1534</v>
      </c>
      <c r="BI6" s="20"/>
      <c r="BJ6" s="19" t="s">
        <v>1530</v>
      </c>
      <c r="BK6" s="19" t="s">
        <v>1532</v>
      </c>
      <c r="BL6" s="20" t="s">
        <v>1533</v>
      </c>
      <c r="BM6" s="20" t="s">
        <v>1534</v>
      </c>
      <c r="BN6" s="20"/>
      <c r="BO6" s="20"/>
      <c r="BP6" s="3" t="s">
        <v>1459</v>
      </c>
      <c r="BQ6" s="5" t="s">
        <v>1465</v>
      </c>
      <c r="BR6" s="19" t="s">
        <v>1530</v>
      </c>
      <c r="BS6" s="19" t="s">
        <v>1531</v>
      </c>
      <c r="BT6" s="19" t="s">
        <v>1532</v>
      </c>
      <c r="BU6" s="19" t="s">
        <v>1533</v>
      </c>
      <c r="BV6" s="19" t="s">
        <v>1534</v>
      </c>
    </row>
    <row r="7" spans="1:74" x14ac:dyDescent="0.3">
      <c r="A7" s="3" t="s">
        <v>17</v>
      </c>
      <c r="B7" s="3">
        <v>102</v>
      </c>
      <c r="C7" s="3" t="s">
        <v>18</v>
      </c>
      <c r="D7" s="3">
        <v>8</v>
      </c>
      <c r="E7" s="3" t="s">
        <v>19</v>
      </c>
      <c r="F7" s="3" t="s">
        <v>20</v>
      </c>
      <c r="G7" s="3" t="s">
        <v>19</v>
      </c>
      <c r="H7" s="3" t="s">
        <v>21</v>
      </c>
      <c r="I7" s="3">
        <v>8.18</v>
      </c>
      <c r="J7" s="3" t="s">
        <v>22</v>
      </c>
      <c r="K7" s="3" t="s">
        <v>1522</v>
      </c>
      <c r="L7" s="3" t="s">
        <v>24</v>
      </c>
      <c r="M7" s="3">
        <v>282</v>
      </c>
      <c r="N7" s="6"/>
      <c r="O7" s="3">
        <v>49.8</v>
      </c>
      <c r="P7" s="3">
        <v>49.800000000000004</v>
      </c>
      <c r="Q7" s="3">
        <v>0</v>
      </c>
      <c r="R7" s="3">
        <v>5.8</v>
      </c>
      <c r="S7" s="3">
        <v>0</v>
      </c>
      <c r="T7" s="3">
        <v>44</v>
      </c>
      <c r="U7" s="3">
        <v>0</v>
      </c>
      <c r="V7" s="3">
        <f>SUM(Q7:U7)</f>
        <v>49.8</v>
      </c>
      <c r="W7" s="3">
        <v>0</v>
      </c>
      <c r="X7" s="3">
        <v>6</v>
      </c>
      <c r="Y7" s="3">
        <v>0</v>
      </c>
      <c r="Z7" s="3">
        <v>54</v>
      </c>
      <c r="AA7" s="3">
        <v>0</v>
      </c>
      <c r="AB7" s="3">
        <f>SUM(W7:AA7)</f>
        <v>60</v>
      </c>
      <c r="AC7" s="6">
        <f t="shared" ref="AC7:AG22" si="0">AL7-W7</f>
        <v>0</v>
      </c>
      <c r="AD7" s="6">
        <f t="shared" si="0"/>
        <v>0</v>
      </c>
      <c r="AE7" s="6">
        <f t="shared" si="0"/>
        <v>0</v>
      </c>
      <c r="AF7" s="6">
        <f t="shared" si="0"/>
        <v>0</v>
      </c>
      <c r="AG7" s="6">
        <f t="shared" si="0"/>
        <v>0</v>
      </c>
      <c r="AH7" s="6">
        <f>AQ7-AB7</f>
        <v>0</v>
      </c>
      <c r="AI7" s="6">
        <f>AR7-AH7</f>
        <v>0</v>
      </c>
      <c r="AJ7" s="6">
        <f>AS7-AI7</f>
        <v>0</v>
      </c>
      <c r="AK7" s="6">
        <f>AT7-AJ7</f>
        <v>0</v>
      </c>
      <c r="AL7" s="6">
        <f>SUM(AR7:AV7)</f>
        <v>0</v>
      </c>
      <c r="AM7" s="6">
        <f>SUM(AW7:AZ7)</f>
        <v>6</v>
      </c>
      <c r="AN7" s="6">
        <f>SUM(BA7:BE7)</f>
        <v>0</v>
      </c>
      <c r="AO7" s="6">
        <f>SUM(BF7:BI7)</f>
        <v>54</v>
      </c>
      <c r="AP7" s="6">
        <f>SUM(BJ7:BN7)</f>
        <v>0</v>
      </c>
      <c r="AQ7" s="6">
        <f>SUM(AL7:AP7)</f>
        <v>60</v>
      </c>
      <c r="AR7" s="6"/>
      <c r="AS7" s="6"/>
      <c r="AT7" s="6"/>
      <c r="AU7" s="6"/>
      <c r="AV7" s="6"/>
      <c r="AW7" s="18">
        <v>6</v>
      </c>
      <c r="AX7" s="6"/>
      <c r="AY7" s="6"/>
      <c r="AZ7" s="6"/>
      <c r="BA7" s="6"/>
      <c r="BB7" s="6"/>
      <c r="BC7" s="6"/>
      <c r="BD7" s="6"/>
      <c r="BE7" s="6"/>
      <c r="BF7" s="18">
        <v>54</v>
      </c>
      <c r="BG7" s="6"/>
      <c r="BH7" s="6"/>
      <c r="BI7" s="6"/>
      <c r="BJ7" s="6"/>
      <c r="BK7" s="6"/>
      <c r="BL7" s="6"/>
      <c r="BM7" s="6"/>
      <c r="BN7" s="6"/>
      <c r="BO7" s="6"/>
      <c r="BP7" s="3">
        <v>60</v>
      </c>
      <c r="BQ7" s="6">
        <f t="shared" ref="BQ7:BQ70" si="1">SUM(BR7:FN7)</f>
        <v>60</v>
      </c>
      <c r="BR7">
        <f>10*6</f>
        <v>60</v>
      </c>
    </row>
    <row r="8" spans="1:74" x14ac:dyDescent="0.3">
      <c r="A8" s="3" t="s">
        <v>17</v>
      </c>
      <c r="B8" s="3">
        <v>102</v>
      </c>
      <c r="C8" s="3" t="s">
        <v>18</v>
      </c>
      <c r="D8" s="3">
        <v>8</v>
      </c>
      <c r="E8" s="3" t="s">
        <v>19</v>
      </c>
      <c r="F8" s="3" t="s">
        <v>25</v>
      </c>
      <c r="G8" s="3" t="s">
        <v>19</v>
      </c>
      <c r="H8" s="3" t="s">
        <v>26</v>
      </c>
      <c r="I8" s="3">
        <v>12.7</v>
      </c>
      <c r="J8" s="3" t="s">
        <v>22</v>
      </c>
      <c r="K8" s="3" t="s">
        <v>27</v>
      </c>
      <c r="L8" s="3" t="s">
        <v>24</v>
      </c>
      <c r="M8" s="3">
        <v>138</v>
      </c>
      <c r="N8" s="6"/>
      <c r="O8" s="3">
        <v>33.800000000000004</v>
      </c>
      <c r="P8" s="3">
        <v>33.799999999999997</v>
      </c>
      <c r="Q8" s="3">
        <v>0</v>
      </c>
      <c r="R8" s="3">
        <v>0</v>
      </c>
      <c r="S8" s="3">
        <v>0</v>
      </c>
      <c r="T8" s="3">
        <v>33.799999999999997</v>
      </c>
      <c r="U8" s="3">
        <v>0</v>
      </c>
      <c r="V8" s="3">
        <f t="shared" ref="V8:V71" si="2">SUM(Q8:U8)</f>
        <v>33.799999999999997</v>
      </c>
      <c r="W8" s="3">
        <v>0</v>
      </c>
      <c r="X8" s="3">
        <v>0</v>
      </c>
      <c r="Y8" s="3">
        <v>0</v>
      </c>
      <c r="Z8" s="3">
        <v>42</v>
      </c>
      <c r="AA8" s="3">
        <v>0</v>
      </c>
      <c r="AB8" s="3">
        <f t="shared" ref="AB8:AB71" si="3">SUM(W8:AA8)</f>
        <v>42</v>
      </c>
      <c r="AC8" s="6">
        <f t="shared" si="0"/>
        <v>0</v>
      </c>
      <c r="AD8" s="6">
        <f t="shared" si="0"/>
        <v>0</v>
      </c>
      <c r="AE8" s="6">
        <f t="shared" si="0"/>
        <v>0</v>
      </c>
      <c r="AF8" s="6">
        <f t="shared" si="0"/>
        <v>0</v>
      </c>
      <c r="AG8" s="6">
        <f t="shared" si="0"/>
        <v>0</v>
      </c>
      <c r="AH8" s="6">
        <f t="shared" ref="AH8:AH71" si="4">AQ8-AB8</f>
        <v>0</v>
      </c>
      <c r="AI8" s="3"/>
      <c r="AJ8" s="3" t="e">
        <f>_xlfn.XLOOKUP(K8,工作表1!A:A,工作表1!C:C)</f>
        <v>#N/A</v>
      </c>
      <c r="AK8" s="3"/>
      <c r="AL8" s="6">
        <f t="shared" ref="AL8:AL71" si="5">SUM(AR8:AV8)</f>
        <v>0</v>
      </c>
      <c r="AM8" s="6">
        <f t="shared" ref="AM8:AM71" si="6">SUM(AW8:AZ8)</f>
        <v>0</v>
      </c>
      <c r="AN8" s="6">
        <f t="shared" ref="AN8:AN71" si="7">SUM(BA8:BE8)</f>
        <v>0</v>
      </c>
      <c r="AO8" s="6">
        <f t="shared" ref="AO8:AO71" si="8">SUM(BF8:BI8)</f>
        <v>42</v>
      </c>
      <c r="AP8" s="6">
        <f t="shared" ref="AP8:AP71" si="9">SUM(BJ8:BN8)</f>
        <v>0</v>
      </c>
      <c r="AQ8" s="6">
        <f t="shared" ref="AQ8:AQ71" si="10">SUM(AL8:AP8)</f>
        <v>42</v>
      </c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  <c r="BC8" s="6"/>
      <c r="BD8" s="6"/>
      <c r="BE8" s="6"/>
      <c r="BF8" s="6"/>
      <c r="BG8" s="6"/>
      <c r="BH8" s="6">
        <v>42</v>
      </c>
      <c r="BI8" s="6"/>
      <c r="BJ8" s="6"/>
      <c r="BK8" s="6"/>
      <c r="BL8" s="6"/>
      <c r="BM8" s="6"/>
      <c r="BN8" s="6"/>
      <c r="BO8" s="6"/>
      <c r="BP8" s="3">
        <v>42</v>
      </c>
      <c r="BQ8" s="6">
        <f t="shared" si="1"/>
        <v>42</v>
      </c>
      <c r="BV8">
        <v>42</v>
      </c>
    </row>
    <row r="9" spans="1:74" x14ac:dyDescent="0.3">
      <c r="A9" s="3" t="s">
        <v>17</v>
      </c>
      <c r="B9" s="3">
        <v>102</v>
      </c>
      <c r="C9" s="3" t="s">
        <v>18</v>
      </c>
      <c r="D9" s="3">
        <v>6</v>
      </c>
      <c r="E9" s="3" t="s">
        <v>19</v>
      </c>
      <c r="F9" s="3" t="s">
        <v>20</v>
      </c>
      <c r="G9" s="3" t="s">
        <v>19</v>
      </c>
      <c r="H9" s="3" t="s">
        <v>28</v>
      </c>
      <c r="I9" s="3">
        <v>7.11</v>
      </c>
      <c r="J9" s="3" t="s">
        <v>22</v>
      </c>
      <c r="K9" s="3" t="s">
        <v>29</v>
      </c>
      <c r="L9" s="3" t="s">
        <v>24</v>
      </c>
      <c r="M9" s="3">
        <v>600</v>
      </c>
      <c r="N9" s="6"/>
      <c r="O9" s="3">
        <v>131.30000000000001</v>
      </c>
      <c r="P9" s="3">
        <v>131.30000000000001</v>
      </c>
      <c r="Q9" s="3">
        <v>0</v>
      </c>
      <c r="R9" s="3">
        <v>18.899999999999999</v>
      </c>
      <c r="S9" s="3">
        <v>28.3</v>
      </c>
      <c r="T9" s="3">
        <v>84.1</v>
      </c>
      <c r="U9" s="3">
        <v>0</v>
      </c>
      <c r="V9" s="3">
        <f t="shared" si="2"/>
        <v>131.30000000000001</v>
      </c>
      <c r="W9" s="3">
        <v>0</v>
      </c>
      <c r="X9" s="3">
        <v>24</v>
      </c>
      <c r="Y9" s="4">
        <v>30</v>
      </c>
      <c r="Z9" s="3">
        <v>96</v>
      </c>
      <c r="AA9" s="3">
        <v>0</v>
      </c>
      <c r="AB9" s="3">
        <f t="shared" si="3"/>
        <v>150</v>
      </c>
      <c r="AC9" s="6">
        <f t="shared" si="0"/>
        <v>0</v>
      </c>
      <c r="AD9" s="6">
        <f t="shared" si="0"/>
        <v>0</v>
      </c>
      <c r="AE9" s="6">
        <f t="shared" si="0"/>
        <v>0</v>
      </c>
      <c r="AF9" s="6">
        <f t="shared" si="0"/>
        <v>0</v>
      </c>
      <c r="AG9" s="6">
        <f t="shared" si="0"/>
        <v>0</v>
      </c>
      <c r="AH9" s="6">
        <f t="shared" si="4"/>
        <v>0</v>
      </c>
      <c r="AI9" s="3"/>
      <c r="AJ9" s="3">
        <f>_xlfn.XLOOKUP(K9,工作表1!A:A,工作表1!C:C)</f>
        <v>228</v>
      </c>
      <c r="AK9" s="3" t="s">
        <v>1482</v>
      </c>
      <c r="AL9" s="6">
        <f t="shared" si="5"/>
        <v>0</v>
      </c>
      <c r="AM9" s="6">
        <f t="shared" si="6"/>
        <v>24</v>
      </c>
      <c r="AN9" s="6">
        <f t="shared" si="7"/>
        <v>30</v>
      </c>
      <c r="AO9" s="6">
        <f t="shared" si="8"/>
        <v>96</v>
      </c>
      <c r="AP9" s="6">
        <f t="shared" si="9"/>
        <v>0</v>
      </c>
      <c r="AQ9" s="6">
        <f t="shared" si="10"/>
        <v>150</v>
      </c>
      <c r="AR9" s="6"/>
      <c r="AS9" s="6"/>
      <c r="AT9" s="6"/>
      <c r="AU9" s="6"/>
      <c r="AV9" s="6"/>
      <c r="AW9" s="18">
        <v>24</v>
      </c>
      <c r="AX9" s="6"/>
      <c r="AY9" s="6"/>
      <c r="AZ9" s="6"/>
      <c r="BA9" s="18">
        <v>30</v>
      </c>
      <c r="BB9" s="6"/>
      <c r="BC9" s="6"/>
      <c r="BD9" s="6"/>
      <c r="BE9" s="6"/>
      <c r="BF9" s="18">
        <v>96</v>
      </c>
      <c r="BG9" s="6"/>
      <c r="BH9" s="6"/>
      <c r="BI9" s="6"/>
      <c r="BJ9" s="6"/>
      <c r="BK9" s="6"/>
      <c r="BL9" s="6"/>
      <c r="BM9" s="6"/>
      <c r="BN9" s="6"/>
      <c r="BO9" s="6"/>
      <c r="BP9" s="3">
        <v>150</v>
      </c>
      <c r="BQ9" s="6">
        <f t="shared" si="1"/>
        <v>150</v>
      </c>
      <c r="BR9">
        <f>25*6</f>
        <v>150</v>
      </c>
    </row>
    <row r="10" spans="1:74" x14ac:dyDescent="0.3">
      <c r="A10" s="3" t="s">
        <v>17</v>
      </c>
      <c r="B10" s="3">
        <v>102</v>
      </c>
      <c r="C10" s="3" t="s">
        <v>18</v>
      </c>
      <c r="D10" s="3">
        <v>4</v>
      </c>
      <c r="E10" s="3" t="s">
        <v>19</v>
      </c>
      <c r="F10" s="3" t="s">
        <v>20</v>
      </c>
      <c r="G10" s="3" t="s">
        <v>19</v>
      </c>
      <c r="H10" s="3" t="s">
        <v>30</v>
      </c>
      <c r="I10" s="3">
        <v>6.02</v>
      </c>
      <c r="J10" s="3" t="s">
        <v>22</v>
      </c>
      <c r="K10" s="3" t="s">
        <v>31</v>
      </c>
      <c r="L10" s="3" t="s">
        <v>24</v>
      </c>
      <c r="M10" s="3">
        <v>612</v>
      </c>
      <c r="N10" s="6"/>
      <c r="O10" s="3">
        <v>215.10000000000002</v>
      </c>
      <c r="P10" s="3">
        <v>215.10000000000002</v>
      </c>
      <c r="Q10" s="3">
        <v>0</v>
      </c>
      <c r="R10" s="3">
        <v>103.49999999999999</v>
      </c>
      <c r="S10" s="3">
        <v>32.799999999999997</v>
      </c>
      <c r="T10" s="3">
        <v>78.8</v>
      </c>
      <c r="U10" s="3">
        <v>0</v>
      </c>
      <c r="V10" s="3">
        <f t="shared" si="2"/>
        <v>215.09999999999997</v>
      </c>
      <c r="W10" s="3">
        <v>0</v>
      </c>
      <c r="X10" s="3">
        <v>114</v>
      </c>
      <c r="Y10" s="4">
        <v>36</v>
      </c>
      <c r="Z10" s="3">
        <v>90</v>
      </c>
      <c r="AA10" s="3">
        <v>0</v>
      </c>
      <c r="AB10" s="3">
        <f t="shared" si="3"/>
        <v>240</v>
      </c>
      <c r="AC10" s="6">
        <f t="shared" si="0"/>
        <v>0</v>
      </c>
      <c r="AD10" s="6">
        <f t="shared" si="0"/>
        <v>0</v>
      </c>
      <c r="AE10" s="6">
        <f t="shared" si="0"/>
        <v>0</v>
      </c>
      <c r="AF10" s="6">
        <f>AO10-Z10</f>
        <v>0</v>
      </c>
      <c r="AG10" s="6">
        <f t="shared" si="0"/>
        <v>0</v>
      </c>
      <c r="AH10" s="6">
        <f t="shared" si="4"/>
        <v>0</v>
      </c>
      <c r="AI10" s="3"/>
      <c r="AJ10" s="3">
        <f>_xlfn.XLOOKUP(K10,工作表1!A:A,工作表1!C:C)</f>
        <v>168</v>
      </c>
      <c r="AK10" s="3" t="s">
        <v>1482</v>
      </c>
      <c r="AL10" s="6">
        <f t="shared" si="5"/>
        <v>0</v>
      </c>
      <c r="AM10" s="6">
        <f t="shared" si="6"/>
        <v>114</v>
      </c>
      <c r="AN10" s="6">
        <f t="shared" si="7"/>
        <v>36</v>
      </c>
      <c r="AO10" s="6">
        <f t="shared" si="8"/>
        <v>90</v>
      </c>
      <c r="AP10" s="6">
        <f t="shared" si="9"/>
        <v>0</v>
      </c>
      <c r="AQ10" s="6">
        <f t="shared" si="10"/>
        <v>240</v>
      </c>
      <c r="AR10" s="6"/>
      <c r="AS10" s="6"/>
      <c r="AT10" s="6"/>
      <c r="AU10" s="6"/>
      <c r="AV10" s="6"/>
      <c r="AW10" s="18">
        <v>114</v>
      </c>
      <c r="AX10" s="6"/>
      <c r="AY10" s="6"/>
      <c r="AZ10" s="6"/>
      <c r="BA10" s="18">
        <v>36</v>
      </c>
      <c r="BB10" s="6"/>
      <c r="BC10" s="6"/>
      <c r="BD10" s="6"/>
      <c r="BE10" s="6"/>
      <c r="BF10" s="18">
        <v>90</v>
      </c>
      <c r="BG10" s="6"/>
      <c r="BH10" s="6"/>
      <c r="BI10" s="6"/>
      <c r="BJ10" s="6"/>
      <c r="BK10" s="6"/>
      <c r="BL10" s="6"/>
      <c r="BM10" s="6"/>
      <c r="BN10" s="6"/>
      <c r="BO10" s="6"/>
      <c r="BP10" s="3">
        <v>240</v>
      </c>
      <c r="BQ10" s="6">
        <f t="shared" si="1"/>
        <v>240</v>
      </c>
      <c r="BR10">
        <f>40*6</f>
        <v>240</v>
      </c>
    </row>
    <row r="11" spans="1:74" x14ac:dyDescent="0.3">
      <c r="A11" s="3" t="s">
        <v>17</v>
      </c>
      <c r="B11" s="3">
        <v>102</v>
      </c>
      <c r="C11" s="3" t="s">
        <v>18</v>
      </c>
      <c r="D11" s="3">
        <v>3</v>
      </c>
      <c r="E11" s="3" t="s">
        <v>19</v>
      </c>
      <c r="F11" s="3" t="s">
        <v>20</v>
      </c>
      <c r="G11" s="3" t="s">
        <v>19</v>
      </c>
      <c r="H11" s="3" t="s">
        <v>32</v>
      </c>
      <c r="I11" s="3">
        <v>5.49</v>
      </c>
      <c r="J11" s="3" t="s">
        <v>22</v>
      </c>
      <c r="K11" s="3" t="s">
        <v>33</v>
      </c>
      <c r="L11" s="3" t="s">
        <v>24</v>
      </c>
      <c r="M11" s="3">
        <v>732</v>
      </c>
      <c r="N11" s="6"/>
      <c r="O11" s="3">
        <v>243.20000000000005</v>
      </c>
      <c r="P11" s="3">
        <v>243.20000000000002</v>
      </c>
      <c r="Q11" s="3">
        <v>0</v>
      </c>
      <c r="R11" s="3">
        <v>62.3</v>
      </c>
      <c r="S11" s="3">
        <v>42.2</v>
      </c>
      <c r="T11" s="3">
        <v>138.70000000000002</v>
      </c>
      <c r="U11" s="3">
        <v>0</v>
      </c>
      <c r="V11" s="3">
        <f t="shared" si="2"/>
        <v>243.20000000000002</v>
      </c>
      <c r="W11" s="3">
        <v>0</v>
      </c>
      <c r="X11" s="3">
        <v>72</v>
      </c>
      <c r="Y11" s="3">
        <v>48</v>
      </c>
      <c r="Z11" s="3">
        <v>156</v>
      </c>
      <c r="AA11" s="3">
        <v>0</v>
      </c>
      <c r="AB11" s="3">
        <f t="shared" si="3"/>
        <v>276</v>
      </c>
      <c r="AC11" s="6">
        <f t="shared" si="0"/>
        <v>0</v>
      </c>
      <c r="AD11" s="6">
        <f t="shared" si="0"/>
        <v>0</v>
      </c>
      <c r="AE11" s="6">
        <f t="shared" si="0"/>
        <v>0</v>
      </c>
      <c r="AF11" s="6">
        <f t="shared" si="0"/>
        <v>-6</v>
      </c>
      <c r="AG11" s="6">
        <f t="shared" si="0"/>
        <v>0</v>
      </c>
      <c r="AH11" s="6">
        <f t="shared" si="4"/>
        <v>-6</v>
      </c>
      <c r="AI11" s="3"/>
      <c r="AJ11" s="3">
        <f>_xlfn.XLOOKUP(K11,工作表1!A:A,工作表1!C:C)</f>
        <v>132</v>
      </c>
      <c r="AK11" s="3" t="s">
        <v>1482</v>
      </c>
      <c r="AL11" s="6">
        <f t="shared" si="5"/>
        <v>0</v>
      </c>
      <c r="AM11" s="6">
        <f t="shared" si="6"/>
        <v>72</v>
      </c>
      <c r="AN11" s="6">
        <f t="shared" si="7"/>
        <v>48</v>
      </c>
      <c r="AO11" s="6">
        <f t="shared" si="8"/>
        <v>150</v>
      </c>
      <c r="AP11" s="6">
        <f t="shared" si="9"/>
        <v>0</v>
      </c>
      <c r="AQ11" s="6">
        <f t="shared" si="10"/>
        <v>270</v>
      </c>
      <c r="AR11" s="6"/>
      <c r="AS11" s="6"/>
      <c r="AT11" s="6"/>
      <c r="AU11" s="6"/>
      <c r="AV11" s="6"/>
      <c r="AW11" s="18">
        <v>72</v>
      </c>
      <c r="AX11" s="6"/>
      <c r="AY11" s="6"/>
      <c r="AZ11" s="6"/>
      <c r="BA11" s="18">
        <v>48</v>
      </c>
      <c r="BB11" s="6"/>
      <c r="BC11" s="6"/>
      <c r="BD11" s="6"/>
      <c r="BE11" s="6"/>
      <c r="BF11" s="18">
        <v>150</v>
      </c>
      <c r="BG11" s="6"/>
      <c r="BH11" s="6"/>
      <c r="BI11" s="6"/>
      <c r="BJ11" s="6"/>
      <c r="BK11" s="6"/>
      <c r="BL11" s="6"/>
      <c r="BM11" s="6"/>
      <c r="BN11" s="6"/>
      <c r="BO11" s="6"/>
      <c r="BP11" s="3">
        <v>270</v>
      </c>
      <c r="BQ11" s="6">
        <f t="shared" si="1"/>
        <v>270</v>
      </c>
      <c r="BR11">
        <f>45*6</f>
        <v>270</v>
      </c>
    </row>
    <row r="12" spans="1:74" x14ac:dyDescent="0.3">
      <c r="A12" s="3" t="s">
        <v>17</v>
      </c>
      <c r="B12" s="3">
        <v>102</v>
      </c>
      <c r="C12" s="3" t="s">
        <v>18</v>
      </c>
      <c r="D12" s="3">
        <v>2</v>
      </c>
      <c r="E12" s="3" t="s">
        <v>19</v>
      </c>
      <c r="F12" s="3" t="s">
        <v>25</v>
      </c>
      <c r="G12" s="3" t="s">
        <v>19</v>
      </c>
      <c r="H12" s="3" t="s">
        <v>34</v>
      </c>
      <c r="I12" s="3">
        <v>5.54</v>
      </c>
      <c r="J12" s="3" t="s">
        <v>22</v>
      </c>
      <c r="K12" s="3" t="s">
        <v>1509</v>
      </c>
      <c r="L12" s="3" t="s">
        <v>24</v>
      </c>
      <c r="M12" s="3">
        <v>822</v>
      </c>
      <c r="N12" s="6"/>
      <c r="O12" s="3">
        <v>321.2000000000001</v>
      </c>
      <c r="P12" s="3">
        <v>321.2</v>
      </c>
      <c r="Q12" s="3">
        <v>0</v>
      </c>
      <c r="R12" s="3">
        <v>166.7</v>
      </c>
      <c r="S12" s="3">
        <v>43.3</v>
      </c>
      <c r="T12" s="3">
        <v>111.19999999999999</v>
      </c>
      <c r="U12" s="3">
        <v>0</v>
      </c>
      <c r="V12" s="3">
        <f t="shared" si="2"/>
        <v>321.2</v>
      </c>
      <c r="W12" s="3">
        <v>0</v>
      </c>
      <c r="X12" s="3">
        <v>186</v>
      </c>
      <c r="Y12" s="3">
        <v>48</v>
      </c>
      <c r="Z12" s="3">
        <v>126</v>
      </c>
      <c r="AA12" s="3">
        <v>0</v>
      </c>
      <c r="AB12" s="3">
        <f t="shared" si="3"/>
        <v>360</v>
      </c>
      <c r="AC12" s="6">
        <f t="shared" si="0"/>
        <v>0</v>
      </c>
      <c r="AD12" s="6">
        <f t="shared" si="0"/>
        <v>0</v>
      </c>
      <c r="AE12" s="6">
        <f t="shared" si="0"/>
        <v>0</v>
      </c>
      <c r="AF12" s="6">
        <f t="shared" si="0"/>
        <v>-114</v>
      </c>
      <c r="AG12" s="6">
        <f t="shared" si="0"/>
        <v>0</v>
      </c>
      <c r="AH12" s="6">
        <f t="shared" si="4"/>
        <v>-114</v>
      </c>
      <c r="AI12" s="3"/>
      <c r="AJ12" s="3" t="e">
        <f>_xlfn.XLOOKUP(K12,工作表1!A:A,工作表1!C:C)</f>
        <v>#N/A</v>
      </c>
      <c r="AK12" s="3"/>
      <c r="AL12" s="6">
        <f t="shared" si="5"/>
        <v>0</v>
      </c>
      <c r="AM12" s="6">
        <f t="shared" si="6"/>
        <v>186</v>
      </c>
      <c r="AN12" s="6">
        <f t="shared" si="7"/>
        <v>48</v>
      </c>
      <c r="AO12" s="6">
        <f t="shared" si="8"/>
        <v>12</v>
      </c>
      <c r="AP12" s="6">
        <f t="shared" si="9"/>
        <v>0</v>
      </c>
      <c r="AQ12" s="6">
        <f t="shared" si="10"/>
        <v>246</v>
      </c>
      <c r="AR12" s="6"/>
      <c r="AS12" s="6"/>
      <c r="AT12" s="6"/>
      <c r="AU12" s="6"/>
      <c r="AV12" s="6"/>
      <c r="AW12" s="18">
        <v>186</v>
      </c>
      <c r="AX12" s="6"/>
      <c r="AY12" s="6"/>
      <c r="AZ12" s="6"/>
      <c r="BA12" s="18">
        <v>48</v>
      </c>
      <c r="BB12" s="6"/>
      <c r="BC12" s="6"/>
      <c r="BD12" s="6"/>
      <c r="BE12" s="6"/>
      <c r="BF12" s="18">
        <v>12</v>
      </c>
      <c r="BG12" s="6"/>
      <c r="BH12" s="6"/>
      <c r="BI12" s="6"/>
      <c r="BJ12" s="6"/>
      <c r="BK12" s="6"/>
      <c r="BL12" s="6"/>
      <c r="BM12" s="6"/>
      <c r="BN12" s="6"/>
      <c r="BO12" s="6"/>
      <c r="BP12" s="3">
        <v>354</v>
      </c>
      <c r="BQ12" s="6">
        <f t="shared" si="1"/>
        <v>246</v>
      </c>
      <c r="BR12">
        <f>41*6</f>
        <v>246</v>
      </c>
    </row>
    <row r="13" spans="1:74" x14ac:dyDescent="0.3">
      <c r="A13" s="3" t="s">
        <v>17</v>
      </c>
      <c r="B13" s="3">
        <v>102</v>
      </c>
      <c r="C13" s="3" t="s">
        <v>35</v>
      </c>
      <c r="D13" s="3">
        <v>20</v>
      </c>
      <c r="E13" s="3" t="s">
        <v>19</v>
      </c>
      <c r="F13" s="3" t="s">
        <v>36</v>
      </c>
      <c r="G13" s="3" t="s">
        <v>19</v>
      </c>
      <c r="H13" s="3" t="s">
        <v>37</v>
      </c>
      <c r="I13" s="3">
        <v>9.5299999999999994</v>
      </c>
      <c r="J13" s="3" t="s">
        <v>22</v>
      </c>
      <c r="K13" s="3" t="s">
        <v>38</v>
      </c>
      <c r="L13" s="3" t="s">
        <v>24</v>
      </c>
      <c r="M13" s="3">
        <v>24</v>
      </c>
      <c r="N13" s="6"/>
      <c r="O13" s="3">
        <v>7.2</v>
      </c>
      <c r="P13" s="3">
        <v>7.2</v>
      </c>
      <c r="Q13" s="3">
        <v>0</v>
      </c>
      <c r="R13" s="3">
        <v>0</v>
      </c>
      <c r="S13" s="3">
        <v>7.2</v>
      </c>
      <c r="T13" s="3">
        <v>0</v>
      </c>
      <c r="U13" s="3">
        <v>0</v>
      </c>
      <c r="V13" s="3">
        <f t="shared" si="2"/>
        <v>7.2</v>
      </c>
      <c r="W13" s="3">
        <v>0</v>
      </c>
      <c r="X13" s="3">
        <v>0</v>
      </c>
      <c r="Y13" s="3">
        <v>12</v>
      </c>
      <c r="Z13" s="3">
        <v>0</v>
      </c>
      <c r="AA13" s="3">
        <v>0</v>
      </c>
      <c r="AB13" s="3">
        <f t="shared" si="3"/>
        <v>12</v>
      </c>
      <c r="AC13" s="6">
        <f t="shared" si="0"/>
        <v>0</v>
      </c>
      <c r="AD13" s="6">
        <f t="shared" si="0"/>
        <v>0</v>
      </c>
      <c r="AE13" s="6">
        <f t="shared" si="0"/>
        <v>-12</v>
      </c>
      <c r="AF13" s="6">
        <f t="shared" si="0"/>
        <v>0</v>
      </c>
      <c r="AG13" s="6">
        <f t="shared" si="0"/>
        <v>0</v>
      </c>
      <c r="AH13" s="6">
        <f t="shared" si="4"/>
        <v>-12</v>
      </c>
      <c r="AI13" s="3"/>
      <c r="AJ13" s="3" t="e">
        <f>_xlfn.XLOOKUP(K13,工作表1!A:A,工作表1!C:C)</f>
        <v>#N/A</v>
      </c>
      <c r="AK13" s="3"/>
      <c r="AL13" s="6">
        <f t="shared" si="5"/>
        <v>0</v>
      </c>
      <c r="AM13" s="6">
        <f t="shared" si="6"/>
        <v>0</v>
      </c>
      <c r="AN13" s="6">
        <f t="shared" si="7"/>
        <v>0</v>
      </c>
      <c r="AO13" s="6">
        <f t="shared" si="8"/>
        <v>0</v>
      </c>
      <c r="AP13" s="6">
        <f t="shared" si="9"/>
        <v>0</v>
      </c>
      <c r="AQ13" s="6">
        <f t="shared" si="10"/>
        <v>0</v>
      </c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  <c r="BC13" s="6"/>
      <c r="BD13" s="6"/>
      <c r="BE13" s="6"/>
      <c r="BF13" s="6"/>
      <c r="BG13" s="6"/>
      <c r="BH13" s="6"/>
      <c r="BI13" s="6"/>
      <c r="BJ13" s="6"/>
      <c r="BK13" s="6"/>
      <c r="BL13" s="6"/>
      <c r="BM13" s="6"/>
      <c r="BN13" s="6"/>
      <c r="BO13" s="6"/>
      <c r="BP13" s="3">
        <v>12</v>
      </c>
      <c r="BQ13" s="6">
        <f t="shared" si="1"/>
        <v>0</v>
      </c>
    </row>
    <row r="14" spans="1:74" x14ac:dyDescent="0.3">
      <c r="A14" s="3" t="s">
        <v>17</v>
      </c>
      <c r="B14" s="3">
        <v>102</v>
      </c>
      <c r="C14" s="3" t="s">
        <v>35</v>
      </c>
      <c r="D14" s="3">
        <v>16</v>
      </c>
      <c r="E14" s="3" t="s">
        <v>19</v>
      </c>
      <c r="F14" s="3" t="s">
        <v>36</v>
      </c>
      <c r="G14" s="3" t="s">
        <v>19</v>
      </c>
      <c r="H14" s="3" t="s">
        <v>39</v>
      </c>
      <c r="I14" s="3">
        <v>9.5299999999999994</v>
      </c>
      <c r="J14" s="3" t="s">
        <v>22</v>
      </c>
      <c r="K14" s="3" t="s">
        <v>40</v>
      </c>
      <c r="L14" s="3" t="s">
        <v>24</v>
      </c>
      <c r="M14" s="3">
        <v>18</v>
      </c>
      <c r="N14" s="6"/>
      <c r="O14" s="3">
        <v>7.2</v>
      </c>
      <c r="P14" s="3">
        <v>7.2</v>
      </c>
      <c r="Q14" s="3">
        <v>0</v>
      </c>
      <c r="R14" s="3">
        <v>0</v>
      </c>
      <c r="S14" s="3">
        <v>7.2</v>
      </c>
      <c r="T14" s="3">
        <v>0</v>
      </c>
      <c r="U14" s="3">
        <v>0</v>
      </c>
      <c r="V14" s="3">
        <f t="shared" si="2"/>
        <v>7.2</v>
      </c>
      <c r="W14" s="3">
        <v>0</v>
      </c>
      <c r="X14" s="3">
        <v>0</v>
      </c>
      <c r="Y14" s="3">
        <v>12</v>
      </c>
      <c r="Z14" s="3">
        <v>0</v>
      </c>
      <c r="AA14" s="3">
        <v>0</v>
      </c>
      <c r="AB14" s="3">
        <f t="shared" si="3"/>
        <v>12</v>
      </c>
      <c r="AC14" s="6">
        <f t="shared" si="0"/>
        <v>0</v>
      </c>
      <c r="AD14" s="6">
        <f t="shared" si="0"/>
        <v>0</v>
      </c>
      <c r="AE14" s="6">
        <f t="shared" si="0"/>
        <v>-12</v>
      </c>
      <c r="AF14" s="6">
        <f t="shared" si="0"/>
        <v>0</v>
      </c>
      <c r="AG14" s="6">
        <f t="shared" si="0"/>
        <v>0</v>
      </c>
      <c r="AH14" s="6">
        <f t="shared" si="4"/>
        <v>-12</v>
      </c>
      <c r="AI14" s="3"/>
      <c r="AJ14" s="3" t="e">
        <f>_xlfn.XLOOKUP(K14,工作表1!A:A,工作表1!C:C)</f>
        <v>#N/A</v>
      </c>
      <c r="AK14" s="3"/>
      <c r="AL14" s="6">
        <f t="shared" si="5"/>
        <v>0</v>
      </c>
      <c r="AM14" s="6">
        <f t="shared" si="6"/>
        <v>0</v>
      </c>
      <c r="AN14" s="6">
        <f t="shared" si="7"/>
        <v>0</v>
      </c>
      <c r="AO14" s="6">
        <f t="shared" si="8"/>
        <v>0</v>
      </c>
      <c r="AP14" s="6">
        <f t="shared" si="9"/>
        <v>0</v>
      </c>
      <c r="AQ14" s="6">
        <f t="shared" si="10"/>
        <v>0</v>
      </c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  <c r="BC14" s="6"/>
      <c r="BD14" s="6"/>
      <c r="BE14" s="6"/>
      <c r="BF14" s="6"/>
      <c r="BG14" s="6"/>
      <c r="BH14" s="6"/>
      <c r="BI14" s="6"/>
      <c r="BJ14" s="6"/>
      <c r="BK14" s="6"/>
      <c r="BL14" s="6"/>
      <c r="BM14" s="6"/>
      <c r="BN14" s="6"/>
      <c r="BO14" s="6"/>
      <c r="BP14" s="3">
        <v>12</v>
      </c>
      <c r="BQ14" s="6">
        <f t="shared" si="1"/>
        <v>0</v>
      </c>
    </row>
    <row r="15" spans="1:74" x14ac:dyDescent="0.3">
      <c r="A15" s="3" t="s">
        <v>17</v>
      </c>
      <c r="B15" s="3">
        <v>102</v>
      </c>
      <c r="C15" s="3" t="s">
        <v>35</v>
      </c>
      <c r="D15" s="3">
        <v>6</v>
      </c>
      <c r="E15" s="3" t="s">
        <v>19</v>
      </c>
      <c r="F15" s="3" t="s">
        <v>41</v>
      </c>
      <c r="G15" s="3" t="s">
        <v>19</v>
      </c>
      <c r="H15" s="3" t="s">
        <v>42</v>
      </c>
      <c r="I15" s="3">
        <v>18.260000000000002</v>
      </c>
      <c r="J15" s="3" t="s">
        <v>22</v>
      </c>
      <c r="K15" s="3" t="s">
        <v>43</v>
      </c>
      <c r="L15" s="3" t="s">
        <v>24</v>
      </c>
      <c r="M15" s="3">
        <v>78</v>
      </c>
      <c r="N15" s="6"/>
      <c r="O15" s="3">
        <v>69.5</v>
      </c>
      <c r="P15" s="3">
        <v>69.5</v>
      </c>
      <c r="Q15" s="3">
        <v>0</v>
      </c>
      <c r="R15" s="3">
        <v>0</v>
      </c>
      <c r="S15" s="3">
        <v>66.5</v>
      </c>
      <c r="T15" s="3">
        <v>3</v>
      </c>
      <c r="U15" s="3">
        <v>0</v>
      </c>
      <c r="V15" s="3">
        <f t="shared" si="2"/>
        <v>69.5</v>
      </c>
      <c r="W15" s="3">
        <v>0</v>
      </c>
      <c r="X15" s="3">
        <v>0</v>
      </c>
      <c r="Y15" s="3">
        <v>78</v>
      </c>
      <c r="Z15" s="3">
        <v>6</v>
      </c>
      <c r="AA15" s="3">
        <v>0</v>
      </c>
      <c r="AB15" s="3">
        <f t="shared" si="3"/>
        <v>84</v>
      </c>
      <c r="AC15" s="6">
        <f t="shared" si="0"/>
        <v>0</v>
      </c>
      <c r="AD15" s="6">
        <f t="shared" si="0"/>
        <v>0</v>
      </c>
      <c r="AE15" s="6">
        <f t="shared" si="0"/>
        <v>-78</v>
      </c>
      <c r="AF15" s="6">
        <f t="shared" si="0"/>
        <v>-6</v>
      </c>
      <c r="AG15" s="6">
        <f t="shared" si="0"/>
        <v>0</v>
      </c>
      <c r="AH15" s="6">
        <f t="shared" si="4"/>
        <v>-84</v>
      </c>
      <c r="AI15" s="3"/>
      <c r="AJ15" s="3">
        <f>_xlfn.XLOOKUP(K15,工作表1!A:A,工作表1!C:C)</f>
        <v>18</v>
      </c>
      <c r="AK15" s="3" t="s">
        <v>1483</v>
      </c>
      <c r="AL15" s="6">
        <f t="shared" si="5"/>
        <v>0</v>
      </c>
      <c r="AM15" s="6">
        <f t="shared" si="6"/>
        <v>0</v>
      </c>
      <c r="AN15" s="6">
        <f t="shared" si="7"/>
        <v>0</v>
      </c>
      <c r="AO15" s="6">
        <f t="shared" si="8"/>
        <v>0</v>
      </c>
      <c r="AP15" s="6">
        <f t="shared" si="9"/>
        <v>0</v>
      </c>
      <c r="AQ15" s="6">
        <f t="shared" si="10"/>
        <v>0</v>
      </c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  <c r="BC15" s="6"/>
      <c r="BD15" s="6"/>
      <c r="BE15" s="6"/>
      <c r="BF15" s="6"/>
      <c r="BG15" s="6"/>
      <c r="BH15" s="6"/>
      <c r="BI15" s="6"/>
      <c r="BJ15" s="6"/>
      <c r="BK15" s="6"/>
      <c r="BL15" s="6"/>
      <c r="BM15" s="6"/>
      <c r="BN15" s="6"/>
      <c r="BO15" s="6"/>
      <c r="BP15" s="3">
        <v>78</v>
      </c>
      <c r="BQ15" s="6">
        <f t="shared" si="1"/>
        <v>0</v>
      </c>
    </row>
    <row r="16" spans="1:74" x14ac:dyDescent="0.3">
      <c r="A16" s="3" t="s">
        <v>17</v>
      </c>
      <c r="B16" s="3">
        <v>102</v>
      </c>
      <c r="C16" s="3" t="s">
        <v>35</v>
      </c>
      <c r="D16" s="3">
        <v>6</v>
      </c>
      <c r="E16" s="3" t="s">
        <v>19</v>
      </c>
      <c r="F16" s="3" t="s">
        <v>20</v>
      </c>
      <c r="G16" s="3" t="s">
        <v>19</v>
      </c>
      <c r="H16" s="3" t="s">
        <v>28</v>
      </c>
      <c r="I16" s="3">
        <v>7.11</v>
      </c>
      <c r="J16" s="3" t="s">
        <v>22</v>
      </c>
      <c r="K16" s="3" t="s">
        <v>44</v>
      </c>
      <c r="L16" s="3" t="s">
        <v>24</v>
      </c>
      <c r="M16" s="3">
        <v>72</v>
      </c>
      <c r="N16" s="6"/>
      <c r="O16" s="3">
        <v>18.7</v>
      </c>
      <c r="P16" s="3">
        <v>18.7</v>
      </c>
      <c r="Q16" s="3">
        <v>0</v>
      </c>
      <c r="R16" s="3">
        <v>0</v>
      </c>
      <c r="S16" s="3">
        <v>12.5</v>
      </c>
      <c r="T16" s="3">
        <v>6.2</v>
      </c>
      <c r="U16" s="3">
        <v>0</v>
      </c>
      <c r="V16" s="3">
        <f t="shared" si="2"/>
        <v>18.7</v>
      </c>
      <c r="W16" s="3">
        <v>0</v>
      </c>
      <c r="X16" s="3">
        <v>0</v>
      </c>
      <c r="Y16" s="3">
        <v>18</v>
      </c>
      <c r="Z16" s="3">
        <v>12</v>
      </c>
      <c r="AA16" s="3">
        <v>0</v>
      </c>
      <c r="AB16" s="3">
        <f t="shared" si="3"/>
        <v>30</v>
      </c>
      <c r="AC16" s="6">
        <f t="shared" si="0"/>
        <v>0</v>
      </c>
      <c r="AD16" s="6">
        <f t="shared" si="0"/>
        <v>0</v>
      </c>
      <c r="AE16" s="6">
        <f t="shared" si="0"/>
        <v>-18</v>
      </c>
      <c r="AF16" s="6">
        <f t="shared" si="0"/>
        <v>-12</v>
      </c>
      <c r="AG16" s="6">
        <f t="shared" si="0"/>
        <v>0</v>
      </c>
      <c r="AH16" s="6">
        <f t="shared" si="4"/>
        <v>-30</v>
      </c>
      <c r="AI16" s="3"/>
      <c r="AJ16" s="3" t="e">
        <f>_xlfn.XLOOKUP(K16,工作表1!A:A,工作表1!C:C)</f>
        <v>#N/A</v>
      </c>
      <c r="AK16" s="3"/>
      <c r="AL16" s="6">
        <f t="shared" si="5"/>
        <v>0</v>
      </c>
      <c r="AM16" s="6">
        <f t="shared" si="6"/>
        <v>0</v>
      </c>
      <c r="AN16" s="6">
        <f t="shared" si="7"/>
        <v>0</v>
      </c>
      <c r="AO16" s="6">
        <f t="shared" si="8"/>
        <v>0</v>
      </c>
      <c r="AP16" s="6">
        <f t="shared" si="9"/>
        <v>0</v>
      </c>
      <c r="AQ16" s="6">
        <f t="shared" si="10"/>
        <v>0</v>
      </c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  <c r="BC16" s="6"/>
      <c r="BD16" s="6"/>
      <c r="BE16" s="6"/>
      <c r="BF16" s="6"/>
      <c r="BG16" s="6"/>
      <c r="BH16" s="6"/>
      <c r="BI16" s="6"/>
      <c r="BJ16" s="6"/>
      <c r="BK16" s="6"/>
      <c r="BL16" s="6"/>
      <c r="BM16" s="6"/>
      <c r="BN16" s="6"/>
      <c r="BO16" s="6"/>
      <c r="BP16" s="3">
        <v>24</v>
      </c>
      <c r="BQ16" s="6">
        <f t="shared" si="1"/>
        <v>0</v>
      </c>
    </row>
    <row r="17" spans="1:70" x14ac:dyDescent="0.3">
      <c r="A17" s="3" t="s">
        <v>17</v>
      </c>
      <c r="B17" s="3">
        <v>102</v>
      </c>
      <c r="C17" s="3" t="s">
        <v>35</v>
      </c>
      <c r="D17" s="3">
        <v>4</v>
      </c>
      <c r="E17" s="3" t="s">
        <v>19</v>
      </c>
      <c r="F17" s="3" t="s">
        <v>45</v>
      </c>
      <c r="G17" s="3" t="s">
        <v>19</v>
      </c>
      <c r="H17" s="3" t="s">
        <v>46</v>
      </c>
      <c r="I17" s="3">
        <v>11.13</v>
      </c>
      <c r="J17" s="3" t="s">
        <v>22</v>
      </c>
      <c r="K17" s="3" t="s">
        <v>47</v>
      </c>
      <c r="L17" s="3" t="s">
        <v>24</v>
      </c>
      <c r="M17" s="3">
        <v>18</v>
      </c>
      <c r="N17" s="6"/>
      <c r="O17" s="3">
        <v>13.3</v>
      </c>
      <c r="P17" s="3">
        <v>13.3</v>
      </c>
      <c r="Q17" s="3">
        <v>0</v>
      </c>
      <c r="R17" s="3">
        <v>0</v>
      </c>
      <c r="S17" s="3">
        <v>0</v>
      </c>
      <c r="T17" s="3">
        <v>13.3</v>
      </c>
      <c r="U17" s="3">
        <v>0</v>
      </c>
      <c r="V17" s="3">
        <f t="shared" si="2"/>
        <v>13.3</v>
      </c>
      <c r="W17" s="3">
        <v>0</v>
      </c>
      <c r="X17" s="3">
        <v>0</v>
      </c>
      <c r="Y17" s="3">
        <v>0</v>
      </c>
      <c r="Z17" s="3">
        <v>18</v>
      </c>
      <c r="AA17" s="3">
        <v>0</v>
      </c>
      <c r="AB17" s="3">
        <f t="shared" si="3"/>
        <v>18</v>
      </c>
      <c r="AC17" s="6">
        <f t="shared" si="0"/>
        <v>0</v>
      </c>
      <c r="AD17" s="6">
        <f t="shared" si="0"/>
        <v>0</v>
      </c>
      <c r="AE17" s="6">
        <f t="shared" si="0"/>
        <v>0</v>
      </c>
      <c r="AF17" s="6">
        <f t="shared" si="0"/>
        <v>-18</v>
      </c>
      <c r="AG17" s="6">
        <f t="shared" si="0"/>
        <v>0</v>
      </c>
      <c r="AH17" s="6">
        <f t="shared" si="4"/>
        <v>-18</v>
      </c>
      <c r="AI17" s="3"/>
      <c r="AJ17" s="3" t="e">
        <f>_xlfn.XLOOKUP(K17,工作表1!A:A,工作表1!C:C)</f>
        <v>#N/A</v>
      </c>
      <c r="AK17" s="3"/>
      <c r="AL17" s="6">
        <f t="shared" si="5"/>
        <v>0</v>
      </c>
      <c r="AM17" s="6">
        <f t="shared" si="6"/>
        <v>0</v>
      </c>
      <c r="AN17" s="6">
        <f t="shared" si="7"/>
        <v>0</v>
      </c>
      <c r="AO17" s="6">
        <f t="shared" si="8"/>
        <v>0</v>
      </c>
      <c r="AP17" s="6">
        <f t="shared" si="9"/>
        <v>0</v>
      </c>
      <c r="AQ17" s="6">
        <f t="shared" si="10"/>
        <v>0</v>
      </c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  <c r="BC17" s="6"/>
      <c r="BD17" s="6"/>
      <c r="BE17" s="6"/>
      <c r="BF17" s="6"/>
      <c r="BG17" s="6"/>
      <c r="BH17" s="6"/>
      <c r="BI17" s="6"/>
      <c r="BJ17" s="6"/>
      <c r="BK17" s="6"/>
      <c r="BL17" s="6"/>
      <c r="BM17" s="6"/>
      <c r="BN17" s="6"/>
      <c r="BO17" s="6"/>
      <c r="BP17" s="3">
        <v>18</v>
      </c>
      <c r="BQ17" s="6">
        <f t="shared" si="1"/>
        <v>0</v>
      </c>
    </row>
    <row r="18" spans="1:70" x14ac:dyDescent="0.3">
      <c r="A18" s="3" t="s">
        <v>17</v>
      </c>
      <c r="B18" s="3">
        <v>102</v>
      </c>
      <c r="C18" s="3" t="s">
        <v>35</v>
      </c>
      <c r="D18" s="3">
        <v>4</v>
      </c>
      <c r="E18" s="3" t="s">
        <v>19</v>
      </c>
      <c r="F18" s="3" t="s">
        <v>41</v>
      </c>
      <c r="G18" s="3" t="s">
        <v>19</v>
      </c>
      <c r="H18" s="3" t="s">
        <v>48</v>
      </c>
      <c r="I18" s="3">
        <v>13.49</v>
      </c>
      <c r="J18" s="3" t="s">
        <v>22</v>
      </c>
      <c r="K18" s="3" t="s">
        <v>49</v>
      </c>
      <c r="L18" s="3" t="s">
        <v>24</v>
      </c>
      <c r="M18" s="3">
        <v>6</v>
      </c>
      <c r="N18" s="6"/>
      <c r="O18" s="3">
        <v>0.2</v>
      </c>
      <c r="P18" s="3">
        <v>0.2</v>
      </c>
      <c r="Q18" s="3">
        <v>0</v>
      </c>
      <c r="R18" s="3">
        <v>0</v>
      </c>
      <c r="S18" s="3">
        <v>0.2</v>
      </c>
      <c r="T18" s="3">
        <v>0</v>
      </c>
      <c r="U18" s="3">
        <v>0</v>
      </c>
      <c r="V18" s="3">
        <f t="shared" si="2"/>
        <v>0.2</v>
      </c>
      <c r="W18" s="3">
        <v>0</v>
      </c>
      <c r="X18" s="3">
        <v>0</v>
      </c>
      <c r="Y18" s="3">
        <v>6</v>
      </c>
      <c r="Z18" s="3">
        <v>0</v>
      </c>
      <c r="AA18" s="3">
        <v>0</v>
      </c>
      <c r="AB18" s="3">
        <f t="shared" si="3"/>
        <v>6</v>
      </c>
      <c r="AC18" s="6">
        <f t="shared" si="0"/>
        <v>0</v>
      </c>
      <c r="AD18" s="6">
        <f t="shared" si="0"/>
        <v>0</v>
      </c>
      <c r="AE18" s="6">
        <f t="shared" si="0"/>
        <v>-6</v>
      </c>
      <c r="AF18" s="6">
        <f t="shared" si="0"/>
        <v>0</v>
      </c>
      <c r="AG18" s="6">
        <f t="shared" si="0"/>
        <v>0</v>
      </c>
      <c r="AH18" s="6">
        <f t="shared" si="4"/>
        <v>-6</v>
      </c>
      <c r="AI18" s="3"/>
      <c r="AJ18" s="3" t="e">
        <f>_xlfn.XLOOKUP(K18,工作表1!A:A,工作表1!C:C)</f>
        <v>#N/A</v>
      </c>
      <c r="AK18" s="3"/>
      <c r="AL18" s="6">
        <f t="shared" si="5"/>
        <v>0</v>
      </c>
      <c r="AM18" s="6">
        <f t="shared" si="6"/>
        <v>0</v>
      </c>
      <c r="AN18" s="6">
        <f t="shared" si="7"/>
        <v>0</v>
      </c>
      <c r="AO18" s="6">
        <f t="shared" si="8"/>
        <v>0</v>
      </c>
      <c r="AP18" s="6">
        <f t="shared" si="9"/>
        <v>0</v>
      </c>
      <c r="AQ18" s="6">
        <f t="shared" si="10"/>
        <v>0</v>
      </c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  <c r="BC18" s="6"/>
      <c r="BD18" s="6"/>
      <c r="BE18" s="6"/>
      <c r="BF18" s="6"/>
      <c r="BG18" s="6"/>
      <c r="BH18" s="6"/>
      <c r="BI18" s="6"/>
      <c r="BJ18" s="6"/>
      <c r="BK18" s="6"/>
      <c r="BL18" s="6"/>
      <c r="BM18" s="6"/>
      <c r="BN18" s="6"/>
      <c r="BO18" s="6"/>
      <c r="BP18" s="3">
        <v>6</v>
      </c>
      <c r="BQ18" s="6">
        <f t="shared" si="1"/>
        <v>0</v>
      </c>
    </row>
    <row r="19" spans="1:70" x14ac:dyDescent="0.3">
      <c r="A19" s="3" t="s">
        <v>17</v>
      </c>
      <c r="B19" s="3">
        <v>102</v>
      </c>
      <c r="C19" s="3" t="s">
        <v>35</v>
      </c>
      <c r="D19" s="3">
        <v>4</v>
      </c>
      <c r="E19" s="3" t="s">
        <v>19</v>
      </c>
      <c r="F19" s="3" t="s">
        <v>20</v>
      </c>
      <c r="G19" s="3" t="s">
        <v>19</v>
      </c>
      <c r="H19" s="3" t="s">
        <v>30</v>
      </c>
      <c r="I19" s="3">
        <v>6.02</v>
      </c>
      <c r="J19" s="3" t="s">
        <v>22</v>
      </c>
      <c r="K19" s="3" t="s">
        <v>50</v>
      </c>
      <c r="L19" s="3" t="s">
        <v>24</v>
      </c>
      <c r="M19" s="3">
        <v>210</v>
      </c>
      <c r="N19" s="6"/>
      <c r="O19" s="3">
        <v>35.6</v>
      </c>
      <c r="P19" s="3">
        <v>35.6</v>
      </c>
      <c r="Q19" s="3">
        <v>0</v>
      </c>
      <c r="R19" s="3">
        <v>0</v>
      </c>
      <c r="S19" s="3">
        <v>35.6</v>
      </c>
      <c r="T19" s="3">
        <v>0</v>
      </c>
      <c r="U19" s="3">
        <v>0</v>
      </c>
      <c r="V19" s="3">
        <f t="shared" si="2"/>
        <v>35.6</v>
      </c>
      <c r="W19" s="3">
        <v>0</v>
      </c>
      <c r="X19" s="3">
        <v>0</v>
      </c>
      <c r="Y19" s="3">
        <v>42</v>
      </c>
      <c r="Z19" s="3">
        <v>0</v>
      </c>
      <c r="AA19" s="3">
        <v>0</v>
      </c>
      <c r="AB19" s="3">
        <f t="shared" si="3"/>
        <v>42</v>
      </c>
      <c r="AC19" s="6">
        <f t="shared" si="0"/>
        <v>0</v>
      </c>
      <c r="AD19" s="6">
        <f t="shared" si="0"/>
        <v>0</v>
      </c>
      <c r="AE19" s="6">
        <f t="shared" si="0"/>
        <v>-42</v>
      </c>
      <c r="AF19" s="6">
        <f t="shared" si="0"/>
        <v>0</v>
      </c>
      <c r="AG19" s="6">
        <f t="shared" si="0"/>
        <v>0</v>
      </c>
      <c r="AH19" s="6">
        <f t="shared" si="4"/>
        <v>-42</v>
      </c>
      <c r="AI19" s="3"/>
      <c r="AJ19" s="3" t="e">
        <f>_xlfn.XLOOKUP(K19,工作表1!A:A,工作表1!C:C)</f>
        <v>#N/A</v>
      </c>
      <c r="AK19" s="3"/>
      <c r="AL19" s="6">
        <f t="shared" si="5"/>
        <v>0</v>
      </c>
      <c r="AM19" s="6">
        <f t="shared" si="6"/>
        <v>0</v>
      </c>
      <c r="AN19" s="6">
        <f t="shared" si="7"/>
        <v>0</v>
      </c>
      <c r="AO19" s="6">
        <f t="shared" si="8"/>
        <v>0</v>
      </c>
      <c r="AP19" s="6">
        <f t="shared" si="9"/>
        <v>0</v>
      </c>
      <c r="AQ19" s="6">
        <f t="shared" si="10"/>
        <v>0</v>
      </c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  <c r="BC19" s="6"/>
      <c r="BD19" s="6"/>
      <c r="BE19" s="6"/>
      <c r="BF19" s="6"/>
      <c r="BG19" s="6"/>
      <c r="BH19" s="6"/>
      <c r="BI19" s="6"/>
      <c r="BJ19" s="6"/>
      <c r="BK19" s="6"/>
      <c r="BL19" s="6"/>
      <c r="BM19" s="6"/>
      <c r="BN19" s="6"/>
      <c r="BO19" s="6"/>
      <c r="BP19" s="3">
        <v>42</v>
      </c>
      <c r="BQ19" s="6">
        <f t="shared" si="1"/>
        <v>0</v>
      </c>
    </row>
    <row r="20" spans="1:70" x14ac:dyDescent="0.3">
      <c r="A20" s="3" t="s">
        <v>17</v>
      </c>
      <c r="B20" s="3">
        <v>102</v>
      </c>
      <c r="C20" s="3" t="s">
        <v>35</v>
      </c>
      <c r="D20" s="3">
        <v>3</v>
      </c>
      <c r="E20" s="3" t="s">
        <v>19</v>
      </c>
      <c r="F20" s="3" t="s">
        <v>41</v>
      </c>
      <c r="G20" s="3" t="s">
        <v>19</v>
      </c>
      <c r="H20" s="3" t="s">
        <v>51</v>
      </c>
      <c r="I20" s="3">
        <v>11.13</v>
      </c>
      <c r="J20" s="3" t="s">
        <v>22</v>
      </c>
      <c r="K20" s="3" t="s">
        <v>52</v>
      </c>
      <c r="L20" s="3" t="s">
        <v>24</v>
      </c>
      <c r="M20" s="3">
        <v>6</v>
      </c>
      <c r="N20" s="6"/>
      <c r="O20" s="3">
        <v>0.8</v>
      </c>
      <c r="P20" s="3">
        <v>0.8</v>
      </c>
      <c r="Q20" s="3">
        <v>0</v>
      </c>
      <c r="R20" s="3">
        <v>0</v>
      </c>
      <c r="S20" s="3">
        <v>0.8</v>
      </c>
      <c r="T20" s="3">
        <v>0</v>
      </c>
      <c r="U20" s="3">
        <v>0</v>
      </c>
      <c r="V20" s="3">
        <f t="shared" si="2"/>
        <v>0.8</v>
      </c>
      <c r="W20" s="3">
        <v>0</v>
      </c>
      <c r="X20" s="3">
        <v>0</v>
      </c>
      <c r="Y20" s="3">
        <v>6</v>
      </c>
      <c r="Z20" s="3">
        <v>0</v>
      </c>
      <c r="AA20" s="3">
        <v>0</v>
      </c>
      <c r="AB20" s="3">
        <f t="shared" si="3"/>
        <v>6</v>
      </c>
      <c r="AC20" s="6">
        <f t="shared" si="0"/>
        <v>0</v>
      </c>
      <c r="AD20" s="6">
        <f t="shared" si="0"/>
        <v>0</v>
      </c>
      <c r="AE20" s="6">
        <f t="shared" si="0"/>
        <v>-6</v>
      </c>
      <c r="AF20" s="6">
        <f t="shared" si="0"/>
        <v>0</v>
      </c>
      <c r="AG20" s="6">
        <f t="shared" si="0"/>
        <v>0</v>
      </c>
      <c r="AH20" s="6">
        <f t="shared" si="4"/>
        <v>-6</v>
      </c>
      <c r="AI20" s="3"/>
      <c r="AJ20" s="3" t="e">
        <f>_xlfn.XLOOKUP(K20,工作表1!A:A,工作表1!C:C)</f>
        <v>#N/A</v>
      </c>
      <c r="AK20" s="3"/>
      <c r="AL20" s="6">
        <f t="shared" si="5"/>
        <v>0</v>
      </c>
      <c r="AM20" s="6">
        <f t="shared" si="6"/>
        <v>0</v>
      </c>
      <c r="AN20" s="6">
        <f t="shared" si="7"/>
        <v>0</v>
      </c>
      <c r="AO20" s="6">
        <f t="shared" si="8"/>
        <v>0</v>
      </c>
      <c r="AP20" s="6">
        <f t="shared" si="9"/>
        <v>0</v>
      </c>
      <c r="AQ20" s="6">
        <f t="shared" si="10"/>
        <v>0</v>
      </c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  <c r="BC20" s="6"/>
      <c r="BD20" s="6"/>
      <c r="BE20" s="6"/>
      <c r="BF20" s="6"/>
      <c r="BG20" s="6"/>
      <c r="BH20" s="6"/>
      <c r="BI20" s="6"/>
      <c r="BJ20" s="6"/>
      <c r="BK20" s="6"/>
      <c r="BL20" s="6"/>
      <c r="BM20" s="6"/>
      <c r="BN20" s="6"/>
      <c r="BO20" s="6"/>
      <c r="BP20" s="3">
        <v>6</v>
      </c>
      <c r="BQ20" s="6">
        <f t="shared" si="1"/>
        <v>0</v>
      </c>
    </row>
    <row r="21" spans="1:70" x14ac:dyDescent="0.3">
      <c r="A21" s="3" t="s">
        <v>17</v>
      </c>
      <c r="B21" s="3">
        <v>102</v>
      </c>
      <c r="C21" s="3" t="s">
        <v>35</v>
      </c>
      <c r="D21" s="3">
        <v>3</v>
      </c>
      <c r="E21" s="3" t="s">
        <v>19</v>
      </c>
      <c r="F21" s="3" t="s">
        <v>20</v>
      </c>
      <c r="G21" s="3" t="s">
        <v>19</v>
      </c>
      <c r="H21" s="3" t="s">
        <v>32</v>
      </c>
      <c r="I21" s="3">
        <v>5.49</v>
      </c>
      <c r="J21" s="3" t="s">
        <v>22</v>
      </c>
      <c r="K21" s="3" t="s">
        <v>53</v>
      </c>
      <c r="L21" s="3" t="s">
        <v>24</v>
      </c>
      <c r="M21" s="3">
        <v>114</v>
      </c>
      <c r="N21" s="6"/>
      <c r="O21" s="3">
        <v>32.6</v>
      </c>
      <c r="P21" s="3">
        <v>32.6</v>
      </c>
      <c r="Q21" s="3">
        <v>0</v>
      </c>
      <c r="R21" s="3">
        <v>0</v>
      </c>
      <c r="S21" s="3">
        <v>32.6</v>
      </c>
      <c r="T21" s="3">
        <v>0</v>
      </c>
      <c r="U21" s="3">
        <v>0</v>
      </c>
      <c r="V21" s="3">
        <f t="shared" si="2"/>
        <v>32.6</v>
      </c>
      <c r="W21" s="3">
        <v>0</v>
      </c>
      <c r="X21" s="3">
        <v>0</v>
      </c>
      <c r="Y21" s="3">
        <v>36</v>
      </c>
      <c r="Z21" s="3">
        <v>0</v>
      </c>
      <c r="AA21" s="3">
        <v>0</v>
      </c>
      <c r="AB21" s="3">
        <f t="shared" si="3"/>
        <v>36</v>
      </c>
      <c r="AC21" s="6">
        <f t="shared" si="0"/>
        <v>0</v>
      </c>
      <c r="AD21" s="6">
        <f t="shared" si="0"/>
        <v>0</v>
      </c>
      <c r="AE21" s="6">
        <f t="shared" si="0"/>
        <v>-36</v>
      </c>
      <c r="AF21" s="6">
        <f t="shared" si="0"/>
        <v>0</v>
      </c>
      <c r="AG21" s="6">
        <f t="shared" si="0"/>
        <v>0</v>
      </c>
      <c r="AH21" s="6">
        <f t="shared" si="4"/>
        <v>-36</v>
      </c>
      <c r="AI21" s="3"/>
      <c r="AJ21" s="3" t="e">
        <f>_xlfn.XLOOKUP(K21,工作表1!A:A,工作表1!C:C)</f>
        <v>#N/A</v>
      </c>
      <c r="AK21" s="3"/>
      <c r="AL21" s="6">
        <f t="shared" si="5"/>
        <v>0</v>
      </c>
      <c r="AM21" s="6">
        <f t="shared" si="6"/>
        <v>0</v>
      </c>
      <c r="AN21" s="6">
        <f t="shared" si="7"/>
        <v>0</v>
      </c>
      <c r="AO21" s="6">
        <f t="shared" si="8"/>
        <v>0</v>
      </c>
      <c r="AP21" s="6">
        <f t="shared" si="9"/>
        <v>0</v>
      </c>
      <c r="AQ21" s="6">
        <f t="shared" si="10"/>
        <v>0</v>
      </c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  <c r="BC21" s="6"/>
      <c r="BD21" s="6"/>
      <c r="BE21" s="6"/>
      <c r="BF21" s="6"/>
      <c r="BG21" s="6"/>
      <c r="BH21" s="6"/>
      <c r="BI21" s="6"/>
      <c r="BJ21" s="6"/>
      <c r="BK21" s="6"/>
      <c r="BL21" s="6"/>
      <c r="BM21" s="6"/>
      <c r="BN21" s="6"/>
      <c r="BO21" s="6"/>
      <c r="BP21" s="3">
        <v>36</v>
      </c>
      <c r="BQ21" s="6">
        <f t="shared" si="1"/>
        <v>0</v>
      </c>
    </row>
    <row r="22" spans="1:70" x14ac:dyDescent="0.3">
      <c r="A22" s="3" t="s">
        <v>17</v>
      </c>
      <c r="B22" s="3">
        <v>102</v>
      </c>
      <c r="C22" s="3" t="s">
        <v>35</v>
      </c>
      <c r="D22" s="3">
        <v>2</v>
      </c>
      <c r="E22" s="3" t="s">
        <v>19</v>
      </c>
      <c r="F22" s="3" t="s">
        <v>41</v>
      </c>
      <c r="G22" s="3" t="s">
        <v>19</v>
      </c>
      <c r="H22" s="3" t="s">
        <v>54</v>
      </c>
      <c r="I22" s="3">
        <v>8.74</v>
      </c>
      <c r="J22" s="3" t="s">
        <v>22</v>
      </c>
      <c r="K22" s="3" t="s">
        <v>55</v>
      </c>
      <c r="L22" s="3" t="s">
        <v>24</v>
      </c>
      <c r="M22" s="3">
        <v>174</v>
      </c>
      <c r="N22" s="6"/>
      <c r="O22" s="3">
        <v>80.199999999999989</v>
      </c>
      <c r="P22" s="3">
        <v>80.2</v>
      </c>
      <c r="Q22" s="3">
        <v>0</v>
      </c>
      <c r="R22" s="3">
        <v>0</v>
      </c>
      <c r="S22" s="3">
        <v>80.2</v>
      </c>
      <c r="T22" s="3">
        <v>0</v>
      </c>
      <c r="U22" s="3">
        <v>0</v>
      </c>
      <c r="V22" s="3">
        <f t="shared" si="2"/>
        <v>80.2</v>
      </c>
      <c r="W22" s="3">
        <v>0</v>
      </c>
      <c r="X22" s="3">
        <v>0</v>
      </c>
      <c r="Y22" s="3">
        <v>90</v>
      </c>
      <c r="Z22" s="3">
        <v>0</v>
      </c>
      <c r="AA22" s="3">
        <v>0</v>
      </c>
      <c r="AB22" s="3">
        <f t="shared" si="3"/>
        <v>90</v>
      </c>
      <c r="AC22" s="6">
        <f t="shared" si="0"/>
        <v>0</v>
      </c>
      <c r="AD22" s="6">
        <f t="shared" si="0"/>
        <v>0</v>
      </c>
      <c r="AE22" s="6">
        <f t="shared" si="0"/>
        <v>-90</v>
      </c>
      <c r="AF22" s="6">
        <f t="shared" si="0"/>
        <v>0</v>
      </c>
      <c r="AG22" s="6">
        <f t="shared" si="0"/>
        <v>0</v>
      </c>
      <c r="AH22" s="6">
        <f t="shared" si="4"/>
        <v>-90</v>
      </c>
      <c r="AI22" s="3"/>
      <c r="AJ22" s="3" t="e">
        <f>_xlfn.XLOOKUP(K22,工作表1!A:A,工作表1!C:C)</f>
        <v>#N/A</v>
      </c>
      <c r="AK22" s="3"/>
      <c r="AL22" s="6">
        <f t="shared" si="5"/>
        <v>0</v>
      </c>
      <c r="AM22" s="6">
        <f t="shared" si="6"/>
        <v>0</v>
      </c>
      <c r="AN22" s="6">
        <f t="shared" si="7"/>
        <v>0</v>
      </c>
      <c r="AO22" s="6">
        <f t="shared" si="8"/>
        <v>0</v>
      </c>
      <c r="AP22" s="6">
        <f t="shared" si="9"/>
        <v>0</v>
      </c>
      <c r="AQ22" s="6">
        <f t="shared" si="10"/>
        <v>0</v>
      </c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  <c r="BC22" s="6"/>
      <c r="BD22" s="6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6"/>
      <c r="BP22" s="3">
        <v>90</v>
      </c>
      <c r="BQ22" s="6">
        <f t="shared" si="1"/>
        <v>0</v>
      </c>
    </row>
    <row r="23" spans="1:70" x14ac:dyDescent="0.3">
      <c r="A23" s="3" t="s">
        <v>17</v>
      </c>
      <c r="B23" s="3">
        <v>102</v>
      </c>
      <c r="C23" s="3" t="s">
        <v>35</v>
      </c>
      <c r="D23" s="3">
        <v>2</v>
      </c>
      <c r="E23" s="3" t="s">
        <v>19</v>
      </c>
      <c r="F23" s="3" t="s">
        <v>25</v>
      </c>
      <c r="G23" s="3" t="s">
        <v>19</v>
      </c>
      <c r="H23" s="3" t="s">
        <v>34</v>
      </c>
      <c r="I23" s="3">
        <v>5.54</v>
      </c>
      <c r="J23" s="3" t="s">
        <v>22</v>
      </c>
      <c r="K23" s="3" t="s">
        <v>56</v>
      </c>
      <c r="L23" s="3" t="s">
        <v>24</v>
      </c>
      <c r="M23" s="3">
        <v>54</v>
      </c>
      <c r="N23" s="6"/>
      <c r="O23" s="3">
        <v>17.299999999999997</v>
      </c>
      <c r="P23" s="3">
        <v>17.3</v>
      </c>
      <c r="Q23" s="3">
        <v>0</v>
      </c>
      <c r="R23" s="3">
        <v>0</v>
      </c>
      <c r="S23" s="3">
        <v>17.3</v>
      </c>
      <c r="T23" s="3">
        <v>0</v>
      </c>
      <c r="U23" s="3">
        <v>0</v>
      </c>
      <c r="V23" s="3">
        <f t="shared" si="2"/>
        <v>17.3</v>
      </c>
      <c r="W23" s="3">
        <v>0</v>
      </c>
      <c r="X23" s="3">
        <v>0</v>
      </c>
      <c r="Y23" s="3">
        <v>24</v>
      </c>
      <c r="Z23" s="3">
        <v>0</v>
      </c>
      <c r="AA23" s="3">
        <v>0</v>
      </c>
      <c r="AB23" s="3">
        <f t="shared" si="3"/>
        <v>24</v>
      </c>
      <c r="AC23" s="6">
        <f t="shared" ref="AC23:AC86" si="11">AL23-W23</f>
        <v>0</v>
      </c>
      <c r="AD23" s="6">
        <f t="shared" ref="AD23:AD86" si="12">AM23-X23</f>
        <v>0</v>
      </c>
      <c r="AE23" s="6">
        <f t="shared" ref="AE23:AE86" si="13">AN23-Y23</f>
        <v>-12</v>
      </c>
      <c r="AF23" s="6">
        <f t="shared" ref="AF23:AF86" si="14">AO23-Z23</f>
        <v>0</v>
      </c>
      <c r="AG23" s="6">
        <f t="shared" ref="AG23:AG86" si="15">AP23-AA23</f>
        <v>0</v>
      </c>
      <c r="AH23" s="6">
        <f t="shared" si="4"/>
        <v>-12</v>
      </c>
      <c r="AI23" s="3"/>
      <c r="AJ23" s="3" t="e">
        <f>_xlfn.XLOOKUP(K23,工作表1!A:A,工作表1!C:C)</f>
        <v>#N/A</v>
      </c>
      <c r="AK23" s="3"/>
      <c r="AL23" s="6">
        <f t="shared" si="5"/>
        <v>0</v>
      </c>
      <c r="AM23" s="6">
        <f t="shared" si="6"/>
        <v>0</v>
      </c>
      <c r="AN23" s="6">
        <f t="shared" si="7"/>
        <v>12</v>
      </c>
      <c r="AO23" s="6">
        <f t="shared" si="8"/>
        <v>0</v>
      </c>
      <c r="AP23" s="6">
        <f t="shared" si="9"/>
        <v>0</v>
      </c>
      <c r="AQ23" s="6">
        <f t="shared" si="10"/>
        <v>12</v>
      </c>
      <c r="AR23" s="6"/>
      <c r="AS23" s="6"/>
      <c r="AT23" s="6"/>
      <c r="AU23" s="6"/>
      <c r="AV23" s="6"/>
      <c r="AW23" s="6"/>
      <c r="AX23" s="6"/>
      <c r="AY23" s="6"/>
      <c r="AZ23" s="6"/>
      <c r="BA23" s="18">
        <v>12</v>
      </c>
      <c r="BB23" s="6"/>
      <c r="BC23" s="6"/>
      <c r="BD23" s="6"/>
      <c r="BE23" s="6"/>
      <c r="BF23" s="6"/>
      <c r="BG23" s="6"/>
      <c r="BH23" s="6"/>
      <c r="BI23" s="6"/>
      <c r="BJ23" s="6"/>
      <c r="BK23" s="6"/>
      <c r="BL23" s="6"/>
      <c r="BM23" s="6"/>
      <c r="BN23" s="6"/>
      <c r="BO23" s="6"/>
      <c r="BP23" s="3">
        <v>24</v>
      </c>
      <c r="BQ23" s="6">
        <f t="shared" si="1"/>
        <v>12</v>
      </c>
      <c r="BR23">
        <f>2*6</f>
        <v>12</v>
      </c>
    </row>
    <row r="24" spans="1:70" x14ac:dyDescent="0.3">
      <c r="A24" s="3" t="s">
        <v>17</v>
      </c>
      <c r="B24" s="3">
        <v>102</v>
      </c>
      <c r="C24" s="3" t="s">
        <v>35</v>
      </c>
      <c r="D24" s="3">
        <v>1.5</v>
      </c>
      <c r="E24" s="3" t="s">
        <v>19</v>
      </c>
      <c r="F24" s="3" t="s">
        <v>41</v>
      </c>
      <c r="G24" s="3" t="s">
        <v>19</v>
      </c>
      <c r="H24" s="3" t="s">
        <v>57</v>
      </c>
      <c r="I24" s="3">
        <v>7.14</v>
      </c>
      <c r="J24" s="3" t="s">
        <v>22</v>
      </c>
      <c r="K24" s="3" t="s">
        <v>58</v>
      </c>
      <c r="L24" s="3" t="s">
        <v>24</v>
      </c>
      <c r="M24" s="3">
        <v>6</v>
      </c>
      <c r="N24" s="6"/>
      <c r="O24" s="3">
        <v>0.1</v>
      </c>
      <c r="P24" s="3">
        <v>0.1</v>
      </c>
      <c r="Q24" s="3">
        <v>0</v>
      </c>
      <c r="R24" s="3">
        <v>0</v>
      </c>
      <c r="S24" s="3">
        <v>0</v>
      </c>
      <c r="T24" s="3">
        <v>0.1</v>
      </c>
      <c r="U24" s="3">
        <v>0</v>
      </c>
      <c r="V24" s="3">
        <f t="shared" si="2"/>
        <v>0.1</v>
      </c>
      <c r="W24" s="3">
        <v>0</v>
      </c>
      <c r="X24" s="3">
        <v>0</v>
      </c>
      <c r="Y24" s="3">
        <v>0</v>
      </c>
      <c r="Z24" s="3">
        <v>6</v>
      </c>
      <c r="AA24" s="3">
        <v>0</v>
      </c>
      <c r="AB24" s="3">
        <f t="shared" si="3"/>
        <v>6</v>
      </c>
      <c r="AC24" s="6">
        <f t="shared" si="11"/>
        <v>0</v>
      </c>
      <c r="AD24" s="6">
        <f t="shared" si="12"/>
        <v>0</v>
      </c>
      <c r="AE24" s="6">
        <f t="shared" si="13"/>
        <v>0</v>
      </c>
      <c r="AF24" s="6">
        <f t="shared" si="14"/>
        <v>-6</v>
      </c>
      <c r="AG24" s="6">
        <f t="shared" si="15"/>
        <v>0</v>
      </c>
      <c r="AH24" s="6">
        <f t="shared" si="4"/>
        <v>-6</v>
      </c>
      <c r="AI24" s="3"/>
      <c r="AJ24" s="3" t="e">
        <f>_xlfn.XLOOKUP(K24,工作表1!A:A,工作表1!C:C)</f>
        <v>#N/A</v>
      </c>
      <c r="AK24" s="3"/>
      <c r="AL24" s="6">
        <f t="shared" si="5"/>
        <v>0</v>
      </c>
      <c r="AM24" s="6">
        <f t="shared" si="6"/>
        <v>0</v>
      </c>
      <c r="AN24" s="6">
        <f t="shared" si="7"/>
        <v>0</v>
      </c>
      <c r="AO24" s="6">
        <f t="shared" si="8"/>
        <v>0</v>
      </c>
      <c r="AP24" s="6">
        <f t="shared" si="9"/>
        <v>0</v>
      </c>
      <c r="AQ24" s="6">
        <f t="shared" si="10"/>
        <v>0</v>
      </c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  <c r="BC24" s="6"/>
      <c r="BD24" s="6"/>
      <c r="BE24" s="6"/>
      <c r="BF24" s="6"/>
      <c r="BG24" s="6"/>
      <c r="BH24" s="6"/>
      <c r="BI24" s="6"/>
      <c r="BJ24" s="6"/>
      <c r="BK24" s="6"/>
      <c r="BL24" s="6"/>
      <c r="BM24" s="6"/>
      <c r="BN24" s="6"/>
      <c r="BO24" s="6"/>
      <c r="BP24" s="3">
        <v>6</v>
      </c>
      <c r="BQ24" s="6">
        <f t="shared" si="1"/>
        <v>0</v>
      </c>
    </row>
    <row r="25" spans="1:70" x14ac:dyDescent="0.3">
      <c r="A25" s="3" t="s">
        <v>17</v>
      </c>
      <c r="B25" s="3">
        <v>102</v>
      </c>
      <c r="C25" s="3" t="s">
        <v>35</v>
      </c>
      <c r="D25" s="3">
        <v>1</v>
      </c>
      <c r="E25" s="3" t="s">
        <v>19</v>
      </c>
      <c r="F25" s="3" t="s">
        <v>41</v>
      </c>
      <c r="G25" s="3" t="s">
        <v>19</v>
      </c>
      <c r="H25" s="3" t="s">
        <v>59</v>
      </c>
      <c r="I25" s="3">
        <v>6.35</v>
      </c>
      <c r="J25" s="3" t="s">
        <v>22</v>
      </c>
      <c r="K25" s="3" t="s">
        <v>60</v>
      </c>
      <c r="L25" s="3" t="s">
        <v>24</v>
      </c>
      <c r="M25" s="3">
        <v>252</v>
      </c>
      <c r="N25" s="6"/>
      <c r="O25" s="3">
        <v>229.20000000000002</v>
      </c>
      <c r="P25" s="3">
        <v>228.6</v>
      </c>
      <c r="Q25" s="3">
        <v>0</v>
      </c>
      <c r="R25" s="3">
        <v>0</v>
      </c>
      <c r="S25" s="3">
        <v>0</v>
      </c>
      <c r="T25" s="3">
        <v>228.6</v>
      </c>
      <c r="U25" s="3">
        <v>0</v>
      </c>
      <c r="V25" s="3">
        <f t="shared" si="2"/>
        <v>228.6</v>
      </c>
      <c r="W25" s="3">
        <v>0</v>
      </c>
      <c r="X25" s="3">
        <v>0</v>
      </c>
      <c r="Y25" s="3">
        <v>0</v>
      </c>
      <c r="Z25" s="3">
        <v>252</v>
      </c>
      <c r="AA25" s="3">
        <v>0</v>
      </c>
      <c r="AB25" s="3">
        <f t="shared" si="3"/>
        <v>252</v>
      </c>
      <c r="AC25" s="6">
        <f t="shared" si="11"/>
        <v>0</v>
      </c>
      <c r="AD25" s="6">
        <f t="shared" si="12"/>
        <v>0</v>
      </c>
      <c r="AE25" s="6">
        <f t="shared" si="13"/>
        <v>0</v>
      </c>
      <c r="AF25" s="6">
        <f t="shared" si="14"/>
        <v>-252</v>
      </c>
      <c r="AG25" s="6">
        <f t="shared" si="15"/>
        <v>0</v>
      </c>
      <c r="AH25" s="6">
        <f t="shared" si="4"/>
        <v>-252</v>
      </c>
      <c r="AI25" s="3"/>
      <c r="AJ25" s="3" t="e">
        <f>_xlfn.XLOOKUP(K25,工作表1!A:A,工作表1!C:C)</f>
        <v>#N/A</v>
      </c>
      <c r="AK25" s="3"/>
      <c r="AL25" s="6">
        <f t="shared" si="5"/>
        <v>0</v>
      </c>
      <c r="AM25" s="6">
        <f t="shared" si="6"/>
        <v>0</v>
      </c>
      <c r="AN25" s="6">
        <f t="shared" si="7"/>
        <v>0</v>
      </c>
      <c r="AO25" s="6">
        <f t="shared" si="8"/>
        <v>0</v>
      </c>
      <c r="AP25" s="6">
        <f t="shared" si="9"/>
        <v>0</v>
      </c>
      <c r="AQ25" s="6">
        <f t="shared" si="10"/>
        <v>0</v>
      </c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  <c r="BC25" s="6"/>
      <c r="BD25" s="6"/>
      <c r="BE25" s="6"/>
      <c r="BF25" s="6"/>
      <c r="BG25" s="6"/>
      <c r="BH25" s="6"/>
      <c r="BI25" s="6"/>
      <c r="BJ25" s="6"/>
      <c r="BK25" s="6"/>
      <c r="BL25" s="6"/>
      <c r="BM25" s="6"/>
      <c r="BN25" s="6"/>
      <c r="BO25" s="6"/>
      <c r="BP25" s="5">
        <v>252</v>
      </c>
      <c r="BQ25" s="6">
        <f t="shared" si="1"/>
        <v>0</v>
      </c>
    </row>
    <row r="26" spans="1:70" x14ac:dyDescent="0.3">
      <c r="A26" s="3" t="s">
        <v>17</v>
      </c>
      <c r="B26" s="3">
        <v>102</v>
      </c>
      <c r="C26" s="3" t="s">
        <v>35</v>
      </c>
      <c r="D26" s="3">
        <v>0.75</v>
      </c>
      <c r="E26" s="3" t="s">
        <v>19</v>
      </c>
      <c r="F26" s="3" t="s">
        <v>41</v>
      </c>
      <c r="G26" s="3" t="s">
        <v>19</v>
      </c>
      <c r="H26" s="3" t="s">
        <v>61</v>
      </c>
      <c r="I26" s="3">
        <v>5.56</v>
      </c>
      <c r="J26" s="3" t="s">
        <v>22</v>
      </c>
      <c r="K26" s="3" t="s">
        <v>62</v>
      </c>
      <c r="L26" s="3" t="s">
        <v>24</v>
      </c>
      <c r="M26" s="3">
        <v>6</v>
      </c>
      <c r="N26" s="6"/>
      <c r="O26" s="3">
        <v>0.30000000000000004</v>
      </c>
      <c r="P26" s="3">
        <v>0.30000000000000004</v>
      </c>
      <c r="Q26" s="3">
        <v>0</v>
      </c>
      <c r="R26" s="3">
        <v>0</v>
      </c>
      <c r="S26" s="3">
        <v>0</v>
      </c>
      <c r="T26" s="3">
        <v>0.30000000000000004</v>
      </c>
      <c r="U26" s="3">
        <v>0</v>
      </c>
      <c r="V26" s="3">
        <f t="shared" si="2"/>
        <v>0.30000000000000004</v>
      </c>
      <c r="W26" s="3">
        <v>0</v>
      </c>
      <c r="X26" s="3">
        <v>0</v>
      </c>
      <c r="Y26" s="3">
        <v>0</v>
      </c>
      <c r="Z26" s="3">
        <v>6</v>
      </c>
      <c r="AA26" s="3">
        <v>0</v>
      </c>
      <c r="AB26" s="3">
        <f t="shared" si="3"/>
        <v>6</v>
      </c>
      <c r="AC26" s="6">
        <f t="shared" si="11"/>
        <v>0</v>
      </c>
      <c r="AD26" s="6">
        <f t="shared" si="12"/>
        <v>0</v>
      </c>
      <c r="AE26" s="6">
        <f t="shared" si="13"/>
        <v>0</v>
      </c>
      <c r="AF26" s="6">
        <f t="shared" si="14"/>
        <v>-6</v>
      </c>
      <c r="AG26" s="6">
        <f t="shared" si="15"/>
        <v>0</v>
      </c>
      <c r="AH26" s="6">
        <f t="shared" si="4"/>
        <v>-6</v>
      </c>
      <c r="AI26" s="3"/>
      <c r="AJ26" s="3" t="e">
        <f>_xlfn.XLOOKUP(K26,工作表1!A:A,工作表1!C:C)</f>
        <v>#N/A</v>
      </c>
      <c r="AK26" s="3"/>
      <c r="AL26" s="6">
        <f t="shared" si="5"/>
        <v>0</v>
      </c>
      <c r="AM26" s="6">
        <f t="shared" si="6"/>
        <v>0</v>
      </c>
      <c r="AN26" s="6">
        <f t="shared" si="7"/>
        <v>0</v>
      </c>
      <c r="AO26" s="6">
        <f t="shared" si="8"/>
        <v>0</v>
      </c>
      <c r="AP26" s="6">
        <f t="shared" si="9"/>
        <v>0</v>
      </c>
      <c r="AQ26" s="6">
        <f t="shared" si="10"/>
        <v>0</v>
      </c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  <c r="BC26" s="6"/>
      <c r="BD26" s="6"/>
      <c r="BE26" s="6"/>
      <c r="BF26" s="6"/>
      <c r="BG26" s="6"/>
      <c r="BH26" s="6"/>
      <c r="BI26" s="6"/>
      <c r="BJ26" s="6"/>
      <c r="BK26" s="6"/>
      <c r="BL26" s="6"/>
      <c r="BM26" s="6"/>
      <c r="BN26" s="6"/>
      <c r="BO26" s="6"/>
      <c r="BP26" s="3">
        <v>6</v>
      </c>
      <c r="BQ26" s="6">
        <f t="shared" si="1"/>
        <v>0</v>
      </c>
    </row>
    <row r="27" spans="1:70" x14ac:dyDescent="0.3">
      <c r="A27" s="3" t="s">
        <v>17</v>
      </c>
      <c r="B27" s="3">
        <v>102</v>
      </c>
      <c r="C27" s="3" t="s">
        <v>35</v>
      </c>
      <c r="D27" s="3">
        <v>0.75</v>
      </c>
      <c r="E27" s="3" t="s">
        <v>19</v>
      </c>
      <c r="F27" s="3" t="s">
        <v>63</v>
      </c>
      <c r="G27" s="3" t="s">
        <v>19</v>
      </c>
      <c r="H27" s="3" t="s">
        <v>64</v>
      </c>
      <c r="I27" s="3">
        <v>7.82</v>
      </c>
      <c r="J27" s="3" t="s">
        <v>22</v>
      </c>
      <c r="K27" s="3" t="s">
        <v>65</v>
      </c>
      <c r="L27" s="3" t="s">
        <v>24</v>
      </c>
      <c r="M27" s="3">
        <v>180</v>
      </c>
      <c r="N27" s="6"/>
      <c r="O27" s="3">
        <v>7.8999999999999995</v>
      </c>
      <c r="P27" s="3">
        <v>7.8999999999999995</v>
      </c>
      <c r="Q27" s="3">
        <v>0</v>
      </c>
      <c r="R27" s="3">
        <v>0</v>
      </c>
      <c r="S27" s="3">
        <v>7.8999999999999995</v>
      </c>
      <c r="T27" s="3">
        <v>0</v>
      </c>
      <c r="U27" s="3">
        <v>0</v>
      </c>
      <c r="V27" s="3">
        <f t="shared" si="2"/>
        <v>7.8999999999999995</v>
      </c>
      <c r="W27" s="3">
        <v>0</v>
      </c>
      <c r="X27" s="3">
        <v>0</v>
      </c>
      <c r="Y27" s="3">
        <v>12</v>
      </c>
      <c r="Z27" s="3">
        <v>0</v>
      </c>
      <c r="AA27" s="3">
        <v>0</v>
      </c>
      <c r="AB27" s="3">
        <f t="shared" si="3"/>
        <v>12</v>
      </c>
      <c r="AC27" s="6">
        <f t="shared" si="11"/>
        <v>0</v>
      </c>
      <c r="AD27" s="6">
        <f t="shared" si="12"/>
        <v>0</v>
      </c>
      <c r="AE27" s="6">
        <f t="shared" si="13"/>
        <v>-12</v>
      </c>
      <c r="AF27" s="6">
        <f t="shared" si="14"/>
        <v>0</v>
      </c>
      <c r="AG27" s="6">
        <f t="shared" si="15"/>
        <v>0</v>
      </c>
      <c r="AH27" s="6">
        <f t="shared" si="4"/>
        <v>-12</v>
      </c>
      <c r="AI27" s="3"/>
      <c r="AJ27" s="3" t="e">
        <f>_xlfn.XLOOKUP(K27,工作表1!A:A,工作表1!C:C)</f>
        <v>#N/A</v>
      </c>
      <c r="AK27" s="3"/>
      <c r="AL27" s="6">
        <f t="shared" si="5"/>
        <v>0</v>
      </c>
      <c r="AM27" s="6">
        <f t="shared" si="6"/>
        <v>0</v>
      </c>
      <c r="AN27" s="6">
        <f t="shared" si="7"/>
        <v>0</v>
      </c>
      <c r="AO27" s="6">
        <f t="shared" si="8"/>
        <v>0</v>
      </c>
      <c r="AP27" s="6">
        <f t="shared" si="9"/>
        <v>0</v>
      </c>
      <c r="AQ27" s="6">
        <f t="shared" si="10"/>
        <v>0</v>
      </c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  <c r="BC27" s="6"/>
      <c r="BD27" s="6"/>
      <c r="BE27" s="6"/>
      <c r="BF27" s="6"/>
      <c r="BG27" s="6"/>
      <c r="BH27" s="6"/>
      <c r="BI27" s="6"/>
      <c r="BJ27" s="6"/>
      <c r="BK27" s="6"/>
      <c r="BL27" s="6"/>
      <c r="BM27" s="6"/>
      <c r="BN27" s="6"/>
      <c r="BO27" s="6"/>
      <c r="BP27" s="3">
        <v>12</v>
      </c>
      <c r="BQ27" s="6">
        <f t="shared" si="1"/>
        <v>0</v>
      </c>
    </row>
    <row r="28" spans="1:70" x14ac:dyDescent="0.3">
      <c r="A28" s="3" t="s">
        <v>17</v>
      </c>
      <c r="B28" s="3">
        <v>102</v>
      </c>
      <c r="C28" s="3" t="s">
        <v>35</v>
      </c>
      <c r="D28" s="3">
        <v>0.5</v>
      </c>
      <c r="E28" s="3" t="s">
        <v>19</v>
      </c>
      <c r="F28" s="3" t="s">
        <v>41</v>
      </c>
      <c r="G28" s="3" t="s">
        <v>19</v>
      </c>
      <c r="H28" s="3" t="s">
        <v>66</v>
      </c>
      <c r="I28" s="3">
        <v>4.78</v>
      </c>
      <c r="J28" s="3" t="s">
        <v>22</v>
      </c>
      <c r="K28" s="3" t="s">
        <v>67</v>
      </c>
      <c r="L28" s="3" t="s">
        <v>24</v>
      </c>
      <c r="M28" s="3">
        <v>294</v>
      </c>
      <c r="N28" s="6"/>
      <c r="O28" s="3">
        <v>0.4</v>
      </c>
      <c r="P28" s="3">
        <v>0.4</v>
      </c>
      <c r="Q28" s="3">
        <v>0</v>
      </c>
      <c r="R28" s="3">
        <v>0</v>
      </c>
      <c r="S28" s="3">
        <v>0.4</v>
      </c>
      <c r="T28" s="3">
        <v>0</v>
      </c>
      <c r="U28" s="3">
        <v>0</v>
      </c>
      <c r="V28" s="3">
        <f t="shared" si="2"/>
        <v>0.4</v>
      </c>
      <c r="W28" s="3">
        <v>0</v>
      </c>
      <c r="X28" s="3">
        <v>0</v>
      </c>
      <c r="Y28" s="3">
        <v>6</v>
      </c>
      <c r="Z28" s="3">
        <v>0</v>
      </c>
      <c r="AA28" s="3">
        <v>0</v>
      </c>
      <c r="AB28" s="3">
        <f t="shared" si="3"/>
        <v>6</v>
      </c>
      <c r="AC28" s="6">
        <f t="shared" si="11"/>
        <v>0</v>
      </c>
      <c r="AD28" s="6">
        <f t="shared" si="12"/>
        <v>0</v>
      </c>
      <c r="AE28" s="6">
        <f t="shared" si="13"/>
        <v>-6</v>
      </c>
      <c r="AF28" s="6">
        <f t="shared" si="14"/>
        <v>0</v>
      </c>
      <c r="AG28" s="6">
        <f t="shared" si="15"/>
        <v>0</v>
      </c>
      <c r="AH28" s="6">
        <f t="shared" si="4"/>
        <v>-6</v>
      </c>
      <c r="AI28" s="3"/>
      <c r="AJ28" s="3" t="e">
        <f>_xlfn.XLOOKUP(K28,工作表1!A:A,工作表1!C:C)</f>
        <v>#N/A</v>
      </c>
      <c r="AK28" s="3"/>
      <c r="AL28" s="6">
        <f t="shared" si="5"/>
        <v>0</v>
      </c>
      <c r="AM28" s="6">
        <f t="shared" si="6"/>
        <v>0</v>
      </c>
      <c r="AN28" s="6">
        <f t="shared" si="7"/>
        <v>0</v>
      </c>
      <c r="AO28" s="6">
        <f t="shared" si="8"/>
        <v>0</v>
      </c>
      <c r="AP28" s="6">
        <f t="shared" si="9"/>
        <v>0</v>
      </c>
      <c r="AQ28" s="6">
        <f t="shared" si="10"/>
        <v>0</v>
      </c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  <c r="BC28" s="6"/>
      <c r="BD28" s="6"/>
      <c r="BE28" s="6"/>
      <c r="BF28" s="6"/>
      <c r="BG28" s="6"/>
      <c r="BH28" s="6"/>
      <c r="BI28" s="6"/>
      <c r="BJ28" s="6"/>
      <c r="BK28" s="6"/>
      <c r="BL28" s="6"/>
      <c r="BM28" s="6"/>
      <c r="BN28" s="6"/>
      <c r="BO28" s="6"/>
      <c r="BP28" s="3">
        <v>6</v>
      </c>
      <c r="BQ28" s="6">
        <f t="shared" si="1"/>
        <v>0</v>
      </c>
    </row>
    <row r="29" spans="1:70" x14ac:dyDescent="0.3">
      <c r="A29" s="3" t="s">
        <v>17</v>
      </c>
      <c r="B29" s="3">
        <v>102</v>
      </c>
      <c r="C29" s="3" t="s">
        <v>68</v>
      </c>
      <c r="D29" s="3">
        <v>8</v>
      </c>
      <c r="E29" s="3" t="s">
        <v>19</v>
      </c>
      <c r="F29" s="3" t="s">
        <v>69</v>
      </c>
      <c r="G29" s="3" t="s">
        <v>19</v>
      </c>
      <c r="H29" s="3" t="s">
        <v>70</v>
      </c>
      <c r="I29" s="3">
        <v>20.62</v>
      </c>
      <c r="J29" s="3" t="s">
        <v>22</v>
      </c>
      <c r="K29" s="3" t="s">
        <v>71</v>
      </c>
      <c r="L29" s="3" t="s">
        <v>24</v>
      </c>
      <c r="M29" s="3">
        <v>48</v>
      </c>
      <c r="N29" s="6"/>
      <c r="O29" s="3">
        <v>41.900000000000006</v>
      </c>
      <c r="P29" s="3">
        <v>41.9</v>
      </c>
      <c r="Q29" s="3">
        <v>0</v>
      </c>
      <c r="R29" s="3">
        <v>0</v>
      </c>
      <c r="S29" s="3">
        <v>39</v>
      </c>
      <c r="T29" s="3">
        <v>2.9</v>
      </c>
      <c r="U29" s="3">
        <v>0</v>
      </c>
      <c r="V29" s="3">
        <f t="shared" si="2"/>
        <v>41.9</v>
      </c>
      <c r="W29" s="3">
        <v>0</v>
      </c>
      <c r="X29" s="3">
        <v>0</v>
      </c>
      <c r="Y29" s="3">
        <v>48</v>
      </c>
      <c r="Z29" s="3">
        <v>6</v>
      </c>
      <c r="AA29" s="3">
        <v>0</v>
      </c>
      <c r="AB29" s="3">
        <f t="shared" si="3"/>
        <v>54</v>
      </c>
      <c r="AC29" s="6">
        <f t="shared" si="11"/>
        <v>0</v>
      </c>
      <c r="AD29" s="6">
        <f t="shared" si="12"/>
        <v>0</v>
      </c>
      <c r="AE29" s="6">
        <f t="shared" si="13"/>
        <v>-48</v>
      </c>
      <c r="AF29" s="6">
        <f t="shared" si="14"/>
        <v>-6</v>
      </c>
      <c r="AG29" s="6">
        <f t="shared" si="15"/>
        <v>0</v>
      </c>
      <c r="AH29" s="6">
        <f t="shared" si="4"/>
        <v>-54</v>
      </c>
      <c r="AI29" s="3"/>
      <c r="AJ29" s="3">
        <f>_xlfn.XLOOKUP(K29,工作表1!A:A,工作表1!C:C)</f>
        <v>6</v>
      </c>
      <c r="AK29" s="3" t="s">
        <v>1483</v>
      </c>
      <c r="AL29" s="6">
        <f t="shared" si="5"/>
        <v>0</v>
      </c>
      <c r="AM29" s="6">
        <f t="shared" si="6"/>
        <v>0</v>
      </c>
      <c r="AN29" s="6">
        <f t="shared" si="7"/>
        <v>0</v>
      </c>
      <c r="AO29" s="6">
        <f t="shared" si="8"/>
        <v>0</v>
      </c>
      <c r="AP29" s="6">
        <f t="shared" si="9"/>
        <v>0</v>
      </c>
      <c r="AQ29" s="6">
        <f t="shared" si="10"/>
        <v>0</v>
      </c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  <c r="BC29" s="6"/>
      <c r="BD29" s="6"/>
      <c r="BE29" s="6"/>
      <c r="BF29" s="6"/>
      <c r="BG29" s="6"/>
      <c r="BH29" s="6"/>
      <c r="BI29" s="6"/>
      <c r="BJ29" s="6"/>
      <c r="BK29" s="6"/>
      <c r="BL29" s="6"/>
      <c r="BM29" s="6"/>
      <c r="BN29" s="6"/>
      <c r="BO29" s="6"/>
      <c r="BP29" s="3">
        <v>48</v>
      </c>
      <c r="BQ29" s="6">
        <f t="shared" si="1"/>
        <v>0</v>
      </c>
    </row>
    <row r="30" spans="1:70" x14ac:dyDescent="0.3">
      <c r="A30" s="3" t="s">
        <v>17</v>
      </c>
      <c r="B30" s="3">
        <v>102</v>
      </c>
      <c r="C30" s="3" t="s">
        <v>72</v>
      </c>
      <c r="D30" s="3">
        <v>1.5</v>
      </c>
      <c r="E30" s="3" t="s">
        <v>19</v>
      </c>
      <c r="F30" s="3" t="s">
        <v>25</v>
      </c>
      <c r="G30" s="3" t="s">
        <v>19</v>
      </c>
      <c r="H30" s="3" t="s">
        <v>73</v>
      </c>
      <c r="I30" s="3">
        <v>5.08</v>
      </c>
      <c r="J30" s="3" t="s">
        <v>22</v>
      </c>
      <c r="K30" s="3" t="s">
        <v>74</v>
      </c>
      <c r="L30" s="3" t="s">
        <v>24</v>
      </c>
      <c r="M30" s="3">
        <v>624</v>
      </c>
      <c r="N30" s="6"/>
      <c r="O30" s="3">
        <v>304.79999999999995</v>
      </c>
      <c r="P30" s="3">
        <v>304.8</v>
      </c>
      <c r="Q30" s="3">
        <v>0</v>
      </c>
      <c r="R30" s="3">
        <v>301.60000000000002</v>
      </c>
      <c r="S30" s="3">
        <v>0.3</v>
      </c>
      <c r="T30" s="3">
        <v>2.9000000000000004</v>
      </c>
      <c r="U30" s="3">
        <v>0</v>
      </c>
      <c r="V30" s="3">
        <f t="shared" si="2"/>
        <v>304.8</v>
      </c>
      <c r="W30" s="3">
        <v>0</v>
      </c>
      <c r="X30" s="3">
        <v>336</v>
      </c>
      <c r="Y30" s="4">
        <v>0</v>
      </c>
      <c r="Z30" s="3">
        <v>6</v>
      </c>
      <c r="AA30" s="3">
        <v>0</v>
      </c>
      <c r="AB30" s="3">
        <f t="shared" si="3"/>
        <v>342</v>
      </c>
      <c r="AC30" s="6">
        <f t="shared" si="11"/>
        <v>0</v>
      </c>
      <c r="AD30" s="6">
        <f t="shared" si="12"/>
        <v>0</v>
      </c>
      <c r="AE30" s="6">
        <f t="shared" si="13"/>
        <v>0</v>
      </c>
      <c r="AF30" s="6">
        <f t="shared" si="14"/>
        <v>-6</v>
      </c>
      <c r="AG30" s="6">
        <f t="shared" si="15"/>
        <v>0</v>
      </c>
      <c r="AH30" s="6">
        <f t="shared" si="4"/>
        <v>-6</v>
      </c>
      <c r="AI30" s="3"/>
      <c r="AJ30" s="3" t="e">
        <f>_xlfn.XLOOKUP(K30,工作表1!A:A,工作表1!C:C)</f>
        <v>#N/A</v>
      </c>
      <c r="AK30" s="3"/>
      <c r="AL30" s="6">
        <f t="shared" si="5"/>
        <v>0</v>
      </c>
      <c r="AM30" s="6">
        <f t="shared" si="6"/>
        <v>336</v>
      </c>
      <c r="AN30" s="6">
        <f t="shared" si="7"/>
        <v>0</v>
      </c>
      <c r="AO30" s="6">
        <f t="shared" si="8"/>
        <v>0</v>
      </c>
      <c r="AP30" s="6">
        <f t="shared" si="9"/>
        <v>0</v>
      </c>
      <c r="AQ30" s="6">
        <f t="shared" si="10"/>
        <v>336</v>
      </c>
      <c r="AR30" s="6"/>
      <c r="AS30" s="6"/>
      <c r="AT30" s="6"/>
      <c r="AU30" s="6"/>
      <c r="AV30" s="6"/>
      <c r="AW30" s="6">
        <v>336</v>
      </c>
      <c r="AX30" s="6"/>
      <c r="AY30" s="6"/>
      <c r="AZ30" s="6"/>
      <c r="BA30" s="6"/>
      <c r="BB30" s="6"/>
      <c r="BC30" s="6"/>
      <c r="BD30" s="6"/>
      <c r="BE30" s="6"/>
      <c r="BF30" s="6"/>
      <c r="BG30" s="6"/>
      <c r="BH30" s="6"/>
      <c r="BI30" s="6"/>
      <c r="BJ30" s="6"/>
      <c r="BK30" s="6"/>
      <c r="BL30" s="6"/>
      <c r="BM30" s="6"/>
      <c r="BN30" s="6"/>
      <c r="BO30" s="6"/>
      <c r="BP30" s="3">
        <v>336</v>
      </c>
      <c r="BQ30" s="6">
        <f t="shared" si="1"/>
        <v>336</v>
      </c>
      <c r="BR30">
        <f>56*6</f>
        <v>336</v>
      </c>
    </row>
    <row r="31" spans="1:70" x14ac:dyDescent="0.3">
      <c r="A31" s="3" t="s">
        <v>17</v>
      </c>
      <c r="B31" s="3">
        <v>102</v>
      </c>
      <c r="C31" s="3" t="s">
        <v>72</v>
      </c>
      <c r="D31" s="3">
        <v>1</v>
      </c>
      <c r="E31" s="3" t="s">
        <v>19</v>
      </c>
      <c r="F31" s="3" t="s">
        <v>41</v>
      </c>
      <c r="G31" s="3" t="s">
        <v>19</v>
      </c>
      <c r="H31" s="3" t="s">
        <v>59</v>
      </c>
      <c r="I31" s="3">
        <v>6.35</v>
      </c>
      <c r="J31" s="3" t="s">
        <v>22</v>
      </c>
      <c r="K31" s="3" t="s">
        <v>75</v>
      </c>
      <c r="L31" s="3" t="s">
        <v>24</v>
      </c>
      <c r="M31" s="3">
        <v>6</v>
      </c>
      <c r="N31" s="6"/>
      <c r="O31" s="3">
        <v>4.5999999999999996</v>
      </c>
      <c r="P31" s="3">
        <v>4.5999999999999996</v>
      </c>
      <c r="Q31" s="3">
        <v>0</v>
      </c>
      <c r="R31" s="3">
        <v>0</v>
      </c>
      <c r="S31" s="3">
        <v>4.5999999999999996</v>
      </c>
      <c r="T31" s="3">
        <v>0</v>
      </c>
      <c r="U31" s="3">
        <v>0</v>
      </c>
      <c r="V31" s="3">
        <f t="shared" si="2"/>
        <v>4.5999999999999996</v>
      </c>
      <c r="W31" s="3">
        <v>0</v>
      </c>
      <c r="X31" s="3">
        <v>0</v>
      </c>
      <c r="Y31" s="3">
        <v>6</v>
      </c>
      <c r="Z31" s="3">
        <v>0</v>
      </c>
      <c r="AA31" s="3">
        <v>0</v>
      </c>
      <c r="AB31" s="3">
        <f t="shared" si="3"/>
        <v>6</v>
      </c>
      <c r="AC31" s="6">
        <f t="shared" si="11"/>
        <v>0</v>
      </c>
      <c r="AD31" s="6">
        <f t="shared" si="12"/>
        <v>0</v>
      </c>
      <c r="AE31" s="6">
        <f t="shared" si="13"/>
        <v>-6</v>
      </c>
      <c r="AF31" s="6">
        <f t="shared" si="14"/>
        <v>0</v>
      </c>
      <c r="AG31" s="6">
        <f t="shared" si="15"/>
        <v>0</v>
      </c>
      <c r="AH31" s="6">
        <f t="shared" si="4"/>
        <v>-6</v>
      </c>
      <c r="AI31" s="3"/>
      <c r="AJ31" s="3" t="e">
        <f>_xlfn.XLOOKUP(K31,工作表1!A:A,工作表1!C:C)</f>
        <v>#N/A</v>
      </c>
      <c r="AK31" s="3"/>
      <c r="AL31" s="6">
        <f t="shared" si="5"/>
        <v>0</v>
      </c>
      <c r="AM31" s="6">
        <f t="shared" si="6"/>
        <v>0</v>
      </c>
      <c r="AN31" s="6">
        <f t="shared" si="7"/>
        <v>0</v>
      </c>
      <c r="AO31" s="6">
        <f t="shared" si="8"/>
        <v>0</v>
      </c>
      <c r="AP31" s="6">
        <f t="shared" si="9"/>
        <v>0</v>
      </c>
      <c r="AQ31" s="6">
        <f t="shared" si="10"/>
        <v>0</v>
      </c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6"/>
      <c r="BD31" s="6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3">
        <v>6</v>
      </c>
      <c r="BQ31" s="6">
        <f t="shared" si="1"/>
        <v>0</v>
      </c>
    </row>
    <row r="32" spans="1:70" x14ac:dyDescent="0.3">
      <c r="A32" s="3" t="s">
        <v>17</v>
      </c>
      <c r="B32" s="3">
        <v>102</v>
      </c>
      <c r="C32" s="3" t="s">
        <v>72</v>
      </c>
      <c r="D32" s="3">
        <v>1</v>
      </c>
      <c r="E32" s="3" t="s">
        <v>19</v>
      </c>
      <c r="F32" s="3" t="s">
        <v>25</v>
      </c>
      <c r="G32" s="3" t="s">
        <v>19</v>
      </c>
      <c r="H32" s="3" t="s">
        <v>76</v>
      </c>
      <c r="I32" s="3">
        <v>4.55</v>
      </c>
      <c r="J32" s="3" t="s">
        <v>22</v>
      </c>
      <c r="K32" s="3" t="s">
        <v>77</v>
      </c>
      <c r="L32" s="3" t="s">
        <v>24</v>
      </c>
      <c r="M32" s="3">
        <v>1818</v>
      </c>
      <c r="N32" s="6"/>
      <c r="O32" s="3">
        <v>840.0999999999998</v>
      </c>
      <c r="P32" s="3">
        <v>829.50000000000023</v>
      </c>
      <c r="Q32" s="3">
        <v>0</v>
      </c>
      <c r="R32" s="3">
        <v>547.60000000000014</v>
      </c>
      <c r="S32" s="3">
        <v>107.10000000000004</v>
      </c>
      <c r="T32" s="3">
        <v>174.79999999999995</v>
      </c>
      <c r="U32" s="3">
        <v>0</v>
      </c>
      <c r="V32" s="3">
        <f t="shared" si="2"/>
        <v>829.50000000000011</v>
      </c>
      <c r="W32" s="3">
        <v>0</v>
      </c>
      <c r="X32" s="3">
        <v>606</v>
      </c>
      <c r="Y32" s="3">
        <v>120</v>
      </c>
      <c r="Z32" s="4">
        <v>192</v>
      </c>
      <c r="AA32" s="3">
        <v>0</v>
      </c>
      <c r="AB32" s="3">
        <f t="shared" si="3"/>
        <v>918</v>
      </c>
      <c r="AC32" s="6">
        <f t="shared" si="11"/>
        <v>0</v>
      </c>
      <c r="AD32" s="6">
        <f t="shared" si="12"/>
        <v>0</v>
      </c>
      <c r="AE32" s="6">
        <f t="shared" si="13"/>
        <v>0</v>
      </c>
      <c r="AF32" s="6">
        <f t="shared" si="14"/>
        <v>-48</v>
      </c>
      <c r="AG32" s="6">
        <f t="shared" si="15"/>
        <v>0</v>
      </c>
      <c r="AH32" s="6">
        <f t="shared" si="4"/>
        <v>-48</v>
      </c>
      <c r="AI32" s="3"/>
      <c r="AJ32" s="3" t="e">
        <f>_xlfn.XLOOKUP(K32,工作表1!A:A,工作表1!C:C)</f>
        <v>#N/A</v>
      </c>
      <c r="AK32" s="3"/>
      <c r="AL32" s="6">
        <f t="shared" si="5"/>
        <v>0</v>
      </c>
      <c r="AM32" s="6">
        <f t="shared" si="6"/>
        <v>606</v>
      </c>
      <c r="AN32" s="6">
        <f t="shared" si="7"/>
        <v>120</v>
      </c>
      <c r="AO32" s="6">
        <f t="shared" si="8"/>
        <v>144</v>
      </c>
      <c r="AP32" s="6">
        <f t="shared" si="9"/>
        <v>0</v>
      </c>
      <c r="AQ32" s="6">
        <f t="shared" si="10"/>
        <v>870</v>
      </c>
      <c r="AR32" s="6"/>
      <c r="AS32" s="6"/>
      <c r="AT32" s="6"/>
      <c r="AU32" s="6"/>
      <c r="AV32" s="6"/>
      <c r="AW32" s="18">
        <v>606</v>
      </c>
      <c r="AX32" s="6"/>
      <c r="AY32" s="6"/>
      <c r="AZ32" s="6"/>
      <c r="BA32" s="18">
        <v>120</v>
      </c>
      <c r="BB32" s="6"/>
      <c r="BC32" s="6"/>
      <c r="BD32" s="6"/>
      <c r="BE32" s="6"/>
      <c r="BF32" s="18">
        <v>144</v>
      </c>
      <c r="BG32" s="6"/>
      <c r="BH32" s="6"/>
      <c r="BI32" s="6"/>
      <c r="BJ32" s="6"/>
      <c r="BK32" s="6"/>
      <c r="BL32" s="6"/>
      <c r="BM32" s="6"/>
      <c r="BN32" s="6"/>
      <c r="BO32" s="6"/>
      <c r="BP32" s="5">
        <v>918</v>
      </c>
      <c r="BQ32" s="6">
        <f t="shared" si="1"/>
        <v>870</v>
      </c>
      <c r="BR32">
        <f>145*6</f>
        <v>870</v>
      </c>
    </row>
    <row r="33" spans="1:70" x14ac:dyDescent="0.3">
      <c r="A33" s="3" t="s">
        <v>17</v>
      </c>
      <c r="B33" s="3">
        <v>102</v>
      </c>
      <c r="C33" s="3" t="s">
        <v>72</v>
      </c>
      <c r="D33" s="3">
        <v>0.75</v>
      </c>
      <c r="E33" s="3" t="s">
        <v>19</v>
      </c>
      <c r="F33" s="3" t="s">
        <v>25</v>
      </c>
      <c r="G33" s="3" t="s">
        <v>19</v>
      </c>
      <c r="H33" s="3" t="s">
        <v>78</v>
      </c>
      <c r="I33" s="3">
        <v>3.91</v>
      </c>
      <c r="J33" s="3" t="s">
        <v>22</v>
      </c>
      <c r="K33" s="3" t="s">
        <v>79</v>
      </c>
      <c r="L33" s="3" t="s">
        <v>24</v>
      </c>
      <c r="M33" s="3">
        <v>588</v>
      </c>
      <c r="N33" s="6"/>
      <c r="O33" s="3">
        <v>215.39999999999992</v>
      </c>
      <c r="P33" s="3">
        <v>195.29999999999993</v>
      </c>
      <c r="Q33" s="3">
        <v>0</v>
      </c>
      <c r="R33" s="3">
        <v>88.8</v>
      </c>
      <c r="S33" s="3">
        <v>53.599999999999994</v>
      </c>
      <c r="T33" s="3">
        <v>52.900000000000006</v>
      </c>
      <c r="U33" s="3">
        <v>0</v>
      </c>
      <c r="V33" s="3">
        <f t="shared" si="2"/>
        <v>195.29999999999998</v>
      </c>
      <c r="W33" s="3">
        <v>0</v>
      </c>
      <c r="X33" s="3">
        <v>102</v>
      </c>
      <c r="Y33" s="3">
        <v>60</v>
      </c>
      <c r="Z33" s="3">
        <v>60</v>
      </c>
      <c r="AA33" s="3">
        <v>0</v>
      </c>
      <c r="AB33" s="3">
        <f t="shared" si="3"/>
        <v>222</v>
      </c>
      <c r="AC33" s="6">
        <f t="shared" si="11"/>
        <v>0</v>
      </c>
      <c r="AD33" s="6">
        <f t="shared" si="12"/>
        <v>-102</v>
      </c>
      <c r="AE33" s="6">
        <f t="shared" si="13"/>
        <v>-60</v>
      </c>
      <c r="AF33" s="6">
        <f t="shared" si="14"/>
        <v>-60</v>
      </c>
      <c r="AG33" s="6">
        <f t="shared" si="15"/>
        <v>0</v>
      </c>
      <c r="AH33" s="6">
        <f t="shared" si="4"/>
        <v>-222</v>
      </c>
      <c r="AI33" s="3"/>
      <c r="AJ33" s="3" t="e">
        <f>_xlfn.XLOOKUP(K33,工作表1!A:A,工作表1!C:C)</f>
        <v>#N/A</v>
      </c>
      <c r="AK33" s="3"/>
      <c r="AL33" s="6">
        <f t="shared" si="5"/>
        <v>0</v>
      </c>
      <c r="AM33" s="6">
        <f t="shared" si="6"/>
        <v>0</v>
      </c>
      <c r="AN33" s="6">
        <f t="shared" si="7"/>
        <v>0</v>
      </c>
      <c r="AO33" s="6">
        <f t="shared" si="8"/>
        <v>0</v>
      </c>
      <c r="AP33" s="6">
        <f t="shared" si="9"/>
        <v>0</v>
      </c>
      <c r="AQ33" s="6">
        <f t="shared" si="10"/>
        <v>0</v>
      </c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  <c r="BD33" s="6"/>
      <c r="BE33" s="6"/>
      <c r="BF33" s="6"/>
      <c r="BG33" s="6"/>
      <c r="BH33" s="6"/>
      <c r="BI33" s="6"/>
      <c r="BJ33" s="6"/>
      <c r="BK33" s="6"/>
      <c r="BL33" s="6"/>
      <c r="BM33" s="6"/>
      <c r="BN33" s="6"/>
      <c r="BO33" s="6"/>
      <c r="BP33" s="5">
        <v>216</v>
      </c>
      <c r="BQ33" s="6">
        <f t="shared" si="1"/>
        <v>0</v>
      </c>
    </row>
    <row r="34" spans="1:70" x14ac:dyDescent="0.3">
      <c r="A34" s="3" t="s">
        <v>17</v>
      </c>
      <c r="B34" s="3">
        <v>102</v>
      </c>
      <c r="C34" s="3" t="s">
        <v>72</v>
      </c>
      <c r="D34" s="3">
        <v>0.5</v>
      </c>
      <c r="E34" s="3" t="s">
        <v>19</v>
      </c>
      <c r="F34" s="3" t="s">
        <v>41</v>
      </c>
      <c r="G34" s="3" t="s">
        <v>19</v>
      </c>
      <c r="H34" s="3" t="s">
        <v>66</v>
      </c>
      <c r="I34" s="3">
        <v>4.78</v>
      </c>
      <c r="J34" s="3" t="s">
        <v>22</v>
      </c>
      <c r="K34" s="3" t="s">
        <v>80</v>
      </c>
      <c r="L34" s="3" t="s">
        <v>24</v>
      </c>
      <c r="M34" s="3">
        <v>6</v>
      </c>
      <c r="N34" s="6"/>
      <c r="O34" s="3">
        <v>0.3</v>
      </c>
      <c r="P34" s="3">
        <v>0.3</v>
      </c>
      <c r="Q34" s="3">
        <v>0</v>
      </c>
      <c r="R34" s="3">
        <v>0</v>
      </c>
      <c r="S34" s="3">
        <v>0</v>
      </c>
      <c r="T34" s="3">
        <v>0.3</v>
      </c>
      <c r="U34" s="3">
        <v>0</v>
      </c>
      <c r="V34" s="3">
        <f t="shared" si="2"/>
        <v>0.3</v>
      </c>
      <c r="W34" s="3">
        <v>0</v>
      </c>
      <c r="X34" s="3">
        <v>0</v>
      </c>
      <c r="Y34" s="3">
        <v>0</v>
      </c>
      <c r="Z34" s="3">
        <v>6</v>
      </c>
      <c r="AA34" s="3">
        <v>0</v>
      </c>
      <c r="AB34" s="3">
        <f t="shared" si="3"/>
        <v>6</v>
      </c>
      <c r="AC34" s="6">
        <f t="shared" si="11"/>
        <v>0</v>
      </c>
      <c r="AD34" s="6">
        <f t="shared" si="12"/>
        <v>0</v>
      </c>
      <c r="AE34" s="6">
        <f t="shared" si="13"/>
        <v>0</v>
      </c>
      <c r="AF34" s="6">
        <f t="shared" si="14"/>
        <v>-6</v>
      </c>
      <c r="AG34" s="6">
        <f t="shared" si="15"/>
        <v>0</v>
      </c>
      <c r="AH34" s="6">
        <f t="shared" si="4"/>
        <v>-6</v>
      </c>
      <c r="AI34" s="3"/>
      <c r="AJ34" s="3" t="e">
        <f>_xlfn.XLOOKUP(K34,工作表1!A:A,工作表1!C:C)</f>
        <v>#N/A</v>
      </c>
      <c r="AK34" s="3"/>
      <c r="AL34" s="6">
        <f t="shared" si="5"/>
        <v>0</v>
      </c>
      <c r="AM34" s="6">
        <f t="shared" si="6"/>
        <v>0</v>
      </c>
      <c r="AN34" s="6">
        <f t="shared" si="7"/>
        <v>0</v>
      </c>
      <c r="AO34" s="6">
        <f t="shared" si="8"/>
        <v>0</v>
      </c>
      <c r="AP34" s="6">
        <f t="shared" si="9"/>
        <v>0</v>
      </c>
      <c r="AQ34" s="6">
        <f t="shared" si="10"/>
        <v>0</v>
      </c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  <c r="BC34" s="6"/>
      <c r="BD34" s="6"/>
      <c r="BE34" s="6"/>
      <c r="BF34" s="6"/>
      <c r="BG34" s="6"/>
      <c r="BH34" s="6"/>
      <c r="BI34" s="6"/>
      <c r="BJ34" s="6"/>
      <c r="BK34" s="6"/>
      <c r="BL34" s="6"/>
      <c r="BM34" s="6"/>
      <c r="BN34" s="6"/>
      <c r="BO34" s="6"/>
      <c r="BP34" s="3">
        <v>6</v>
      </c>
      <c r="BQ34" s="6">
        <f t="shared" si="1"/>
        <v>0</v>
      </c>
    </row>
    <row r="35" spans="1:70" x14ac:dyDescent="0.3">
      <c r="A35" s="3" t="s">
        <v>17</v>
      </c>
      <c r="B35" s="3">
        <v>102</v>
      </c>
      <c r="C35" s="3" t="s">
        <v>72</v>
      </c>
      <c r="D35" s="3">
        <v>0.5</v>
      </c>
      <c r="E35" s="3" t="s">
        <v>19</v>
      </c>
      <c r="F35" s="3" t="s">
        <v>25</v>
      </c>
      <c r="G35" s="3" t="s">
        <v>19</v>
      </c>
      <c r="H35" s="3" t="s">
        <v>81</v>
      </c>
      <c r="I35" s="3">
        <v>3.73</v>
      </c>
      <c r="J35" s="3" t="s">
        <v>22</v>
      </c>
      <c r="K35" s="3" t="s">
        <v>82</v>
      </c>
      <c r="L35" s="3" t="s">
        <v>24</v>
      </c>
      <c r="M35" s="3">
        <v>1452</v>
      </c>
      <c r="N35" s="6"/>
      <c r="O35" s="3">
        <v>346.4</v>
      </c>
      <c r="P35" s="3">
        <v>346.40000000000003</v>
      </c>
      <c r="Q35" s="3">
        <v>0</v>
      </c>
      <c r="R35" s="3">
        <v>0.3</v>
      </c>
      <c r="S35" s="3">
        <v>345.10000000000008</v>
      </c>
      <c r="T35" s="3">
        <v>1</v>
      </c>
      <c r="U35" s="3">
        <v>0</v>
      </c>
      <c r="V35" s="3">
        <f t="shared" si="2"/>
        <v>346.40000000000009</v>
      </c>
      <c r="W35" s="3">
        <v>0</v>
      </c>
      <c r="X35" s="4">
        <v>0</v>
      </c>
      <c r="Y35" s="3">
        <v>384</v>
      </c>
      <c r="Z35" s="4">
        <v>0</v>
      </c>
      <c r="AA35" s="3">
        <v>0</v>
      </c>
      <c r="AB35" s="3">
        <f t="shared" si="3"/>
        <v>384</v>
      </c>
      <c r="AC35" s="6">
        <f t="shared" si="11"/>
        <v>0</v>
      </c>
      <c r="AD35" s="6">
        <f t="shared" si="12"/>
        <v>0</v>
      </c>
      <c r="AE35" s="6">
        <f t="shared" si="13"/>
        <v>-384</v>
      </c>
      <c r="AF35" s="6">
        <f t="shared" si="14"/>
        <v>0</v>
      </c>
      <c r="AG35" s="6">
        <f t="shared" si="15"/>
        <v>0</v>
      </c>
      <c r="AH35" s="6">
        <f t="shared" si="4"/>
        <v>-384</v>
      </c>
      <c r="AI35" s="3"/>
      <c r="AJ35" s="3" t="e">
        <f>_xlfn.XLOOKUP(K35,工作表1!A:A,工作表1!C:C)</f>
        <v>#N/A</v>
      </c>
      <c r="AK35" s="3"/>
      <c r="AL35" s="6">
        <f t="shared" si="5"/>
        <v>0</v>
      </c>
      <c r="AM35" s="6">
        <f t="shared" si="6"/>
        <v>0</v>
      </c>
      <c r="AN35" s="6">
        <f t="shared" si="7"/>
        <v>0</v>
      </c>
      <c r="AO35" s="6">
        <f t="shared" si="8"/>
        <v>0</v>
      </c>
      <c r="AP35" s="6">
        <f t="shared" si="9"/>
        <v>0</v>
      </c>
      <c r="AQ35" s="6">
        <f t="shared" si="10"/>
        <v>0</v>
      </c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  <c r="BD35" s="6"/>
      <c r="BE35" s="6"/>
      <c r="BF35" s="6"/>
      <c r="BG35" s="6"/>
      <c r="BH35" s="6"/>
      <c r="BI35" s="6"/>
      <c r="BJ35" s="6"/>
      <c r="BK35" s="6"/>
      <c r="BL35" s="6"/>
      <c r="BM35" s="6"/>
      <c r="BN35" s="6"/>
      <c r="BO35" s="6"/>
      <c r="BP35" s="3">
        <v>384</v>
      </c>
      <c r="BQ35" s="6">
        <f t="shared" si="1"/>
        <v>0</v>
      </c>
    </row>
    <row r="36" spans="1:70" x14ac:dyDescent="0.3">
      <c r="A36" s="3" t="s">
        <v>17</v>
      </c>
      <c r="B36" s="3">
        <v>102</v>
      </c>
      <c r="C36" s="3" t="s">
        <v>83</v>
      </c>
      <c r="D36" s="3">
        <v>1.5</v>
      </c>
      <c r="E36" s="3" t="s">
        <v>19</v>
      </c>
      <c r="F36" s="3" t="s">
        <v>25</v>
      </c>
      <c r="G36" s="3" t="s">
        <v>19</v>
      </c>
      <c r="H36" s="3" t="s">
        <v>73</v>
      </c>
      <c r="I36" s="3">
        <v>5.08</v>
      </c>
      <c r="J36" s="3" t="s">
        <v>22</v>
      </c>
      <c r="K36" s="3" t="s">
        <v>84</v>
      </c>
      <c r="L36" s="3" t="s">
        <v>24</v>
      </c>
      <c r="M36" s="3">
        <v>48</v>
      </c>
      <c r="N36" s="6"/>
      <c r="O36" s="3">
        <v>40.699999999999996</v>
      </c>
      <c r="P36" s="3">
        <v>40.699999999999996</v>
      </c>
      <c r="Q36" s="3">
        <v>0</v>
      </c>
      <c r="R36" s="3">
        <v>0</v>
      </c>
      <c r="S36" s="3">
        <v>40.699999999999996</v>
      </c>
      <c r="T36" s="3">
        <v>0</v>
      </c>
      <c r="U36" s="3">
        <v>0</v>
      </c>
      <c r="V36" s="3">
        <f t="shared" si="2"/>
        <v>40.699999999999996</v>
      </c>
      <c r="W36" s="3">
        <v>0</v>
      </c>
      <c r="X36" s="3">
        <v>0</v>
      </c>
      <c r="Y36" s="3">
        <v>48</v>
      </c>
      <c r="Z36" s="3">
        <v>0</v>
      </c>
      <c r="AA36" s="3">
        <v>0</v>
      </c>
      <c r="AB36" s="3">
        <f t="shared" si="3"/>
        <v>48</v>
      </c>
      <c r="AC36" s="6">
        <f t="shared" si="11"/>
        <v>0</v>
      </c>
      <c r="AD36" s="6">
        <f t="shared" si="12"/>
        <v>0</v>
      </c>
      <c r="AE36" s="6">
        <f t="shared" si="13"/>
        <v>-48</v>
      </c>
      <c r="AF36" s="6">
        <f t="shared" si="14"/>
        <v>0</v>
      </c>
      <c r="AG36" s="6">
        <f t="shared" si="15"/>
        <v>0</v>
      </c>
      <c r="AH36" s="6">
        <f t="shared" si="4"/>
        <v>-48</v>
      </c>
      <c r="AI36" s="3"/>
      <c r="AJ36" s="3" t="e">
        <f>_xlfn.XLOOKUP(K36,工作表1!A:A,工作表1!C:C)</f>
        <v>#N/A</v>
      </c>
      <c r="AK36" s="3"/>
      <c r="AL36" s="6">
        <f t="shared" si="5"/>
        <v>0</v>
      </c>
      <c r="AM36" s="6">
        <f t="shared" si="6"/>
        <v>0</v>
      </c>
      <c r="AN36" s="6">
        <f t="shared" si="7"/>
        <v>0</v>
      </c>
      <c r="AO36" s="6">
        <f t="shared" si="8"/>
        <v>0</v>
      </c>
      <c r="AP36" s="6">
        <f t="shared" si="9"/>
        <v>0</v>
      </c>
      <c r="AQ36" s="6">
        <f t="shared" si="10"/>
        <v>0</v>
      </c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  <c r="BH36" s="6"/>
      <c r="BI36" s="6"/>
      <c r="BJ36" s="6"/>
      <c r="BK36" s="6"/>
      <c r="BL36" s="6"/>
      <c r="BM36" s="6"/>
      <c r="BN36" s="6"/>
      <c r="BO36" s="6"/>
      <c r="BP36" s="3">
        <v>48</v>
      </c>
      <c r="BQ36" s="6">
        <f t="shared" si="1"/>
        <v>0</v>
      </c>
    </row>
    <row r="37" spans="1:70" x14ac:dyDescent="0.3">
      <c r="A37" s="3" t="s">
        <v>17</v>
      </c>
      <c r="B37" s="3">
        <v>102</v>
      </c>
      <c r="C37" s="3" t="s">
        <v>83</v>
      </c>
      <c r="D37" s="3">
        <v>1</v>
      </c>
      <c r="E37" s="3" t="s">
        <v>19</v>
      </c>
      <c r="F37" s="3" t="s">
        <v>41</v>
      </c>
      <c r="G37" s="3" t="s">
        <v>19</v>
      </c>
      <c r="H37" s="3" t="s">
        <v>59</v>
      </c>
      <c r="I37" s="3">
        <v>6.35</v>
      </c>
      <c r="J37" s="3" t="s">
        <v>22</v>
      </c>
      <c r="K37" s="3" t="s">
        <v>85</v>
      </c>
      <c r="L37" s="3" t="s">
        <v>24</v>
      </c>
      <c r="M37" s="3">
        <v>78</v>
      </c>
      <c r="N37" s="6"/>
      <c r="O37" s="3">
        <v>19.2</v>
      </c>
      <c r="P37" s="3">
        <v>14.900000000000002</v>
      </c>
      <c r="Q37" s="3">
        <v>0</v>
      </c>
      <c r="R37" s="3">
        <v>0</v>
      </c>
      <c r="S37" s="3">
        <v>14.900000000000002</v>
      </c>
      <c r="T37" s="3">
        <v>0</v>
      </c>
      <c r="U37" s="3">
        <v>0</v>
      </c>
      <c r="V37" s="3">
        <f t="shared" si="2"/>
        <v>14.900000000000002</v>
      </c>
      <c r="W37" s="3">
        <v>0</v>
      </c>
      <c r="X37" s="3">
        <v>0</v>
      </c>
      <c r="Y37" s="3">
        <v>18</v>
      </c>
      <c r="Z37" s="3">
        <v>0</v>
      </c>
      <c r="AA37" s="3">
        <v>0</v>
      </c>
      <c r="AB37" s="3">
        <f t="shared" si="3"/>
        <v>18</v>
      </c>
      <c r="AC37" s="6">
        <f t="shared" si="11"/>
        <v>0</v>
      </c>
      <c r="AD37" s="6">
        <f t="shared" si="12"/>
        <v>0</v>
      </c>
      <c r="AE37" s="6">
        <f t="shared" si="13"/>
        <v>-18</v>
      </c>
      <c r="AF37" s="6">
        <f t="shared" si="14"/>
        <v>0</v>
      </c>
      <c r="AG37" s="6">
        <f t="shared" si="15"/>
        <v>0</v>
      </c>
      <c r="AH37" s="6">
        <f t="shared" si="4"/>
        <v>-18</v>
      </c>
      <c r="AI37" s="3"/>
      <c r="AJ37" s="3" t="e">
        <f>_xlfn.XLOOKUP(K37,工作表1!A:A,工作表1!C:C)</f>
        <v>#N/A</v>
      </c>
      <c r="AK37" s="3"/>
      <c r="AL37" s="6">
        <f t="shared" si="5"/>
        <v>0</v>
      </c>
      <c r="AM37" s="6">
        <f t="shared" si="6"/>
        <v>0</v>
      </c>
      <c r="AN37" s="6">
        <f t="shared" si="7"/>
        <v>0</v>
      </c>
      <c r="AO37" s="6">
        <f t="shared" si="8"/>
        <v>0</v>
      </c>
      <c r="AP37" s="6">
        <f t="shared" si="9"/>
        <v>0</v>
      </c>
      <c r="AQ37" s="6">
        <f t="shared" si="10"/>
        <v>0</v>
      </c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  <c r="BC37" s="6"/>
      <c r="BD37" s="6"/>
      <c r="BE37" s="6"/>
      <c r="BF37" s="6"/>
      <c r="BG37" s="6"/>
      <c r="BH37" s="6"/>
      <c r="BI37" s="6"/>
      <c r="BJ37" s="6"/>
      <c r="BK37" s="6"/>
      <c r="BL37" s="6"/>
      <c r="BM37" s="6"/>
      <c r="BN37" s="6"/>
      <c r="BO37" s="6"/>
      <c r="BP37" s="5">
        <v>18</v>
      </c>
      <c r="BQ37" s="6">
        <f t="shared" si="1"/>
        <v>0</v>
      </c>
    </row>
    <row r="38" spans="1:70" x14ac:dyDescent="0.3">
      <c r="A38" s="3" t="s">
        <v>17</v>
      </c>
      <c r="B38" s="3">
        <v>102</v>
      </c>
      <c r="C38" s="3" t="s">
        <v>83</v>
      </c>
      <c r="D38" s="3">
        <v>1</v>
      </c>
      <c r="E38" s="3" t="s">
        <v>19</v>
      </c>
      <c r="F38" s="3" t="s">
        <v>25</v>
      </c>
      <c r="G38" s="3" t="s">
        <v>19</v>
      </c>
      <c r="H38" s="3" t="s">
        <v>76</v>
      </c>
      <c r="I38" s="3">
        <v>4.55</v>
      </c>
      <c r="J38" s="3" t="s">
        <v>22</v>
      </c>
      <c r="K38" s="3" t="s">
        <v>86</v>
      </c>
      <c r="L38" s="3" t="s">
        <v>24</v>
      </c>
      <c r="M38" s="3">
        <v>18</v>
      </c>
      <c r="N38" s="6"/>
      <c r="O38" s="3">
        <v>1.2000000000000002</v>
      </c>
      <c r="P38" s="3">
        <v>1.2</v>
      </c>
      <c r="Q38" s="3">
        <v>0</v>
      </c>
      <c r="R38" s="3">
        <v>0</v>
      </c>
      <c r="S38" s="3">
        <v>1.2</v>
      </c>
      <c r="T38" s="3">
        <v>0</v>
      </c>
      <c r="U38" s="3">
        <v>0</v>
      </c>
      <c r="V38" s="3">
        <f t="shared" si="2"/>
        <v>1.2</v>
      </c>
      <c r="W38" s="3">
        <v>0</v>
      </c>
      <c r="X38" s="3">
        <v>0</v>
      </c>
      <c r="Y38" s="3">
        <v>6</v>
      </c>
      <c r="Z38" s="3">
        <v>0</v>
      </c>
      <c r="AA38" s="3">
        <v>0</v>
      </c>
      <c r="AB38" s="3">
        <f t="shared" si="3"/>
        <v>6</v>
      </c>
      <c r="AC38" s="6">
        <f t="shared" si="11"/>
        <v>0</v>
      </c>
      <c r="AD38" s="6">
        <f t="shared" si="12"/>
        <v>0</v>
      </c>
      <c r="AE38" s="6">
        <f t="shared" si="13"/>
        <v>-6</v>
      </c>
      <c r="AF38" s="6">
        <f t="shared" si="14"/>
        <v>0</v>
      </c>
      <c r="AG38" s="6">
        <f t="shared" si="15"/>
        <v>0</v>
      </c>
      <c r="AH38" s="6">
        <f t="shared" si="4"/>
        <v>-6</v>
      </c>
      <c r="AI38" s="3"/>
      <c r="AJ38" s="3" t="e">
        <f>_xlfn.XLOOKUP(K38,工作表1!A:A,工作表1!C:C)</f>
        <v>#N/A</v>
      </c>
      <c r="AK38" s="3"/>
      <c r="AL38" s="6">
        <f t="shared" si="5"/>
        <v>0</v>
      </c>
      <c r="AM38" s="6">
        <f t="shared" si="6"/>
        <v>0</v>
      </c>
      <c r="AN38" s="6">
        <f t="shared" si="7"/>
        <v>0</v>
      </c>
      <c r="AO38" s="6">
        <f t="shared" si="8"/>
        <v>0</v>
      </c>
      <c r="AP38" s="6">
        <f t="shared" si="9"/>
        <v>0</v>
      </c>
      <c r="AQ38" s="6">
        <f t="shared" si="10"/>
        <v>0</v>
      </c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  <c r="BC38" s="6"/>
      <c r="BD38" s="6"/>
      <c r="BE38" s="6"/>
      <c r="BF38" s="6"/>
      <c r="BG38" s="6"/>
      <c r="BH38" s="6"/>
      <c r="BI38" s="6"/>
      <c r="BJ38" s="6"/>
      <c r="BK38" s="6"/>
      <c r="BL38" s="6"/>
      <c r="BM38" s="6"/>
      <c r="BN38" s="6"/>
      <c r="BO38" s="6"/>
      <c r="BP38" s="3">
        <v>6</v>
      </c>
      <c r="BQ38" s="6">
        <f t="shared" si="1"/>
        <v>0</v>
      </c>
    </row>
    <row r="39" spans="1:70" x14ac:dyDescent="0.3">
      <c r="A39" s="3" t="s">
        <v>17</v>
      </c>
      <c r="B39" s="3">
        <v>102</v>
      </c>
      <c r="C39" s="3" t="s">
        <v>83</v>
      </c>
      <c r="D39" s="3">
        <v>0.75</v>
      </c>
      <c r="E39" s="3" t="s">
        <v>19</v>
      </c>
      <c r="F39" s="3" t="s">
        <v>41</v>
      </c>
      <c r="G39" s="3" t="s">
        <v>19</v>
      </c>
      <c r="H39" s="3" t="s">
        <v>61</v>
      </c>
      <c r="I39" s="3">
        <v>5.56</v>
      </c>
      <c r="J39" s="3" t="s">
        <v>22</v>
      </c>
      <c r="K39" s="3" t="s">
        <v>87</v>
      </c>
      <c r="L39" s="3" t="s">
        <v>24</v>
      </c>
      <c r="M39" s="3">
        <v>48</v>
      </c>
      <c r="N39" s="6"/>
      <c r="O39" s="3">
        <v>0.2</v>
      </c>
      <c r="P39" s="3">
        <v>0.2</v>
      </c>
      <c r="Q39" s="3">
        <v>0</v>
      </c>
      <c r="R39" s="3">
        <v>0</v>
      </c>
      <c r="S39" s="3">
        <v>0.2</v>
      </c>
      <c r="T39" s="3">
        <v>0</v>
      </c>
      <c r="U39" s="3">
        <v>0</v>
      </c>
      <c r="V39" s="3">
        <f t="shared" si="2"/>
        <v>0.2</v>
      </c>
      <c r="W39" s="3">
        <v>0</v>
      </c>
      <c r="X39" s="3">
        <v>0</v>
      </c>
      <c r="Y39" s="3">
        <v>6</v>
      </c>
      <c r="Z39" s="3">
        <v>0</v>
      </c>
      <c r="AA39" s="3">
        <v>0</v>
      </c>
      <c r="AB39" s="3">
        <f t="shared" si="3"/>
        <v>6</v>
      </c>
      <c r="AC39" s="6">
        <f t="shared" si="11"/>
        <v>0</v>
      </c>
      <c r="AD39" s="6">
        <f t="shared" si="12"/>
        <v>0</v>
      </c>
      <c r="AE39" s="6">
        <f t="shared" si="13"/>
        <v>-6</v>
      </c>
      <c r="AF39" s="6">
        <f t="shared" si="14"/>
        <v>0</v>
      </c>
      <c r="AG39" s="6">
        <f t="shared" si="15"/>
        <v>0</v>
      </c>
      <c r="AH39" s="6">
        <f t="shared" si="4"/>
        <v>-6</v>
      </c>
      <c r="AI39" s="3"/>
      <c r="AJ39" s="3" t="e">
        <f>_xlfn.XLOOKUP(K39,工作表1!A:A,工作表1!C:C)</f>
        <v>#N/A</v>
      </c>
      <c r="AK39" s="3"/>
      <c r="AL39" s="6">
        <f t="shared" si="5"/>
        <v>0</v>
      </c>
      <c r="AM39" s="6">
        <f t="shared" si="6"/>
        <v>0</v>
      </c>
      <c r="AN39" s="6">
        <f t="shared" si="7"/>
        <v>0</v>
      </c>
      <c r="AO39" s="6">
        <f t="shared" si="8"/>
        <v>0</v>
      </c>
      <c r="AP39" s="6">
        <f t="shared" si="9"/>
        <v>0</v>
      </c>
      <c r="AQ39" s="6">
        <f t="shared" si="10"/>
        <v>0</v>
      </c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  <c r="BC39" s="6"/>
      <c r="BD39" s="6"/>
      <c r="BE39" s="6"/>
      <c r="BF39" s="6"/>
      <c r="BG39" s="6"/>
      <c r="BH39" s="6"/>
      <c r="BI39" s="6"/>
      <c r="BJ39" s="6"/>
      <c r="BK39" s="6"/>
      <c r="BL39" s="6"/>
      <c r="BM39" s="6"/>
      <c r="BN39" s="6"/>
      <c r="BO39" s="6"/>
      <c r="BP39" s="3">
        <v>6</v>
      </c>
      <c r="BQ39" s="6">
        <f t="shared" si="1"/>
        <v>0</v>
      </c>
    </row>
    <row r="40" spans="1:70" x14ac:dyDescent="0.3">
      <c r="A40" s="3" t="s">
        <v>17</v>
      </c>
      <c r="B40" s="3">
        <v>102</v>
      </c>
      <c r="C40" s="3" t="s">
        <v>83</v>
      </c>
      <c r="D40" s="3">
        <v>0.75</v>
      </c>
      <c r="E40" s="3" t="s">
        <v>19</v>
      </c>
      <c r="F40" s="3" t="s">
        <v>25</v>
      </c>
      <c r="G40" s="3" t="s">
        <v>19</v>
      </c>
      <c r="H40" s="3" t="s">
        <v>78</v>
      </c>
      <c r="I40" s="3">
        <v>3.91</v>
      </c>
      <c r="J40" s="3" t="s">
        <v>22</v>
      </c>
      <c r="K40" s="3" t="s">
        <v>88</v>
      </c>
      <c r="L40" s="3" t="s">
        <v>24</v>
      </c>
      <c r="M40" s="3">
        <v>6</v>
      </c>
      <c r="N40" s="6"/>
      <c r="O40" s="3">
        <v>0.2</v>
      </c>
      <c r="P40" s="3">
        <v>0.2</v>
      </c>
      <c r="Q40" s="3">
        <v>0</v>
      </c>
      <c r="R40" s="3">
        <v>0</v>
      </c>
      <c r="S40" s="3">
        <v>0.2</v>
      </c>
      <c r="T40" s="3">
        <v>0</v>
      </c>
      <c r="U40" s="3">
        <v>0</v>
      </c>
      <c r="V40" s="3">
        <f t="shared" si="2"/>
        <v>0.2</v>
      </c>
      <c r="W40" s="3">
        <v>0</v>
      </c>
      <c r="X40" s="3">
        <v>0</v>
      </c>
      <c r="Y40" s="3">
        <v>6</v>
      </c>
      <c r="Z40" s="3">
        <v>0</v>
      </c>
      <c r="AA40" s="3">
        <v>0</v>
      </c>
      <c r="AB40" s="3">
        <f t="shared" si="3"/>
        <v>6</v>
      </c>
      <c r="AC40" s="6">
        <f t="shared" si="11"/>
        <v>0</v>
      </c>
      <c r="AD40" s="6">
        <f t="shared" si="12"/>
        <v>0</v>
      </c>
      <c r="AE40" s="6">
        <f t="shared" si="13"/>
        <v>-6</v>
      </c>
      <c r="AF40" s="6">
        <f t="shared" si="14"/>
        <v>0</v>
      </c>
      <c r="AG40" s="6">
        <f t="shared" si="15"/>
        <v>0</v>
      </c>
      <c r="AH40" s="6">
        <f t="shared" si="4"/>
        <v>-6</v>
      </c>
      <c r="AI40" s="3"/>
      <c r="AJ40" s="3" t="e">
        <f>_xlfn.XLOOKUP(K40,工作表1!A:A,工作表1!C:C)</f>
        <v>#N/A</v>
      </c>
      <c r="AK40" s="3"/>
      <c r="AL40" s="6">
        <f t="shared" si="5"/>
        <v>0</v>
      </c>
      <c r="AM40" s="6">
        <f t="shared" si="6"/>
        <v>0</v>
      </c>
      <c r="AN40" s="6">
        <f t="shared" si="7"/>
        <v>0</v>
      </c>
      <c r="AO40" s="6">
        <f t="shared" si="8"/>
        <v>0</v>
      </c>
      <c r="AP40" s="6">
        <f t="shared" si="9"/>
        <v>0</v>
      </c>
      <c r="AQ40" s="6">
        <f t="shared" si="10"/>
        <v>0</v>
      </c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  <c r="BC40" s="6"/>
      <c r="BD40" s="6"/>
      <c r="BE40" s="6"/>
      <c r="BF40" s="6"/>
      <c r="BG40" s="6"/>
      <c r="BH40" s="6"/>
      <c r="BI40" s="6"/>
      <c r="BJ40" s="6"/>
      <c r="BK40" s="6"/>
      <c r="BL40" s="6"/>
      <c r="BM40" s="6"/>
      <c r="BN40" s="6"/>
      <c r="BO40" s="6"/>
      <c r="BP40" s="3">
        <v>6</v>
      </c>
      <c r="BQ40" s="6">
        <f t="shared" si="1"/>
        <v>0</v>
      </c>
    </row>
    <row r="41" spans="1:70" x14ac:dyDescent="0.3">
      <c r="A41" s="3" t="s">
        <v>17</v>
      </c>
      <c r="B41" s="3">
        <v>102</v>
      </c>
      <c r="C41" s="3" t="s">
        <v>83</v>
      </c>
      <c r="D41" s="3">
        <v>0.5</v>
      </c>
      <c r="E41" s="3" t="s">
        <v>19</v>
      </c>
      <c r="F41" s="3" t="s">
        <v>25</v>
      </c>
      <c r="G41" s="3" t="s">
        <v>19</v>
      </c>
      <c r="H41" s="3" t="s">
        <v>81</v>
      </c>
      <c r="I41" s="3">
        <v>3.73</v>
      </c>
      <c r="J41" s="3" t="s">
        <v>22</v>
      </c>
      <c r="K41" s="3" t="s">
        <v>89</v>
      </c>
      <c r="L41" s="3" t="s">
        <v>24</v>
      </c>
      <c r="M41" s="3">
        <v>6</v>
      </c>
      <c r="N41" s="6"/>
      <c r="O41" s="3">
        <v>0.8</v>
      </c>
      <c r="P41" s="3">
        <v>0.8</v>
      </c>
      <c r="Q41" s="3">
        <v>0</v>
      </c>
      <c r="R41" s="3">
        <v>0</v>
      </c>
      <c r="S41" s="3">
        <v>0.8</v>
      </c>
      <c r="T41" s="3">
        <v>0</v>
      </c>
      <c r="U41" s="3">
        <v>0</v>
      </c>
      <c r="V41" s="3">
        <f t="shared" si="2"/>
        <v>0.8</v>
      </c>
      <c r="W41" s="3">
        <v>0</v>
      </c>
      <c r="X41" s="3">
        <v>0</v>
      </c>
      <c r="Y41" s="3">
        <v>6</v>
      </c>
      <c r="Z41" s="3">
        <v>0</v>
      </c>
      <c r="AA41" s="3">
        <v>0</v>
      </c>
      <c r="AB41" s="3">
        <f t="shared" si="3"/>
        <v>6</v>
      </c>
      <c r="AC41" s="6">
        <f t="shared" si="11"/>
        <v>0</v>
      </c>
      <c r="AD41" s="6">
        <f t="shared" si="12"/>
        <v>0</v>
      </c>
      <c r="AE41" s="6">
        <f t="shared" si="13"/>
        <v>-6</v>
      </c>
      <c r="AF41" s="6">
        <f t="shared" si="14"/>
        <v>0</v>
      </c>
      <c r="AG41" s="6">
        <f t="shared" si="15"/>
        <v>0</v>
      </c>
      <c r="AH41" s="6">
        <f t="shared" si="4"/>
        <v>-6</v>
      </c>
      <c r="AI41" s="3"/>
      <c r="AJ41" s="3" t="e">
        <f>_xlfn.XLOOKUP(K41,工作表1!A:A,工作表1!C:C)</f>
        <v>#N/A</v>
      </c>
      <c r="AK41" s="3"/>
      <c r="AL41" s="6">
        <f t="shared" si="5"/>
        <v>0</v>
      </c>
      <c r="AM41" s="6">
        <f t="shared" si="6"/>
        <v>0</v>
      </c>
      <c r="AN41" s="6">
        <f t="shared" si="7"/>
        <v>0</v>
      </c>
      <c r="AO41" s="6">
        <f t="shared" si="8"/>
        <v>0</v>
      </c>
      <c r="AP41" s="6">
        <f t="shared" si="9"/>
        <v>0</v>
      </c>
      <c r="AQ41" s="6">
        <f t="shared" si="10"/>
        <v>0</v>
      </c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  <c r="BC41" s="6"/>
      <c r="BD41" s="6"/>
      <c r="BE41" s="6"/>
      <c r="BF41" s="6"/>
      <c r="BG41" s="6"/>
      <c r="BH41" s="6"/>
      <c r="BI41" s="6"/>
      <c r="BJ41" s="6"/>
      <c r="BK41" s="6"/>
      <c r="BL41" s="6"/>
      <c r="BM41" s="6"/>
      <c r="BN41" s="6"/>
      <c r="BO41" s="6"/>
      <c r="BP41" s="3">
        <v>6</v>
      </c>
      <c r="BQ41" s="6">
        <f t="shared" si="1"/>
        <v>0</v>
      </c>
    </row>
    <row r="42" spans="1:70" x14ac:dyDescent="0.3">
      <c r="A42" s="3" t="s">
        <v>17</v>
      </c>
      <c r="B42" s="3">
        <v>121</v>
      </c>
      <c r="C42" s="3" t="s">
        <v>90</v>
      </c>
      <c r="D42" s="3">
        <v>0.75</v>
      </c>
      <c r="E42" s="3" t="s">
        <v>19</v>
      </c>
      <c r="F42" s="3" t="s">
        <v>25</v>
      </c>
      <c r="G42" s="3" t="s">
        <v>19</v>
      </c>
      <c r="H42" s="3" t="s">
        <v>78</v>
      </c>
      <c r="I42" s="3">
        <v>3.91</v>
      </c>
      <c r="J42" s="3" t="s">
        <v>91</v>
      </c>
      <c r="K42" s="3" t="s">
        <v>92</v>
      </c>
      <c r="L42" s="3" t="s">
        <v>24</v>
      </c>
      <c r="M42" s="3">
        <v>1</v>
      </c>
      <c r="N42" s="6"/>
      <c r="O42" s="3">
        <v>1</v>
      </c>
      <c r="P42" s="3">
        <v>1</v>
      </c>
      <c r="Q42" s="3">
        <v>0</v>
      </c>
      <c r="R42" s="3">
        <v>0</v>
      </c>
      <c r="S42" s="3">
        <v>0</v>
      </c>
      <c r="T42" s="3">
        <v>1</v>
      </c>
      <c r="U42" s="3">
        <v>0</v>
      </c>
      <c r="V42" s="3">
        <f t="shared" si="2"/>
        <v>1</v>
      </c>
      <c r="W42" s="3">
        <v>0</v>
      </c>
      <c r="X42" s="3">
        <v>0</v>
      </c>
      <c r="Y42" s="3">
        <v>0</v>
      </c>
      <c r="Z42" s="3">
        <v>1</v>
      </c>
      <c r="AA42" s="3">
        <v>0</v>
      </c>
      <c r="AB42" s="3">
        <f t="shared" si="3"/>
        <v>1</v>
      </c>
      <c r="AC42" s="6">
        <f t="shared" si="11"/>
        <v>0</v>
      </c>
      <c r="AD42" s="6">
        <f t="shared" si="12"/>
        <v>0</v>
      </c>
      <c r="AE42" s="6">
        <f t="shared" si="13"/>
        <v>0</v>
      </c>
      <c r="AF42" s="6">
        <f t="shared" si="14"/>
        <v>0</v>
      </c>
      <c r="AG42" s="6">
        <f t="shared" si="15"/>
        <v>0</v>
      </c>
      <c r="AH42" s="6">
        <f t="shared" si="4"/>
        <v>0</v>
      </c>
      <c r="AI42" s="3"/>
      <c r="AJ42" s="3" t="e">
        <f>_xlfn.XLOOKUP(K42,工作表1!A:A,工作表1!C:C)</f>
        <v>#N/A</v>
      </c>
      <c r="AK42" s="3"/>
      <c r="AL42" s="6">
        <f t="shared" si="5"/>
        <v>0</v>
      </c>
      <c r="AM42" s="6">
        <f t="shared" si="6"/>
        <v>0</v>
      </c>
      <c r="AN42" s="6">
        <f t="shared" si="7"/>
        <v>0</v>
      </c>
      <c r="AO42" s="6">
        <f t="shared" si="8"/>
        <v>1</v>
      </c>
      <c r="AP42" s="6">
        <f t="shared" si="9"/>
        <v>0</v>
      </c>
      <c r="AQ42" s="6">
        <f t="shared" si="10"/>
        <v>1</v>
      </c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  <c r="BC42" s="6"/>
      <c r="BD42" s="6"/>
      <c r="BE42" s="6"/>
      <c r="BF42" s="6">
        <v>1</v>
      </c>
      <c r="BG42" s="6"/>
      <c r="BH42" s="6"/>
      <c r="BI42" s="6"/>
      <c r="BJ42" s="6"/>
      <c r="BK42" s="6"/>
      <c r="BL42" s="6"/>
      <c r="BM42" s="6"/>
      <c r="BN42" s="6"/>
      <c r="BO42" s="6"/>
      <c r="BP42" s="3">
        <v>1</v>
      </c>
      <c r="BQ42" s="6">
        <f t="shared" si="1"/>
        <v>1</v>
      </c>
      <c r="BR42" s="8">
        <v>1</v>
      </c>
    </row>
    <row r="43" spans="1:70" x14ac:dyDescent="0.3">
      <c r="A43" s="3" t="s">
        <v>17</v>
      </c>
      <c r="B43" s="3">
        <v>121</v>
      </c>
      <c r="C43" s="3" t="s">
        <v>93</v>
      </c>
      <c r="D43" s="3">
        <v>1.5</v>
      </c>
      <c r="E43" s="3" t="s">
        <v>19</v>
      </c>
      <c r="F43" s="3" t="s">
        <v>25</v>
      </c>
      <c r="G43" s="3" t="s">
        <v>19</v>
      </c>
      <c r="H43" s="3" t="s">
        <v>73</v>
      </c>
      <c r="I43" s="3">
        <v>5.08</v>
      </c>
      <c r="J43" s="3" t="s">
        <v>91</v>
      </c>
      <c r="K43" s="3" t="s">
        <v>94</v>
      </c>
      <c r="L43" s="3" t="s">
        <v>24</v>
      </c>
      <c r="M43" s="3">
        <v>1</v>
      </c>
      <c r="N43" s="6"/>
      <c r="O43" s="3">
        <v>1</v>
      </c>
      <c r="P43" s="3">
        <v>1</v>
      </c>
      <c r="Q43" s="3">
        <v>0</v>
      </c>
      <c r="R43" s="3">
        <v>1</v>
      </c>
      <c r="S43" s="3">
        <v>0</v>
      </c>
      <c r="T43" s="3">
        <v>0</v>
      </c>
      <c r="U43" s="3">
        <v>0</v>
      </c>
      <c r="V43" s="3">
        <f t="shared" si="2"/>
        <v>1</v>
      </c>
      <c r="W43" s="3">
        <v>0</v>
      </c>
      <c r="X43" s="3">
        <v>1</v>
      </c>
      <c r="Y43" s="3">
        <v>0</v>
      </c>
      <c r="Z43" s="3">
        <v>0</v>
      </c>
      <c r="AA43" s="3">
        <v>0</v>
      </c>
      <c r="AB43" s="3">
        <f t="shared" si="3"/>
        <v>1</v>
      </c>
      <c r="AC43" s="6">
        <f t="shared" si="11"/>
        <v>0</v>
      </c>
      <c r="AD43" s="6">
        <f t="shared" si="12"/>
        <v>0</v>
      </c>
      <c r="AE43" s="6">
        <f t="shared" si="13"/>
        <v>0</v>
      </c>
      <c r="AF43" s="6">
        <f t="shared" si="14"/>
        <v>0</v>
      </c>
      <c r="AG43" s="6">
        <f t="shared" si="15"/>
        <v>0</v>
      </c>
      <c r="AH43" s="6">
        <f t="shared" si="4"/>
        <v>0</v>
      </c>
      <c r="AI43" s="3"/>
      <c r="AJ43" s="3" t="e">
        <f>_xlfn.XLOOKUP(K43,工作表1!A:A,工作表1!C:C)</f>
        <v>#N/A</v>
      </c>
      <c r="AK43" s="3"/>
      <c r="AL43" s="6">
        <f t="shared" si="5"/>
        <v>0</v>
      </c>
      <c r="AM43" s="6">
        <f t="shared" si="6"/>
        <v>1</v>
      </c>
      <c r="AN43" s="6">
        <f t="shared" si="7"/>
        <v>0</v>
      </c>
      <c r="AO43" s="6">
        <f t="shared" si="8"/>
        <v>0</v>
      </c>
      <c r="AP43" s="6">
        <f t="shared" si="9"/>
        <v>0</v>
      </c>
      <c r="AQ43" s="6">
        <f t="shared" si="10"/>
        <v>1</v>
      </c>
      <c r="AR43" s="6"/>
      <c r="AS43" s="6"/>
      <c r="AT43" s="6"/>
      <c r="AU43" s="6"/>
      <c r="AV43" s="6"/>
      <c r="AW43" s="6">
        <v>1</v>
      </c>
      <c r="AX43" s="6"/>
      <c r="AY43" s="6"/>
      <c r="AZ43" s="6"/>
      <c r="BA43" s="6"/>
      <c r="BB43" s="6"/>
      <c r="BC43" s="6"/>
      <c r="BD43" s="6"/>
      <c r="BE43" s="6"/>
      <c r="BF43" s="6"/>
      <c r="BG43" s="6"/>
      <c r="BH43" s="6"/>
      <c r="BI43" s="6"/>
      <c r="BJ43" s="6"/>
      <c r="BK43" s="6"/>
      <c r="BL43" s="6"/>
      <c r="BM43" s="6"/>
      <c r="BN43" s="6"/>
      <c r="BO43" s="6"/>
      <c r="BP43" s="3">
        <v>1</v>
      </c>
      <c r="BQ43" s="6">
        <f t="shared" si="1"/>
        <v>1</v>
      </c>
      <c r="BR43">
        <v>1</v>
      </c>
    </row>
    <row r="44" spans="1:70" x14ac:dyDescent="0.3">
      <c r="A44" s="3" t="s">
        <v>17</v>
      </c>
      <c r="B44" s="3">
        <v>121</v>
      </c>
      <c r="C44" s="3" t="s">
        <v>93</v>
      </c>
      <c r="D44" s="3">
        <v>0.75</v>
      </c>
      <c r="E44" s="3" t="s">
        <v>19</v>
      </c>
      <c r="F44" s="3" t="s">
        <v>25</v>
      </c>
      <c r="G44" s="3" t="s">
        <v>19</v>
      </c>
      <c r="H44" s="3" t="s">
        <v>78</v>
      </c>
      <c r="I44" s="3">
        <v>3.91</v>
      </c>
      <c r="J44" s="3" t="s">
        <v>91</v>
      </c>
      <c r="K44" s="3" t="s">
        <v>95</v>
      </c>
      <c r="L44" s="3" t="s">
        <v>24</v>
      </c>
      <c r="M44" s="3">
        <v>95</v>
      </c>
      <c r="N44" s="6"/>
      <c r="O44" s="3">
        <v>37</v>
      </c>
      <c r="P44" s="3">
        <v>36</v>
      </c>
      <c r="Q44" s="3">
        <v>0</v>
      </c>
      <c r="R44" s="3">
        <v>13</v>
      </c>
      <c r="S44" s="3">
        <v>3</v>
      </c>
      <c r="T44" s="3">
        <v>20</v>
      </c>
      <c r="U44" s="3">
        <v>0</v>
      </c>
      <c r="V44" s="3">
        <f t="shared" si="2"/>
        <v>36</v>
      </c>
      <c r="W44" s="3">
        <v>0</v>
      </c>
      <c r="X44" s="3">
        <v>13</v>
      </c>
      <c r="Y44" s="3">
        <v>3</v>
      </c>
      <c r="Z44" s="3">
        <v>20</v>
      </c>
      <c r="AA44" s="3">
        <v>0</v>
      </c>
      <c r="AB44" s="3">
        <f t="shared" si="3"/>
        <v>36</v>
      </c>
      <c r="AC44" s="6">
        <f t="shared" si="11"/>
        <v>0</v>
      </c>
      <c r="AD44" s="6">
        <f t="shared" si="12"/>
        <v>1</v>
      </c>
      <c r="AE44" s="6">
        <f t="shared" si="13"/>
        <v>0</v>
      </c>
      <c r="AF44" s="6">
        <f t="shared" si="14"/>
        <v>0</v>
      </c>
      <c r="AG44" s="6">
        <f t="shared" si="15"/>
        <v>0</v>
      </c>
      <c r="AH44" s="6">
        <f t="shared" si="4"/>
        <v>1</v>
      </c>
      <c r="AI44" s="3"/>
      <c r="AJ44" s="3" t="e">
        <f>_xlfn.XLOOKUP(K44,工作表1!A:A,工作表1!C:C)</f>
        <v>#N/A</v>
      </c>
      <c r="AK44" s="3"/>
      <c r="AL44" s="6">
        <f t="shared" si="5"/>
        <v>0</v>
      </c>
      <c r="AM44" s="6">
        <f t="shared" si="6"/>
        <v>14</v>
      </c>
      <c r="AN44" s="6">
        <f t="shared" si="7"/>
        <v>3</v>
      </c>
      <c r="AO44" s="6">
        <f t="shared" si="8"/>
        <v>20</v>
      </c>
      <c r="AP44" s="6">
        <f t="shared" si="9"/>
        <v>0</v>
      </c>
      <c r="AQ44" s="6">
        <f t="shared" si="10"/>
        <v>37</v>
      </c>
      <c r="AR44" s="6"/>
      <c r="AS44" s="6"/>
      <c r="AT44" s="6"/>
      <c r="AU44" s="6"/>
      <c r="AV44" s="6"/>
      <c r="AW44" s="6">
        <v>14</v>
      </c>
      <c r="AX44" s="6"/>
      <c r="AY44" s="6"/>
      <c r="AZ44" s="6"/>
      <c r="BA44" s="6">
        <v>3</v>
      </c>
      <c r="BB44" s="6"/>
      <c r="BC44" s="6"/>
      <c r="BD44" s="6"/>
      <c r="BE44" s="6"/>
      <c r="BF44" s="6">
        <v>20</v>
      </c>
      <c r="BG44" s="6"/>
      <c r="BH44" s="6"/>
      <c r="BI44" s="6"/>
      <c r="BJ44" s="6"/>
      <c r="BK44" s="6"/>
      <c r="BL44" s="6"/>
      <c r="BM44" s="6"/>
      <c r="BN44" s="6"/>
      <c r="BO44" s="6"/>
      <c r="BP44" s="3">
        <v>36</v>
      </c>
      <c r="BQ44" s="6">
        <f t="shared" si="1"/>
        <v>37</v>
      </c>
      <c r="BR44" s="8">
        <v>37</v>
      </c>
    </row>
    <row r="45" spans="1:70" x14ac:dyDescent="0.3">
      <c r="A45" s="3" t="s">
        <v>17</v>
      </c>
      <c r="B45" s="3">
        <v>121</v>
      </c>
      <c r="C45" s="3" t="s">
        <v>96</v>
      </c>
      <c r="D45" s="3">
        <v>0.75</v>
      </c>
      <c r="E45" s="3" t="s">
        <v>19</v>
      </c>
      <c r="F45" s="3" t="s">
        <v>25</v>
      </c>
      <c r="G45" s="3" t="s">
        <v>19</v>
      </c>
      <c r="H45" s="3" t="s">
        <v>78</v>
      </c>
      <c r="I45" s="3">
        <v>3.91</v>
      </c>
      <c r="J45" s="3" t="s">
        <v>91</v>
      </c>
      <c r="K45" s="3" t="s">
        <v>97</v>
      </c>
      <c r="L45" s="3" t="s">
        <v>24</v>
      </c>
      <c r="M45" s="3">
        <v>6</v>
      </c>
      <c r="N45" s="6"/>
      <c r="O45" s="3">
        <v>5</v>
      </c>
      <c r="P45" s="3">
        <v>5</v>
      </c>
      <c r="Q45" s="3">
        <v>0</v>
      </c>
      <c r="R45" s="3">
        <v>0</v>
      </c>
      <c r="S45" s="3">
        <v>5</v>
      </c>
      <c r="T45" s="3">
        <v>0</v>
      </c>
      <c r="U45" s="3">
        <v>0</v>
      </c>
      <c r="V45" s="3">
        <f t="shared" si="2"/>
        <v>5</v>
      </c>
      <c r="W45" s="3">
        <v>0</v>
      </c>
      <c r="X45" s="3">
        <v>0</v>
      </c>
      <c r="Y45" s="3">
        <v>5</v>
      </c>
      <c r="Z45" s="3">
        <v>0</v>
      </c>
      <c r="AA45" s="3">
        <v>0</v>
      </c>
      <c r="AB45" s="3">
        <f t="shared" si="3"/>
        <v>5</v>
      </c>
      <c r="AC45" s="6">
        <f t="shared" si="11"/>
        <v>0</v>
      </c>
      <c r="AD45" s="6">
        <f t="shared" si="12"/>
        <v>0</v>
      </c>
      <c r="AE45" s="6">
        <f t="shared" si="13"/>
        <v>0</v>
      </c>
      <c r="AF45" s="6">
        <f t="shared" si="14"/>
        <v>0</v>
      </c>
      <c r="AG45" s="6">
        <f t="shared" si="15"/>
        <v>0</v>
      </c>
      <c r="AH45" s="6">
        <f t="shared" si="4"/>
        <v>0</v>
      </c>
      <c r="AI45" s="3"/>
      <c r="AJ45" s="3" t="e">
        <f>_xlfn.XLOOKUP(K45,工作表1!A:A,工作表1!C:C)</f>
        <v>#N/A</v>
      </c>
      <c r="AK45" s="3"/>
      <c r="AL45" s="6">
        <f t="shared" si="5"/>
        <v>0</v>
      </c>
      <c r="AM45" s="6">
        <f t="shared" si="6"/>
        <v>0</v>
      </c>
      <c r="AN45" s="6">
        <f t="shared" si="7"/>
        <v>5</v>
      </c>
      <c r="AO45" s="6">
        <f t="shared" si="8"/>
        <v>0</v>
      </c>
      <c r="AP45" s="6">
        <f t="shared" si="9"/>
        <v>0</v>
      </c>
      <c r="AQ45" s="6">
        <f t="shared" si="10"/>
        <v>5</v>
      </c>
      <c r="AR45" s="6"/>
      <c r="AS45" s="6"/>
      <c r="AT45" s="6"/>
      <c r="AU45" s="6"/>
      <c r="AV45" s="6"/>
      <c r="AW45" s="6"/>
      <c r="AX45" s="6"/>
      <c r="AY45" s="6"/>
      <c r="AZ45" s="6"/>
      <c r="BA45" s="6">
        <v>5</v>
      </c>
      <c r="BB45" s="6"/>
      <c r="BC45" s="6"/>
      <c r="BD45" s="6"/>
      <c r="BE45" s="6"/>
      <c r="BF45" s="6"/>
      <c r="BG45" s="6"/>
      <c r="BH45" s="6"/>
      <c r="BI45" s="6"/>
      <c r="BJ45" s="6"/>
      <c r="BK45" s="6"/>
      <c r="BL45" s="6"/>
      <c r="BM45" s="6"/>
      <c r="BN45" s="6"/>
      <c r="BO45" s="6"/>
      <c r="BP45" s="3">
        <v>5</v>
      </c>
      <c r="BQ45" s="6">
        <f t="shared" si="1"/>
        <v>5</v>
      </c>
      <c r="BR45" s="8">
        <v>5</v>
      </c>
    </row>
    <row r="46" spans="1:70" x14ac:dyDescent="0.3">
      <c r="A46" s="3" t="s">
        <v>17</v>
      </c>
      <c r="B46" s="3">
        <v>301</v>
      </c>
      <c r="C46" s="3" t="s">
        <v>98</v>
      </c>
      <c r="D46" s="3">
        <v>1.5</v>
      </c>
      <c r="E46" s="3" t="s">
        <v>19</v>
      </c>
      <c r="F46" s="3" t="s">
        <v>19</v>
      </c>
      <c r="G46" s="3" t="s">
        <v>19</v>
      </c>
      <c r="H46" s="3" t="s">
        <v>99</v>
      </c>
      <c r="I46" s="3"/>
      <c r="J46" s="3" t="s">
        <v>91</v>
      </c>
      <c r="K46" s="3" t="s">
        <v>100</v>
      </c>
      <c r="L46" s="3" t="s">
        <v>24</v>
      </c>
      <c r="M46" s="3">
        <v>17</v>
      </c>
      <c r="N46" s="6"/>
      <c r="O46" s="3">
        <v>7</v>
      </c>
      <c r="P46" s="3">
        <v>7</v>
      </c>
      <c r="Q46" s="3">
        <v>0</v>
      </c>
      <c r="R46" s="3">
        <v>7</v>
      </c>
      <c r="S46" s="3">
        <v>0</v>
      </c>
      <c r="T46" s="3">
        <v>0</v>
      </c>
      <c r="U46" s="3">
        <v>0</v>
      </c>
      <c r="V46" s="3">
        <f t="shared" si="2"/>
        <v>7</v>
      </c>
      <c r="W46" s="3">
        <v>0</v>
      </c>
      <c r="X46" s="3">
        <v>7</v>
      </c>
      <c r="Y46" s="3">
        <v>0</v>
      </c>
      <c r="Z46" s="3">
        <v>0</v>
      </c>
      <c r="AA46" s="3">
        <v>0</v>
      </c>
      <c r="AB46" s="3">
        <f t="shared" si="3"/>
        <v>7</v>
      </c>
      <c r="AC46" s="6">
        <f t="shared" si="11"/>
        <v>0</v>
      </c>
      <c r="AD46" s="6">
        <f t="shared" si="12"/>
        <v>0</v>
      </c>
      <c r="AE46" s="6">
        <f t="shared" si="13"/>
        <v>0</v>
      </c>
      <c r="AF46" s="6">
        <f t="shared" si="14"/>
        <v>0</v>
      </c>
      <c r="AG46" s="6">
        <f t="shared" si="15"/>
        <v>0</v>
      </c>
      <c r="AH46" s="6">
        <f t="shared" si="4"/>
        <v>0</v>
      </c>
      <c r="AI46" s="3"/>
      <c r="AJ46" s="3" t="e">
        <f>_xlfn.XLOOKUP(K46,工作表1!A:A,工作表1!C:C)</f>
        <v>#N/A</v>
      </c>
      <c r="AK46" s="3"/>
      <c r="AL46" s="6">
        <f t="shared" si="5"/>
        <v>0</v>
      </c>
      <c r="AM46" s="6">
        <f t="shared" si="6"/>
        <v>7</v>
      </c>
      <c r="AN46" s="6">
        <f t="shared" si="7"/>
        <v>0</v>
      </c>
      <c r="AO46" s="6">
        <f t="shared" si="8"/>
        <v>0</v>
      </c>
      <c r="AP46" s="6">
        <f t="shared" si="9"/>
        <v>0</v>
      </c>
      <c r="AQ46" s="6">
        <f t="shared" si="10"/>
        <v>7</v>
      </c>
      <c r="AR46" s="6"/>
      <c r="AS46" s="6"/>
      <c r="AT46" s="6"/>
      <c r="AU46" s="6"/>
      <c r="AV46" s="6"/>
      <c r="AW46" s="6">
        <v>7</v>
      </c>
      <c r="AX46" s="6"/>
      <c r="AY46" s="6"/>
      <c r="AZ46" s="6"/>
      <c r="BA46" s="6"/>
      <c r="BB46" s="6"/>
      <c r="BC46" s="6"/>
      <c r="BD46" s="6"/>
      <c r="BE46" s="6"/>
      <c r="BF46" s="6"/>
      <c r="BG46" s="6"/>
      <c r="BH46" s="6"/>
      <c r="BI46" s="6"/>
      <c r="BJ46" s="6"/>
      <c r="BK46" s="6"/>
      <c r="BL46" s="6"/>
      <c r="BM46" s="6"/>
      <c r="BN46" s="6"/>
      <c r="BO46" s="6"/>
      <c r="BP46" s="3">
        <v>7</v>
      </c>
      <c r="BQ46" s="6">
        <f t="shared" si="1"/>
        <v>7</v>
      </c>
      <c r="BR46">
        <v>7</v>
      </c>
    </row>
    <row r="47" spans="1:70" x14ac:dyDescent="0.3">
      <c r="A47" s="3" t="s">
        <v>17</v>
      </c>
      <c r="B47" s="3">
        <v>301</v>
      </c>
      <c r="C47" s="3" t="s">
        <v>98</v>
      </c>
      <c r="D47" s="3">
        <v>1</v>
      </c>
      <c r="E47" s="3" t="s">
        <v>19</v>
      </c>
      <c r="F47" s="3" t="s">
        <v>19</v>
      </c>
      <c r="G47" s="3" t="s">
        <v>19</v>
      </c>
      <c r="H47" s="3" t="s">
        <v>101</v>
      </c>
      <c r="I47" s="3"/>
      <c r="J47" s="3" t="s">
        <v>91</v>
      </c>
      <c r="K47" s="3" t="s">
        <v>102</v>
      </c>
      <c r="L47" s="3" t="s">
        <v>24</v>
      </c>
      <c r="M47" s="3">
        <v>48</v>
      </c>
      <c r="N47" s="6"/>
      <c r="O47" s="3">
        <v>22</v>
      </c>
      <c r="P47" s="3">
        <v>22</v>
      </c>
      <c r="Q47" s="3">
        <v>0</v>
      </c>
      <c r="R47" s="3">
        <v>13</v>
      </c>
      <c r="S47" s="3">
        <v>6</v>
      </c>
      <c r="T47" s="3">
        <v>3</v>
      </c>
      <c r="U47" s="3">
        <v>0</v>
      </c>
      <c r="V47" s="3">
        <f t="shared" si="2"/>
        <v>22</v>
      </c>
      <c r="W47" s="3">
        <v>0</v>
      </c>
      <c r="X47" s="3">
        <v>13</v>
      </c>
      <c r="Y47" s="3">
        <v>6</v>
      </c>
      <c r="Z47" s="3">
        <v>3</v>
      </c>
      <c r="AA47" s="3">
        <v>0</v>
      </c>
      <c r="AB47" s="3">
        <f t="shared" si="3"/>
        <v>22</v>
      </c>
      <c r="AC47" s="6">
        <f t="shared" si="11"/>
        <v>0</v>
      </c>
      <c r="AD47" s="6">
        <f t="shared" si="12"/>
        <v>0</v>
      </c>
      <c r="AE47" s="6">
        <f t="shared" si="13"/>
        <v>0</v>
      </c>
      <c r="AF47" s="6">
        <f t="shared" si="14"/>
        <v>0</v>
      </c>
      <c r="AG47" s="6">
        <f t="shared" si="15"/>
        <v>0</v>
      </c>
      <c r="AH47" s="6">
        <f t="shared" si="4"/>
        <v>0</v>
      </c>
      <c r="AI47" s="3"/>
      <c r="AJ47" s="3" t="e">
        <f>_xlfn.XLOOKUP(K47,工作表1!A:A,工作表1!C:C)</f>
        <v>#N/A</v>
      </c>
      <c r="AK47" s="3"/>
      <c r="AL47" s="6">
        <f t="shared" si="5"/>
        <v>0</v>
      </c>
      <c r="AM47" s="6">
        <f t="shared" si="6"/>
        <v>13</v>
      </c>
      <c r="AN47" s="6">
        <f t="shared" si="7"/>
        <v>6</v>
      </c>
      <c r="AO47" s="6">
        <f t="shared" si="8"/>
        <v>3</v>
      </c>
      <c r="AP47" s="6">
        <f t="shared" si="9"/>
        <v>0</v>
      </c>
      <c r="AQ47" s="6">
        <f t="shared" si="10"/>
        <v>22</v>
      </c>
      <c r="AR47" s="6"/>
      <c r="AS47" s="6"/>
      <c r="AT47" s="6"/>
      <c r="AU47" s="6"/>
      <c r="AV47" s="6"/>
      <c r="AW47" s="21">
        <v>13</v>
      </c>
      <c r="AX47" s="6"/>
      <c r="AY47" s="6"/>
      <c r="AZ47" s="6"/>
      <c r="BA47" s="21">
        <v>6</v>
      </c>
      <c r="BB47" s="6"/>
      <c r="BC47" s="6"/>
      <c r="BD47" s="6"/>
      <c r="BE47" s="6"/>
      <c r="BF47" s="21">
        <v>3</v>
      </c>
      <c r="BG47" s="6"/>
      <c r="BH47" s="6"/>
      <c r="BI47" s="6"/>
      <c r="BJ47" s="6"/>
      <c r="BK47" s="6"/>
      <c r="BL47" s="6"/>
      <c r="BM47" s="6"/>
      <c r="BN47" s="6"/>
      <c r="BO47" s="6"/>
      <c r="BP47" s="3">
        <v>22</v>
      </c>
      <c r="BQ47" s="6">
        <f t="shared" si="1"/>
        <v>22</v>
      </c>
      <c r="BR47">
        <v>22</v>
      </c>
    </row>
    <row r="48" spans="1:70" x14ac:dyDescent="0.3">
      <c r="A48" s="3" t="s">
        <v>17</v>
      </c>
      <c r="B48" s="3">
        <v>301</v>
      </c>
      <c r="C48" s="3" t="s">
        <v>98</v>
      </c>
      <c r="D48" s="3">
        <v>0.75</v>
      </c>
      <c r="E48" s="3" t="s">
        <v>19</v>
      </c>
      <c r="F48" s="3" t="s">
        <v>19</v>
      </c>
      <c r="G48" s="3" t="s">
        <v>19</v>
      </c>
      <c r="H48" s="3" t="s">
        <v>103</v>
      </c>
      <c r="I48" s="3"/>
      <c r="J48" s="3" t="s">
        <v>91</v>
      </c>
      <c r="K48" s="3" t="s">
        <v>104</v>
      </c>
      <c r="L48" s="3" t="s">
        <v>24</v>
      </c>
      <c r="M48" s="3">
        <v>4</v>
      </c>
      <c r="N48" s="6"/>
      <c r="O48" s="3">
        <v>3</v>
      </c>
      <c r="P48" s="3">
        <v>3</v>
      </c>
      <c r="Q48" s="3">
        <v>0</v>
      </c>
      <c r="R48" s="3">
        <v>1</v>
      </c>
      <c r="S48" s="3">
        <v>0</v>
      </c>
      <c r="T48" s="3">
        <v>2</v>
      </c>
      <c r="U48" s="3">
        <v>0</v>
      </c>
      <c r="V48" s="3">
        <f t="shared" si="2"/>
        <v>3</v>
      </c>
      <c r="W48" s="3">
        <v>0</v>
      </c>
      <c r="X48" s="3">
        <v>1</v>
      </c>
      <c r="Y48" s="3">
        <v>0</v>
      </c>
      <c r="Z48" s="3">
        <v>2</v>
      </c>
      <c r="AA48" s="3">
        <v>0</v>
      </c>
      <c r="AB48" s="3">
        <f t="shared" si="3"/>
        <v>3</v>
      </c>
      <c r="AC48" s="6">
        <f t="shared" si="11"/>
        <v>0</v>
      </c>
      <c r="AD48" s="6">
        <f t="shared" si="12"/>
        <v>0</v>
      </c>
      <c r="AE48" s="6">
        <f t="shared" si="13"/>
        <v>0</v>
      </c>
      <c r="AF48" s="6">
        <f t="shared" si="14"/>
        <v>-1</v>
      </c>
      <c r="AG48" s="6">
        <f t="shared" si="15"/>
        <v>0</v>
      </c>
      <c r="AH48" s="6">
        <f t="shared" si="4"/>
        <v>-1</v>
      </c>
      <c r="AI48" s="3"/>
      <c r="AJ48" s="3" t="e">
        <f>_xlfn.XLOOKUP(K48,工作表1!A:A,工作表1!C:C)</f>
        <v>#N/A</v>
      </c>
      <c r="AK48" s="3"/>
      <c r="AL48" s="6">
        <f t="shared" si="5"/>
        <v>0</v>
      </c>
      <c r="AM48" s="6">
        <f t="shared" si="6"/>
        <v>1</v>
      </c>
      <c r="AN48" s="6">
        <f t="shared" si="7"/>
        <v>0</v>
      </c>
      <c r="AO48" s="6">
        <f t="shared" si="8"/>
        <v>1</v>
      </c>
      <c r="AP48" s="6">
        <f t="shared" si="9"/>
        <v>0</v>
      </c>
      <c r="AQ48" s="6">
        <f t="shared" si="10"/>
        <v>2</v>
      </c>
      <c r="AR48" s="6"/>
      <c r="AS48" s="6"/>
      <c r="AT48" s="6"/>
      <c r="AU48" s="6"/>
      <c r="AV48" s="6"/>
      <c r="AW48" s="6">
        <v>1</v>
      </c>
      <c r="AX48" s="6"/>
      <c r="AY48" s="6"/>
      <c r="AZ48" s="6"/>
      <c r="BA48" s="6"/>
      <c r="BB48" s="6"/>
      <c r="BC48" s="6"/>
      <c r="BD48" s="6"/>
      <c r="BE48" s="6"/>
      <c r="BF48" s="6">
        <v>1</v>
      </c>
      <c r="BG48" s="6"/>
      <c r="BH48" s="6"/>
      <c r="BI48" s="6"/>
      <c r="BJ48" s="6"/>
      <c r="BK48" s="6"/>
      <c r="BL48" s="6"/>
      <c r="BM48" s="6"/>
      <c r="BN48" s="6"/>
      <c r="BO48" s="6"/>
      <c r="BP48" s="3">
        <v>3</v>
      </c>
      <c r="BQ48" s="6">
        <f t="shared" si="1"/>
        <v>2</v>
      </c>
      <c r="BR48" s="8">
        <v>2</v>
      </c>
    </row>
    <row r="49" spans="1:74" x14ac:dyDescent="0.3">
      <c r="A49" s="3" t="s">
        <v>17</v>
      </c>
      <c r="B49" s="3">
        <v>301</v>
      </c>
      <c r="C49" s="3" t="s">
        <v>98</v>
      </c>
      <c r="D49" s="3">
        <v>0.5</v>
      </c>
      <c r="E49" s="3" t="s">
        <v>19</v>
      </c>
      <c r="F49" s="3" t="s">
        <v>19</v>
      </c>
      <c r="G49" s="3" t="s">
        <v>19</v>
      </c>
      <c r="H49" s="3" t="s">
        <v>105</v>
      </c>
      <c r="I49" s="3"/>
      <c r="J49" s="3" t="s">
        <v>91</v>
      </c>
      <c r="K49" s="3" t="s">
        <v>106</v>
      </c>
      <c r="L49" s="3" t="s">
        <v>24</v>
      </c>
      <c r="M49" s="3">
        <v>20</v>
      </c>
      <c r="N49" s="6"/>
      <c r="O49" s="3">
        <v>3</v>
      </c>
      <c r="P49" s="3">
        <v>3</v>
      </c>
      <c r="Q49" s="3">
        <v>0</v>
      </c>
      <c r="R49" s="3">
        <v>0</v>
      </c>
      <c r="S49" s="3">
        <v>0</v>
      </c>
      <c r="T49" s="3">
        <v>3</v>
      </c>
      <c r="U49" s="3">
        <v>0</v>
      </c>
      <c r="V49" s="3">
        <f t="shared" si="2"/>
        <v>3</v>
      </c>
      <c r="W49" s="3">
        <v>0</v>
      </c>
      <c r="X49" s="3">
        <v>0</v>
      </c>
      <c r="Y49" s="3">
        <v>0</v>
      </c>
      <c r="Z49" s="3">
        <v>3</v>
      </c>
      <c r="AA49" s="3">
        <v>0</v>
      </c>
      <c r="AB49" s="3">
        <f t="shared" si="3"/>
        <v>3</v>
      </c>
      <c r="AC49" s="6">
        <f t="shared" si="11"/>
        <v>0</v>
      </c>
      <c r="AD49" s="6">
        <f t="shared" si="12"/>
        <v>0</v>
      </c>
      <c r="AE49" s="6">
        <f t="shared" si="13"/>
        <v>0</v>
      </c>
      <c r="AF49" s="6">
        <f t="shared" si="14"/>
        <v>0</v>
      </c>
      <c r="AG49" s="6">
        <f t="shared" si="15"/>
        <v>0</v>
      </c>
      <c r="AH49" s="6">
        <f t="shared" si="4"/>
        <v>0</v>
      </c>
      <c r="AI49" s="3"/>
      <c r="AJ49" s="3" t="e">
        <f>_xlfn.XLOOKUP(K49,工作表1!A:A,工作表1!C:C)</f>
        <v>#N/A</v>
      </c>
      <c r="AK49" s="3"/>
      <c r="AL49" s="6">
        <f t="shared" si="5"/>
        <v>0</v>
      </c>
      <c r="AM49" s="6">
        <f t="shared" si="6"/>
        <v>0</v>
      </c>
      <c r="AN49" s="6">
        <f t="shared" si="7"/>
        <v>0</v>
      </c>
      <c r="AO49" s="6">
        <f t="shared" si="8"/>
        <v>3</v>
      </c>
      <c r="AP49" s="6">
        <f t="shared" si="9"/>
        <v>0</v>
      </c>
      <c r="AQ49" s="6">
        <f t="shared" si="10"/>
        <v>3</v>
      </c>
      <c r="AR49" s="6"/>
      <c r="AS49" s="6"/>
      <c r="AT49" s="6"/>
      <c r="AU49" s="6"/>
      <c r="AV49" s="6"/>
      <c r="AW49" s="21"/>
      <c r="AX49" s="6"/>
      <c r="AY49" s="6"/>
      <c r="AZ49" s="6"/>
      <c r="BA49" s="6"/>
      <c r="BB49" s="6"/>
      <c r="BC49" s="6"/>
      <c r="BD49" s="6"/>
      <c r="BE49" s="6"/>
      <c r="BF49" s="21">
        <v>3</v>
      </c>
      <c r="BG49" s="6"/>
      <c r="BH49" s="6"/>
      <c r="BI49" s="6"/>
      <c r="BJ49" s="6"/>
      <c r="BK49" s="6"/>
      <c r="BL49" s="6"/>
      <c r="BM49" s="6"/>
      <c r="BN49" s="6"/>
      <c r="BO49" s="6"/>
      <c r="BP49" s="3">
        <v>3</v>
      </c>
      <c r="BQ49" s="6">
        <f t="shared" si="1"/>
        <v>3</v>
      </c>
      <c r="BR49">
        <v>3</v>
      </c>
    </row>
    <row r="50" spans="1:74" x14ac:dyDescent="0.3">
      <c r="A50" s="3" t="s">
        <v>17</v>
      </c>
      <c r="B50" s="3">
        <v>301</v>
      </c>
      <c r="C50" s="3" t="s">
        <v>107</v>
      </c>
      <c r="D50" s="3">
        <v>1.5</v>
      </c>
      <c r="E50" s="3" t="s">
        <v>19</v>
      </c>
      <c r="F50" s="3" t="s">
        <v>19</v>
      </c>
      <c r="G50" s="3" t="s">
        <v>19</v>
      </c>
      <c r="H50" s="3" t="s">
        <v>99</v>
      </c>
      <c r="I50" s="3"/>
      <c r="J50" s="3" t="s">
        <v>91</v>
      </c>
      <c r="K50" s="3" t="s">
        <v>108</v>
      </c>
      <c r="L50" s="3" t="s">
        <v>24</v>
      </c>
      <c r="M50" s="3">
        <v>1</v>
      </c>
      <c r="N50" s="6"/>
      <c r="O50" s="3">
        <v>1</v>
      </c>
      <c r="P50" s="3">
        <v>1</v>
      </c>
      <c r="Q50" s="3">
        <v>0</v>
      </c>
      <c r="R50" s="3">
        <v>0</v>
      </c>
      <c r="S50" s="3">
        <v>1</v>
      </c>
      <c r="T50" s="3">
        <v>0</v>
      </c>
      <c r="U50" s="3">
        <v>0</v>
      </c>
      <c r="V50" s="3">
        <f t="shared" si="2"/>
        <v>1</v>
      </c>
      <c r="W50" s="3">
        <v>0</v>
      </c>
      <c r="X50" s="3">
        <v>0</v>
      </c>
      <c r="Y50" s="3">
        <v>1</v>
      </c>
      <c r="Z50" s="3">
        <v>0</v>
      </c>
      <c r="AA50" s="3">
        <v>0</v>
      </c>
      <c r="AB50" s="3">
        <f t="shared" si="3"/>
        <v>1</v>
      </c>
      <c r="AC50" s="6">
        <f t="shared" si="11"/>
        <v>0</v>
      </c>
      <c r="AD50" s="6">
        <f t="shared" si="12"/>
        <v>0</v>
      </c>
      <c r="AE50" s="6">
        <f t="shared" si="13"/>
        <v>0</v>
      </c>
      <c r="AF50" s="6">
        <f t="shared" si="14"/>
        <v>0</v>
      </c>
      <c r="AG50" s="6">
        <f t="shared" si="15"/>
        <v>0</v>
      </c>
      <c r="AH50" s="6">
        <f t="shared" si="4"/>
        <v>0</v>
      </c>
      <c r="AI50" s="3"/>
      <c r="AJ50" s="3" t="e">
        <f>_xlfn.XLOOKUP(K50,工作表1!A:A,工作表1!C:C)</f>
        <v>#N/A</v>
      </c>
      <c r="AK50" s="3"/>
      <c r="AL50" s="6">
        <f t="shared" si="5"/>
        <v>0</v>
      </c>
      <c r="AM50" s="6">
        <f t="shared" si="6"/>
        <v>0</v>
      </c>
      <c r="AN50" s="6">
        <f t="shared" si="7"/>
        <v>1</v>
      </c>
      <c r="AO50" s="6">
        <f t="shared" si="8"/>
        <v>0</v>
      </c>
      <c r="AP50" s="6">
        <f t="shared" si="9"/>
        <v>0</v>
      </c>
      <c r="AQ50" s="6">
        <f t="shared" si="10"/>
        <v>1</v>
      </c>
      <c r="AR50" s="6"/>
      <c r="AS50" s="6"/>
      <c r="AT50" s="6"/>
      <c r="AU50" s="6"/>
      <c r="AV50" s="6"/>
      <c r="AW50" s="21"/>
      <c r="AX50" s="6"/>
      <c r="AY50" s="6"/>
      <c r="AZ50" s="6"/>
      <c r="BA50" s="21">
        <v>1</v>
      </c>
      <c r="BB50" s="6"/>
      <c r="BC50" s="6"/>
      <c r="BD50" s="6"/>
      <c r="BE50" s="6"/>
      <c r="BF50" s="6"/>
      <c r="BG50" s="6"/>
      <c r="BH50" s="6"/>
      <c r="BI50" s="6"/>
      <c r="BJ50" s="6"/>
      <c r="BK50" s="6"/>
      <c r="BL50" s="6"/>
      <c r="BM50" s="6"/>
      <c r="BN50" s="6"/>
      <c r="BO50" s="6"/>
      <c r="BP50" s="3">
        <v>1</v>
      </c>
      <c r="BQ50" s="6">
        <f t="shared" si="1"/>
        <v>1</v>
      </c>
      <c r="BR50">
        <v>1</v>
      </c>
    </row>
    <row r="51" spans="1:74" x14ac:dyDescent="0.3">
      <c r="A51" s="3" t="s">
        <v>17</v>
      </c>
      <c r="B51" s="3">
        <v>301</v>
      </c>
      <c r="C51" s="3" t="s">
        <v>109</v>
      </c>
      <c r="D51" s="3">
        <v>8</v>
      </c>
      <c r="E51" s="3" t="s">
        <v>19</v>
      </c>
      <c r="F51" s="3" t="s">
        <v>25</v>
      </c>
      <c r="G51" s="3" t="s">
        <v>19</v>
      </c>
      <c r="H51" s="3" t="s">
        <v>26</v>
      </c>
      <c r="I51" s="3">
        <v>12.7</v>
      </c>
      <c r="J51" s="3" t="s">
        <v>91</v>
      </c>
      <c r="K51" s="3" t="s">
        <v>110</v>
      </c>
      <c r="L51" s="3" t="s">
        <v>24</v>
      </c>
      <c r="M51" s="3">
        <v>6</v>
      </c>
      <c r="N51" s="6"/>
      <c r="O51" s="3">
        <v>4</v>
      </c>
      <c r="P51" s="3">
        <v>4</v>
      </c>
      <c r="Q51" s="3">
        <v>0</v>
      </c>
      <c r="R51" s="3">
        <v>0</v>
      </c>
      <c r="S51" s="3">
        <v>0</v>
      </c>
      <c r="T51" s="3">
        <v>4</v>
      </c>
      <c r="U51" s="3">
        <v>0</v>
      </c>
      <c r="V51" s="3">
        <f t="shared" si="2"/>
        <v>4</v>
      </c>
      <c r="W51" s="3">
        <v>0</v>
      </c>
      <c r="X51" s="3">
        <v>0</v>
      </c>
      <c r="Y51" s="3">
        <v>0</v>
      </c>
      <c r="Z51" s="3">
        <v>4</v>
      </c>
      <c r="AA51" s="3">
        <v>0</v>
      </c>
      <c r="AB51" s="3">
        <f t="shared" si="3"/>
        <v>4</v>
      </c>
      <c r="AC51" s="6">
        <f t="shared" si="11"/>
        <v>0</v>
      </c>
      <c r="AD51" s="6">
        <f t="shared" si="12"/>
        <v>0</v>
      </c>
      <c r="AE51" s="6">
        <f t="shared" si="13"/>
        <v>0</v>
      </c>
      <c r="AF51" s="6">
        <f t="shared" si="14"/>
        <v>-3</v>
      </c>
      <c r="AG51" s="6">
        <f t="shared" si="15"/>
        <v>0</v>
      </c>
      <c r="AH51" s="6">
        <f t="shared" si="4"/>
        <v>-3</v>
      </c>
      <c r="AI51" s="3"/>
      <c r="AJ51" s="3" t="e">
        <f>_xlfn.XLOOKUP(K51,工作表1!A:A,工作表1!C:C)</f>
        <v>#N/A</v>
      </c>
      <c r="AK51" s="3"/>
      <c r="AL51" s="6">
        <f t="shared" si="5"/>
        <v>0</v>
      </c>
      <c r="AM51" s="6">
        <f t="shared" si="6"/>
        <v>0</v>
      </c>
      <c r="AN51" s="6">
        <f t="shared" si="7"/>
        <v>0</v>
      </c>
      <c r="AO51" s="6">
        <f t="shared" si="8"/>
        <v>1</v>
      </c>
      <c r="AP51" s="6">
        <f t="shared" si="9"/>
        <v>0</v>
      </c>
      <c r="AQ51" s="6">
        <f t="shared" si="10"/>
        <v>1</v>
      </c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  <c r="BC51" s="6"/>
      <c r="BD51" s="6"/>
      <c r="BE51" s="6"/>
      <c r="BF51" s="6"/>
      <c r="BG51" s="6"/>
      <c r="BH51" s="6">
        <v>1</v>
      </c>
      <c r="BI51" s="6"/>
      <c r="BJ51" s="6"/>
      <c r="BK51" s="6"/>
      <c r="BL51" s="6"/>
      <c r="BM51" s="6"/>
      <c r="BN51" s="6"/>
      <c r="BO51" s="6"/>
      <c r="BP51" s="3">
        <v>4</v>
      </c>
      <c r="BQ51" s="6">
        <f t="shared" si="1"/>
        <v>1</v>
      </c>
      <c r="BV51">
        <v>1</v>
      </c>
    </row>
    <row r="52" spans="1:74" x14ac:dyDescent="0.3">
      <c r="A52" s="3" t="s">
        <v>17</v>
      </c>
      <c r="B52" s="3">
        <v>301</v>
      </c>
      <c r="C52" s="3" t="s">
        <v>109</v>
      </c>
      <c r="D52" s="3">
        <v>6</v>
      </c>
      <c r="E52" s="3" t="s">
        <v>19</v>
      </c>
      <c r="F52" s="3" t="s">
        <v>20</v>
      </c>
      <c r="G52" s="3" t="s">
        <v>19</v>
      </c>
      <c r="H52" s="3" t="s">
        <v>28</v>
      </c>
      <c r="I52" s="3">
        <v>7.11</v>
      </c>
      <c r="J52" s="3" t="s">
        <v>91</v>
      </c>
      <c r="K52" s="3" t="s">
        <v>111</v>
      </c>
      <c r="L52" s="3" t="s">
        <v>24</v>
      </c>
      <c r="M52" s="3">
        <v>12</v>
      </c>
      <c r="N52" s="6"/>
      <c r="O52" s="3">
        <v>4</v>
      </c>
      <c r="P52" s="3">
        <v>4</v>
      </c>
      <c r="Q52" s="3">
        <v>0</v>
      </c>
      <c r="R52" s="3">
        <v>0</v>
      </c>
      <c r="S52" s="3">
        <v>2</v>
      </c>
      <c r="T52" s="3">
        <v>2</v>
      </c>
      <c r="U52" s="3">
        <v>0</v>
      </c>
      <c r="V52" s="3">
        <f t="shared" si="2"/>
        <v>4</v>
      </c>
      <c r="W52" s="3">
        <v>0</v>
      </c>
      <c r="X52" s="3">
        <v>0</v>
      </c>
      <c r="Y52" s="3">
        <v>2</v>
      </c>
      <c r="Z52" s="3">
        <v>2</v>
      </c>
      <c r="AA52" s="3">
        <v>0</v>
      </c>
      <c r="AB52" s="3">
        <f t="shared" si="3"/>
        <v>4</v>
      </c>
      <c r="AC52" s="6">
        <f t="shared" si="11"/>
        <v>0</v>
      </c>
      <c r="AD52" s="6">
        <f t="shared" si="12"/>
        <v>0</v>
      </c>
      <c r="AE52" s="6">
        <f t="shared" si="13"/>
        <v>0</v>
      </c>
      <c r="AF52" s="6">
        <f t="shared" si="14"/>
        <v>0</v>
      </c>
      <c r="AG52" s="6">
        <f t="shared" si="15"/>
        <v>0</v>
      </c>
      <c r="AH52" s="6">
        <f t="shared" si="4"/>
        <v>0</v>
      </c>
      <c r="AI52" s="3"/>
      <c r="AJ52" s="3" t="e">
        <f>_xlfn.XLOOKUP(K52,工作表1!A:A,工作表1!C:C)</f>
        <v>#N/A</v>
      </c>
      <c r="AK52" s="3"/>
      <c r="AL52" s="6">
        <f t="shared" si="5"/>
        <v>0</v>
      </c>
      <c r="AM52" s="6">
        <f t="shared" si="6"/>
        <v>0</v>
      </c>
      <c r="AN52" s="6">
        <f t="shared" si="7"/>
        <v>2</v>
      </c>
      <c r="AO52" s="6">
        <f t="shared" si="8"/>
        <v>2</v>
      </c>
      <c r="AP52" s="6">
        <f t="shared" si="9"/>
        <v>0</v>
      </c>
      <c r="AQ52" s="6">
        <f t="shared" si="10"/>
        <v>4</v>
      </c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21">
        <v>2</v>
      </c>
      <c r="BC52" s="6"/>
      <c r="BD52" s="6"/>
      <c r="BE52" s="6"/>
      <c r="BF52" s="6"/>
      <c r="BG52" s="21">
        <v>1</v>
      </c>
      <c r="BH52" s="6">
        <v>1</v>
      </c>
      <c r="BI52" s="6"/>
      <c r="BJ52" s="6"/>
      <c r="BK52" s="6"/>
      <c r="BL52" s="6"/>
      <c r="BM52" s="6"/>
      <c r="BN52" s="6"/>
      <c r="BO52" s="6"/>
      <c r="BP52" s="3">
        <v>4</v>
      </c>
      <c r="BQ52" s="6">
        <f t="shared" si="1"/>
        <v>4</v>
      </c>
      <c r="BT52">
        <v>3</v>
      </c>
      <c r="BV52">
        <v>1</v>
      </c>
    </row>
    <row r="53" spans="1:74" x14ac:dyDescent="0.3">
      <c r="A53" s="3" t="s">
        <v>17</v>
      </c>
      <c r="B53" s="3">
        <v>301</v>
      </c>
      <c r="C53" s="3" t="s">
        <v>109</v>
      </c>
      <c r="D53" s="3">
        <v>4</v>
      </c>
      <c r="E53" s="3" t="s">
        <v>19</v>
      </c>
      <c r="F53" s="3" t="s">
        <v>20</v>
      </c>
      <c r="G53" s="3" t="s">
        <v>19</v>
      </c>
      <c r="H53" s="3" t="s">
        <v>30</v>
      </c>
      <c r="I53" s="3">
        <v>6.02</v>
      </c>
      <c r="J53" s="3" t="s">
        <v>91</v>
      </c>
      <c r="K53" s="3" t="s">
        <v>112</v>
      </c>
      <c r="L53" s="3" t="s">
        <v>24</v>
      </c>
      <c r="M53" s="3">
        <v>8</v>
      </c>
      <c r="N53" s="6"/>
      <c r="O53" s="3">
        <v>5</v>
      </c>
      <c r="P53" s="3">
        <v>5</v>
      </c>
      <c r="Q53" s="3">
        <v>0</v>
      </c>
      <c r="R53" s="3">
        <v>2</v>
      </c>
      <c r="S53" s="3">
        <v>3</v>
      </c>
      <c r="T53" s="3">
        <v>0</v>
      </c>
      <c r="U53" s="3">
        <v>0</v>
      </c>
      <c r="V53" s="3">
        <f t="shared" si="2"/>
        <v>5</v>
      </c>
      <c r="W53" s="3">
        <v>0</v>
      </c>
      <c r="X53" s="3">
        <v>2</v>
      </c>
      <c r="Y53" s="3">
        <v>3</v>
      </c>
      <c r="Z53" s="3">
        <v>0</v>
      </c>
      <c r="AA53" s="3">
        <v>0</v>
      </c>
      <c r="AB53" s="3">
        <f t="shared" si="3"/>
        <v>5</v>
      </c>
      <c r="AC53" s="6">
        <f t="shared" si="11"/>
        <v>0</v>
      </c>
      <c r="AD53" s="6">
        <f t="shared" si="12"/>
        <v>-2</v>
      </c>
      <c r="AE53" s="6">
        <f t="shared" si="13"/>
        <v>-3</v>
      </c>
      <c r="AF53" s="6">
        <f t="shared" si="14"/>
        <v>0</v>
      </c>
      <c r="AG53" s="6">
        <f t="shared" si="15"/>
        <v>0</v>
      </c>
      <c r="AH53" s="6">
        <f t="shared" si="4"/>
        <v>-5</v>
      </c>
      <c r="AI53" s="3"/>
      <c r="AJ53" s="3" t="e">
        <f>_xlfn.XLOOKUP(K53,工作表1!A:A,工作表1!C:C)</f>
        <v>#N/A</v>
      </c>
      <c r="AK53" s="3"/>
      <c r="AL53" s="6">
        <f t="shared" si="5"/>
        <v>0</v>
      </c>
      <c r="AM53" s="6">
        <f t="shared" si="6"/>
        <v>0</v>
      </c>
      <c r="AN53" s="6">
        <f t="shared" si="7"/>
        <v>0</v>
      </c>
      <c r="AO53" s="6">
        <f t="shared" si="8"/>
        <v>0</v>
      </c>
      <c r="AP53" s="6">
        <f t="shared" si="9"/>
        <v>0</v>
      </c>
      <c r="AQ53" s="6">
        <f t="shared" si="10"/>
        <v>0</v>
      </c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  <c r="BC53" s="6"/>
      <c r="BD53" s="6"/>
      <c r="BE53" s="6"/>
      <c r="BF53" s="6"/>
      <c r="BG53" s="6"/>
      <c r="BH53" s="6"/>
      <c r="BI53" s="6"/>
      <c r="BJ53" s="6"/>
      <c r="BK53" s="6"/>
      <c r="BL53" s="6"/>
      <c r="BM53" s="6"/>
      <c r="BN53" s="6"/>
      <c r="BO53" s="6"/>
      <c r="BP53" s="3">
        <v>5</v>
      </c>
      <c r="BQ53" s="6">
        <f t="shared" si="1"/>
        <v>0</v>
      </c>
    </row>
    <row r="54" spans="1:74" x14ac:dyDescent="0.3">
      <c r="A54" s="3" t="s">
        <v>17</v>
      </c>
      <c r="B54" s="3">
        <v>301</v>
      </c>
      <c r="C54" s="3" t="s">
        <v>109</v>
      </c>
      <c r="D54" s="3">
        <v>3</v>
      </c>
      <c r="E54" s="3" t="s">
        <v>19</v>
      </c>
      <c r="F54" s="3" t="s">
        <v>20</v>
      </c>
      <c r="G54" s="3" t="s">
        <v>19</v>
      </c>
      <c r="H54" s="3" t="s">
        <v>32</v>
      </c>
      <c r="I54" s="3">
        <v>5.49</v>
      </c>
      <c r="J54" s="3" t="s">
        <v>91</v>
      </c>
      <c r="K54" s="3" t="s">
        <v>113</v>
      </c>
      <c r="L54" s="3" t="s">
        <v>24</v>
      </c>
      <c r="M54" s="3">
        <v>11</v>
      </c>
      <c r="N54" s="6"/>
      <c r="O54" s="3">
        <v>4</v>
      </c>
      <c r="P54" s="3">
        <v>4</v>
      </c>
      <c r="Q54" s="3">
        <v>0</v>
      </c>
      <c r="R54" s="3">
        <v>0</v>
      </c>
      <c r="S54" s="3">
        <v>0</v>
      </c>
      <c r="T54" s="3">
        <v>4</v>
      </c>
      <c r="U54" s="3">
        <v>0</v>
      </c>
      <c r="V54" s="3">
        <f t="shared" si="2"/>
        <v>4</v>
      </c>
      <c r="W54" s="3">
        <v>0</v>
      </c>
      <c r="X54" s="3">
        <v>0</v>
      </c>
      <c r="Y54" s="3">
        <v>0</v>
      </c>
      <c r="Z54" s="3">
        <v>4</v>
      </c>
      <c r="AA54" s="3">
        <v>0</v>
      </c>
      <c r="AB54" s="3">
        <f t="shared" si="3"/>
        <v>4</v>
      </c>
      <c r="AC54" s="6">
        <f t="shared" si="11"/>
        <v>0</v>
      </c>
      <c r="AD54" s="6">
        <f t="shared" si="12"/>
        <v>0</v>
      </c>
      <c r="AE54" s="6">
        <f t="shared" si="13"/>
        <v>0</v>
      </c>
      <c r="AF54" s="6">
        <f t="shared" si="14"/>
        <v>0</v>
      </c>
      <c r="AG54" s="6">
        <f t="shared" si="15"/>
        <v>0</v>
      </c>
      <c r="AH54" s="6">
        <f t="shared" si="4"/>
        <v>0</v>
      </c>
      <c r="AI54" s="3"/>
      <c r="AJ54" s="3" t="e">
        <f>_xlfn.XLOOKUP(K54,工作表1!A:A,工作表1!C:C)</f>
        <v>#N/A</v>
      </c>
      <c r="AK54" s="3"/>
      <c r="AL54" s="6">
        <f t="shared" si="5"/>
        <v>0</v>
      </c>
      <c r="AM54" s="6">
        <f t="shared" si="6"/>
        <v>0</v>
      </c>
      <c r="AN54" s="6">
        <f t="shared" si="7"/>
        <v>0</v>
      </c>
      <c r="AO54" s="6">
        <f t="shared" si="8"/>
        <v>4</v>
      </c>
      <c r="AP54" s="6">
        <f t="shared" si="9"/>
        <v>0</v>
      </c>
      <c r="AQ54" s="6">
        <f t="shared" si="10"/>
        <v>4</v>
      </c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  <c r="BC54" s="6"/>
      <c r="BD54" s="6"/>
      <c r="BE54" s="6"/>
      <c r="BF54" s="6"/>
      <c r="BG54" s="21">
        <v>4</v>
      </c>
      <c r="BH54" s="6"/>
      <c r="BI54" s="6"/>
      <c r="BJ54" s="6"/>
      <c r="BK54" s="6"/>
      <c r="BL54" s="6"/>
      <c r="BM54" s="6"/>
      <c r="BN54" s="6"/>
      <c r="BO54" s="6"/>
      <c r="BP54" s="3">
        <v>4</v>
      </c>
      <c r="BQ54" s="6">
        <f t="shared" si="1"/>
        <v>4</v>
      </c>
      <c r="BT54">
        <v>4</v>
      </c>
    </row>
    <row r="55" spans="1:74" x14ac:dyDescent="0.3">
      <c r="A55" s="3" t="s">
        <v>17</v>
      </c>
      <c r="B55" s="3">
        <v>301</v>
      </c>
      <c r="C55" s="3" t="s">
        <v>109</v>
      </c>
      <c r="D55" s="3">
        <v>2</v>
      </c>
      <c r="E55" s="3" t="s">
        <v>19</v>
      </c>
      <c r="F55" s="3" t="s">
        <v>25</v>
      </c>
      <c r="G55" s="3" t="s">
        <v>19</v>
      </c>
      <c r="H55" s="3" t="s">
        <v>34</v>
      </c>
      <c r="I55" s="3">
        <v>5.54</v>
      </c>
      <c r="J55" s="3" t="s">
        <v>91</v>
      </c>
      <c r="K55" s="7" t="s">
        <v>1463</v>
      </c>
      <c r="L55" s="3" t="s">
        <v>24</v>
      </c>
      <c r="M55" s="3">
        <v>17</v>
      </c>
      <c r="N55" s="6"/>
      <c r="O55" s="3">
        <v>7</v>
      </c>
      <c r="P55" s="3">
        <v>7</v>
      </c>
      <c r="Q55" s="3">
        <v>17</v>
      </c>
      <c r="R55" s="3">
        <v>5</v>
      </c>
      <c r="S55" s="3">
        <v>2</v>
      </c>
      <c r="T55" s="3"/>
      <c r="U55" s="3"/>
      <c r="V55" s="3">
        <f t="shared" si="2"/>
        <v>24</v>
      </c>
      <c r="W55" s="3">
        <v>17</v>
      </c>
      <c r="X55" s="3">
        <v>5</v>
      </c>
      <c r="Y55" s="3">
        <v>2</v>
      </c>
      <c r="Z55" s="3">
        <v>0</v>
      </c>
      <c r="AA55" s="3">
        <v>0</v>
      </c>
      <c r="AB55" s="3">
        <f t="shared" si="3"/>
        <v>24</v>
      </c>
      <c r="AC55" s="6">
        <f t="shared" si="11"/>
        <v>-15</v>
      </c>
      <c r="AD55" s="6">
        <f t="shared" si="12"/>
        <v>0</v>
      </c>
      <c r="AE55" s="6">
        <f t="shared" si="13"/>
        <v>-2</v>
      </c>
      <c r="AF55" s="6">
        <f t="shared" si="14"/>
        <v>0</v>
      </c>
      <c r="AG55" s="6">
        <f t="shared" si="15"/>
        <v>0</v>
      </c>
      <c r="AH55" s="6">
        <f t="shared" si="4"/>
        <v>-17</v>
      </c>
      <c r="AI55" s="3"/>
      <c r="AJ55" s="3" t="e">
        <f>_xlfn.XLOOKUP(K55,工作表1!A:A,工作表1!C:C)</f>
        <v>#N/A</v>
      </c>
      <c r="AK55" s="3"/>
      <c r="AL55" s="6">
        <f t="shared" si="5"/>
        <v>2</v>
      </c>
      <c r="AM55" s="6">
        <f t="shared" si="6"/>
        <v>5</v>
      </c>
      <c r="AN55" s="6">
        <f t="shared" si="7"/>
        <v>0</v>
      </c>
      <c r="AO55" s="6">
        <f t="shared" si="8"/>
        <v>0</v>
      </c>
      <c r="AP55" s="6">
        <f t="shared" si="9"/>
        <v>0</v>
      </c>
      <c r="AQ55" s="6">
        <f t="shared" si="10"/>
        <v>7</v>
      </c>
      <c r="AR55" s="6">
        <v>2</v>
      </c>
      <c r="AS55" s="6"/>
      <c r="AT55" s="6"/>
      <c r="AU55" s="6"/>
      <c r="AV55" s="6"/>
      <c r="AW55" s="6">
        <v>5</v>
      </c>
      <c r="AX55" s="6"/>
      <c r="AY55" s="6"/>
      <c r="AZ55" s="6"/>
      <c r="BA55" s="6"/>
      <c r="BB55" s="6"/>
      <c r="BC55" s="6"/>
      <c r="BD55" s="6"/>
      <c r="BE55" s="6"/>
      <c r="BF55" s="6"/>
      <c r="BG55" s="6"/>
      <c r="BH55" s="6"/>
      <c r="BI55" s="6"/>
      <c r="BJ55" s="6"/>
      <c r="BK55" s="6"/>
      <c r="BL55" s="6"/>
      <c r="BM55" s="6"/>
      <c r="BN55" s="6"/>
      <c r="BO55" s="6"/>
      <c r="BP55" s="3">
        <v>7</v>
      </c>
      <c r="BQ55" s="6">
        <f t="shared" si="1"/>
        <v>7</v>
      </c>
      <c r="BR55">
        <v>7</v>
      </c>
    </row>
    <row r="56" spans="1:74" x14ac:dyDescent="0.3">
      <c r="A56" s="3" t="s">
        <v>17</v>
      </c>
      <c r="B56" s="3">
        <v>301</v>
      </c>
      <c r="C56" s="3" t="s">
        <v>114</v>
      </c>
      <c r="D56" s="3">
        <v>6</v>
      </c>
      <c r="E56" s="3" t="s">
        <v>19</v>
      </c>
      <c r="F56" s="3" t="s">
        <v>41</v>
      </c>
      <c r="G56" s="3" t="s">
        <v>19</v>
      </c>
      <c r="H56" s="3" t="s">
        <v>42</v>
      </c>
      <c r="I56" s="3">
        <v>18.260000000000002</v>
      </c>
      <c r="J56" s="3" t="s">
        <v>91</v>
      </c>
      <c r="K56" s="3" t="s">
        <v>115</v>
      </c>
      <c r="L56" s="3" t="s">
        <v>24</v>
      </c>
      <c r="M56" s="3">
        <v>2</v>
      </c>
      <c r="N56" s="6"/>
      <c r="O56" s="3">
        <v>2</v>
      </c>
      <c r="P56" s="3">
        <v>2</v>
      </c>
      <c r="Q56" s="3">
        <v>0</v>
      </c>
      <c r="R56" s="3">
        <v>0</v>
      </c>
      <c r="S56" s="3">
        <v>0</v>
      </c>
      <c r="T56" s="3">
        <v>2</v>
      </c>
      <c r="U56" s="3">
        <v>0</v>
      </c>
      <c r="V56" s="3">
        <f t="shared" si="2"/>
        <v>2</v>
      </c>
      <c r="W56" s="3">
        <v>0</v>
      </c>
      <c r="X56" s="3">
        <v>0</v>
      </c>
      <c r="Y56" s="3">
        <v>0</v>
      </c>
      <c r="Z56" s="3">
        <v>2</v>
      </c>
      <c r="AA56" s="3">
        <v>0</v>
      </c>
      <c r="AB56" s="3">
        <f t="shared" si="3"/>
        <v>2</v>
      </c>
      <c r="AC56" s="6">
        <f t="shared" si="11"/>
        <v>0</v>
      </c>
      <c r="AD56" s="6">
        <f t="shared" si="12"/>
        <v>0</v>
      </c>
      <c r="AE56" s="6">
        <f t="shared" si="13"/>
        <v>0</v>
      </c>
      <c r="AF56" s="6">
        <f t="shared" si="14"/>
        <v>-2</v>
      </c>
      <c r="AG56" s="6">
        <f t="shared" si="15"/>
        <v>0</v>
      </c>
      <c r="AH56" s="6">
        <f t="shared" si="4"/>
        <v>-2</v>
      </c>
      <c r="AI56" s="3"/>
      <c r="AJ56" s="3">
        <f>_xlfn.XLOOKUP(K56,工作表1!A:A,工作表1!C:C)</f>
        <v>2</v>
      </c>
      <c r="AK56" s="3" t="s">
        <v>1483</v>
      </c>
      <c r="AL56" s="6">
        <f t="shared" si="5"/>
        <v>0</v>
      </c>
      <c r="AM56" s="6">
        <f t="shared" si="6"/>
        <v>0</v>
      </c>
      <c r="AN56" s="6">
        <f t="shared" si="7"/>
        <v>0</v>
      </c>
      <c r="AO56" s="6">
        <f t="shared" si="8"/>
        <v>0</v>
      </c>
      <c r="AP56" s="6">
        <f t="shared" si="9"/>
        <v>0</v>
      </c>
      <c r="AQ56" s="6">
        <f t="shared" si="10"/>
        <v>0</v>
      </c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  <c r="BC56" s="6"/>
      <c r="BD56" s="6"/>
      <c r="BE56" s="6"/>
      <c r="BF56" s="6"/>
      <c r="BG56" s="6"/>
      <c r="BH56" s="6"/>
      <c r="BI56" s="6"/>
      <c r="BJ56" s="6"/>
      <c r="BK56" s="6"/>
      <c r="BL56" s="6"/>
      <c r="BM56" s="6"/>
      <c r="BN56" s="6"/>
      <c r="BO56" s="6"/>
      <c r="BP56" s="3">
        <v>2</v>
      </c>
      <c r="BQ56" s="6">
        <f t="shared" si="1"/>
        <v>0</v>
      </c>
    </row>
    <row r="57" spans="1:74" x14ac:dyDescent="0.3">
      <c r="A57" s="3" t="s">
        <v>17</v>
      </c>
      <c r="B57" s="3">
        <v>301</v>
      </c>
      <c r="C57" s="3" t="s">
        <v>114</v>
      </c>
      <c r="D57" s="3">
        <v>6</v>
      </c>
      <c r="E57" s="3" t="s">
        <v>19</v>
      </c>
      <c r="F57" s="3" t="s">
        <v>20</v>
      </c>
      <c r="G57" s="3" t="s">
        <v>19</v>
      </c>
      <c r="H57" s="3" t="s">
        <v>28</v>
      </c>
      <c r="I57" s="3">
        <v>7.11</v>
      </c>
      <c r="J57" s="3" t="s">
        <v>91</v>
      </c>
      <c r="K57" s="3" t="s">
        <v>116</v>
      </c>
      <c r="L57" s="3" t="s">
        <v>24</v>
      </c>
      <c r="M57" s="3">
        <v>5</v>
      </c>
      <c r="N57" s="6"/>
      <c r="O57" s="3">
        <v>2</v>
      </c>
      <c r="P57" s="3">
        <v>2</v>
      </c>
      <c r="Q57" s="3">
        <v>0</v>
      </c>
      <c r="R57" s="3">
        <v>0</v>
      </c>
      <c r="S57" s="3">
        <v>2</v>
      </c>
      <c r="T57" s="3">
        <v>0</v>
      </c>
      <c r="U57" s="3">
        <v>0</v>
      </c>
      <c r="V57" s="3">
        <f t="shared" si="2"/>
        <v>2</v>
      </c>
      <c r="W57" s="3">
        <v>0</v>
      </c>
      <c r="X57" s="3">
        <v>0</v>
      </c>
      <c r="Y57" s="3">
        <v>2</v>
      </c>
      <c r="Z57" s="3">
        <v>0</v>
      </c>
      <c r="AA57" s="3">
        <v>0</v>
      </c>
      <c r="AB57" s="3">
        <f t="shared" si="3"/>
        <v>2</v>
      </c>
      <c r="AC57" s="6">
        <f t="shared" si="11"/>
        <v>0</v>
      </c>
      <c r="AD57" s="6">
        <f t="shared" si="12"/>
        <v>0</v>
      </c>
      <c r="AE57" s="6">
        <f t="shared" si="13"/>
        <v>-2</v>
      </c>
      <c r="AF57" s="6">
        <f t="shared" si="14"/>
        <v>0</v>
      </c>
      <c r="AG57" s="6">
        <f t="shared" si="15"/>
        <v>0</v>
      </c>
      <c r="AH57" s="6">
        <f t="shared" si="4"/>
        <v>-2</v>
      </c>
      <c r="AI57" s="3"/>
      <c r="AJ57" s="3" t="e">
        <f>_xlfn.XLOOKUP(K57,工作表1!A:A,工作表1!C:C)</f>
        <v>#N/A</v>
      </c>
      <c r="AK57" s="3"/>
      <c r="AL57" s="6">
        <f t="shared" si="5"/>
        <v>0</v>
      </c>
      <c r="AM57" s="6">
        <f t="shared" si="6"/>
        <v>0</v>
      </c>
      <c r="AN57" s="6">
        <f t="shared" si="7"/>
        <v>0</v>
      </c>
      <c r="AO57" s="6">
        <f t="shared" si="8"/>
        <v>0</v>
      </c>
      <c r="AP57" s="6">
        <f t="shared" si="9"/>
        <v>0</v>
      </c>
      <c r="AQ57" s="6">
        <f t="shared" si="10"/>
        <v>0</v>
      </c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  <c r="BC57" s="6"/>
      <c r="BD57" s="6"/>
      <c r="BE57" s="6"/>
      <c r="BF57" s="6"/>
      <c r="BG57" s="6"/>
      <c r="BH57" s="6"/>
      <c r="BI57" s="6"/>
      <c r="BJ57" s="6"/>
      <c r="BK57" s="6"/>
      <c r="BL57" s="6"/>
      <c r="BM57" s="6"/>
      <c r="BN57" s="6"/>
      <c r="BO57" s="6"/>
      <c r="BP57" s="3">
        <v>2</v>
      </c>
      <c r="BQ57" s="6">
        <f t="shared" si="1"/>
        <v>0</v>
      </c>
    </row>
    <row r="58" spans="1:74" x14ac:dyDescent="0.3">
      <c r="A58" s="3" t="s">
        <v>17</v>
      </c>
      <c r="B58" s="3">
        <v>301</v>
      </c>
      <c r="C58" s="3" t="s">
        <v>114</v>
      </c>
      <c r="D58" s="3">
        <v>4</v>
      </c>
      <c r="E58" s="3" t="s">
        <v>19</v>
      </c>
      <c r="F58" s="3" t="s">
        <v>45</v>
      </c>
      <c r="G58" s="3" t="s">
        <v>19</v>
      </c>
      <c r="H58" s="3" t="s">
        <v>46</v>
      </c>
      <c r="I58" s="3">
        <v>11.13</v>
      </c>
      <c r="J58" s="3" t="s">
        <v>91</v>
      </c>
      <c r="K58" s="3" t="s">
        <v>117</v>
      </c>
      <c r="L58" s="3" t="s">
        <v>24</v>
      </c>
      <c r="M58" s="3">
        <v>2</v>
      </c>
      <c r="N58" s="6"/>
      <c r="O58" s="3">
        <v>2</v>
      </c>
      <c r="P58" s="3">
        <v>2</v>
      </c>
      <c r="Q58" s="3">
        <v>0</v>
      </c>
      <c r="R58" s="3">
        <v>0</v>
      </c>
      <c r="S58" s="3">
        <v>2</v>
      </c>
      <c r="T58" s="3">
        <v>0</v>
      </c>
      <c r="U58" s="3">
        <v>0</v>
      </c>
      <c r="V58" s="3">
        <f t="shared" si="2"/>
        <v>2</v>
      </c>
      <c r="W58" s="3">
        <v>0</v>
      </c>
      <c r="X58" s="3">
        <v>0</v>
      </c>
      <c r="Y58" s="3">
        <v>2</v>
      </c>
      <c r="Z58" s="3">
        <v>0</v>
      </c>
      <c r="AA58" s="3">
        <v>0</v>
      </c>
      <c r="AB58" s="3">
        <f t="shared" si="3"/>
        <v>2</v>
      </c>
      <c r="AC58" s="6">
        <f t="shared" si="11"/>
        <v>0</v>
      </c>
      <c r="AD58" s="6">
        <f t="shared" si="12"/>
        <v>0</v>
      </c>
      <c r="AE58" s="6">
        <f t="shared" si="13"/>
        <v>-2</v>
      </c>
      <c r="AF58" s="6">
        <f t="shared" si="14"/>
        <v>0</v>
      </c>
      <c r="AG58" s="6">
        <f t="shared" si="15"/>
        <v>0</v>
      </c>
      <c r="AH58" s="6">
        <f t="shared" si="4"/>
        <v>-2</v>
      </c>
      <c r="AI58" s="3"/>
      <c r="AJ58" s="3" t="e">
        <f>_xlfn.XLOOKUP(K58,工作表1!A:A,工作表1!C:C)</f>
        <v>#N/A</v>
      </c>
      <c r="AK58" s="3"/>
      <c r="AL58" s="6">
        <f t="shared" si="5"/>
        <v>0</v>
      </c>
      <c r="AM58" s="6">
        <f t="shared" si="6"/>
        <v>0</v>
      </c>
      <c r="AN58" s="6">
        <f t="shared" si="7"/>
        <v>0</v>
      </c>
      <c r="AO58" s="6">
        <f t="shared" si="8"/>
        <v>0</v>
      </c>
      <c r="AP58" s="6">
        <f t="shared" si="9"/>
        <v>0</v>
      </c>
      <c r="AQ58" s="6">
        <f t="shared" si="10"/>
        <v>0</v>
      </c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  <c r="BC58" s="6"/>
      <c r="BD58" s="6"/>
      <c r="BE58" s="6"/>
      <c r="BF58" s="6"/>
      <c r="BG58" s="6"/>
      <c r="BH58" s="6"/>
      <c r="BI58" s="6"/>
      <c r="BJ58" s="6"/>
      <c r="BK58" s="6"/>
      <c r="BL58" s="6"/>
      <c r="BM58" s="6"/>
      <c r="BN58" s="6"/>
      <c r="BO58" s="6"/>
      <c r="BP58" s="3">
        <v>2</v>
      </c>
      <c r="BQ58" s="6">
        <f t="shared" si="1"/>
        <v>0</v>
      </c>
    </row>
    <row r="59" spans="1:74" x14ac:dyDescent="0.3">
      <c r="A59" s="3" t="s">
        <v>17</v>
      </c>
      <c r="B59" s="3">
        <v>301</v>
      </c>
      <c r="C59" s="3" t="s">
        <v>114</v>
      </c>
      <c r="D59" s="3">
        <v>4</v>
      </c>
      <c r="E59" s="3" t="s">
        <v>19</v>
      </c>
      <c r="F59" s="3" t="s">
        <v>20</v>
      </c>
      <c r="G59" s="3" t="s">
        <v>19</v>
      </c>
      <c r="H59" s="3" t="s">
        <v>30</v>
      </c>
      <c r="I59" s="3">
        <v>6.02</v>
      </c>
      <c r="J59" s="3" t="s">
        <v>91</v>
      </c>
      <c r="K59" s="3" t="s">
        <v>118</v>
      </c>
      <c r="L59" s="3" t="s">
        <v>24</v>
      </c>
      <c r="M59" s="3">
        <v>5</v>
      </c>
      <c r="N59" s="6"/>
      <c r="O59" s="3">
        <v>2</v>
      </c>
      <c r="P59" s="3">
        <v>2</v>
      </c>
      <c r="Q59" s="3">
        <v>0</v>
      </c>
      <c r="R59" s="3">
        <v>0</v>
      </c>
      <c r="S59" s="3">
        <v>2</v>
      </c>
      <c r="T59" s="3">
        <v>0</v>
      </c>
      <c r="U59" s="3">
        <v>0</v>
      </c>
      <c r="V59" s="3">
        <f t="shared" si="2"/>
        <v>2</v>
      </c>
      <c r="W59" s="3">
        <v>0</v>
      </c>
      <c r="X59" s="3">
        <v>0</v>
      </c>
      <c r="Y59" s="3">
        <v>2</v>
      </c>
      <c r="Z59" s="3">
        <v>0</v>
      </c>
      <c r="AA59" s="3">
        <v>0</v>
      </c>
      <c r="AB59" s="3">
        <f t="shared" si="3"/>
        <v>2</v>
      </c>
      <c r="AC59" s="6">
        <f t="shared" si="11"/>
        <v>0</v>
      </c>
      <c r="AD59" s="6">
        <f t="shared" si="12"/>
        <v>0</v>
      </c>
      <c r="AE59" s="6">
        <f t="shared" si="13"/>
        <v>0</v>
      </c>
      <c r="AF59" s="6">
        <f t="shared" si="14"/>
        <v>0</v>
      </c>
      <c r="AG59" s="6">
        <f t="shared" si="15"/>
        <v>0</v>
      </c>
      <c r="AH59" s="6">
        <f t="shared" si="4"/>
        <v>0</v>
      </c>
      <c r="AI59" s="3"/>
      <c r="AJ59" s="3" t="e">
        <f>_xlfn.XLOOKUP(K59,工作表1!A:A,工作表1!C:C)</f>
        <v>#N/A</v>
      </c>
      <c r="AK59" s="3"/>
      <c r="AL59" s="6">
        <f t="shared" si="5"/>
        <v>0</v>
      </c>
      <c r="AM59" s="6">
        <f t="shared" si="6"/>
        <v>0</v>
      </c>
      <c r="AN59" s="6">
        <f t="shared" si="7"/>
        <v>2</v>
      </c>
      <c r="AO59" s="6">
        <f t="shared" si="8"/>
        <v>0</v>
      </c>
      <c r="AP59" s="6">
        <f t="shared" si="9"/>
        <v>0</v>
      </c>
      <c r="AQ59" s="6">
        <f t="shared" si="10"/>
        <v>2</v>
      </c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21">
        <v>2</v>
      </c>
      <c r="BC59" s="6"/>
      <c r="BD59" s="6"/>
      <c r="BE59" s="6"/>
      <c r="BF59" s="6"/>
      <c r="BG59" s="6"/>
      <c r="BH59" s="6"/>
      <c r="BI59" s="6"/>
      <c r="BJ59" s="6"/>
      <c r="BK59" s="6"/>
      <c r="BL59" s="6"/>
      <c r="BM59" s="6"/>
      <c r="BN59" s="6"/>
      <c r="BO59" s="6"/>
      <c r="BP59" s="3">
        <v>2</v>
      </c>
      <c r="BQ59" s="6">
        <f t="shared" si="1"/>
        <v>2</v>
      </c>
      <c r="BT59">
        <v>2</v>
      </c>
    </row>
    <row r="60" spans="1:74" x14ac:dyDescent="0.3">
      <c r="A60" s="3" t="s">
        <v>17</v>
      </c>
      <c r="B60" s="3">
        <v>301</v>
      </c>
      <c r="C60" s="3" t="s">
        <v>114</v>
      </c>
      <c r="D60" s="3">
        <v>2</v>
      </c>
      <c r="E60" s="3" t="s">
        <v>19</v>
      </c>
      <c r="F60" s="3" t="s">
        <v>41</v>
      </c>
      <c r="G60" s="3" t="s">
        <v>19</v>
      </c>
      <c r="H60" s="3" t="s">
        <v>54</v>
      </c>
      <c r="I60" s="3">
        <v>8.74</v>
      </c>
      <c r="J60" s="3" t="s">
        <v>91</v>
      </c>
      <c r="K60" s="3" t="s">
        <v>119</v>
      </c>
      <c r="L60" s="3" t="s">
        <v>24</v>
      </c>
      <c r="M60" s="3">
        <v>3</v>
      </c>
      <c r="N60" s="6"/>
      <c r="O60" s="3">
        <v>3</v>
      </c>
      <c r="P60" s="3">
        <v>3</v>
      </c>
      <c r="Q60" s="3">
        <v>0</v>
      </c>
      <c r="R60" s="3">
        <v>0</v>
      </c>
      <c r="S60" s="3">
        <v>3</v>
      </c>
      <c r="T60" s="3">
        <v>0</v>
      </c>
      <c r="U60" s="3">
        <v>0</v>
      </c>
      <c r="V60" s="3">
        <f t="shared" si="2"/>
        <v>3</v>
      </c>
      <c r="W60" s="3">
        <v>0</v>
      </c>
      <c r="X60" s="3">
        <v>0</v>
      </c>
      <c r="Y60" s="3">
        <v>3</v>
      </c>
      <c r="Z60" s="3">
        <v>0</v>
      </c>
      <c r="AA60" s="3">
        <v>0</v>
      </c>
      <c r="AB60" s="3">
        <f t="shared" si="3"/>
        <v>3</v>
      </c>
      <c r="AC60" s="6">
        <f t="shared" si="11"/>
        <v>0</v>
      </c>
      <c r="AD60" s="6">
        <f t="shared" si="12"/>
        <v>0</v>
      </c>
      <c r="AE60" s="6">
        <f t="shared" si="13"/>
        <v>-2</v>
      </c>
      <c r="AF60" s="6">
        <f t="shared" si="14"/>
        <v>0</v>
      </c>
      <c r="AG60" s="6">
        <f t="shared" si="15"/>
        <v>0</v>
      </c>
      <c r="AH60" s="6">
        <f t="shared" si="4"/>
        <v>-2</v>
      </c>
      <c r="AI60" s="3"/>
      <c r="AJ60" s="3" t="e">
        <f>_xlfn.XLOOKUP(K60,工作表1!A:A,工作表1!C:C)</f>
        <v>#N/A</v>
      </c>
      <c r="AK60" s="3"/>
      <c r="AL60" s="6">
        <f t="shared" si="5"/>
        <v>0</v>
      </c>
      <c r="AM60" s="6">
        <f t="shared" si="6"/>
        <v>0</v>
      </c>
      <c r="AN60" s="6">
        <f t="shared" si="7"/>
        <v>1</v>
      </c>
      <c r="AO60" s="6">
        <f t="shared" si="8"/>
        <v>0</v>
      </c>
      <c r="AP60" s="6">
        <f t="shared" si="9"/>
        <v>0</v>
      </c>
      <c r="AQ60" s="6">
        <f t="shared" si="10"/>
        <v>1</v>
      </c>
      <c r="AR60" s="6"/>
      <c r="AS60" s="6"/>
      <c r="AT60" s="6"/>
      <c r="AU60" s="6"/>
      <c r="AV60" s="6"/>
      <c r="AW60" s="21"/>
      <c r="AX60" s="6"/>
      <c r="AY60" s="6"/>
      <c r="AZ60" s="6"/>
      <c r="BA60" s="21">
        <v>1</v>
      </c>
      <c r="BB60" s="6"/>
      <c r="BC60" s="6"/>
      <c r="BD60" s="6"/>
      <c r="BE60" s="6"/>
      <c r="BF60" s="6"/>
      <c r="BG60" s="6"/>
      <c r="BH60" s="6"/>
      <c r="BI60" s="6"/>
      <c r="BJ60" s="6"/>
      <c r="BK60" s="6"/>
      <c r="BL60" s="6"/>
      <c r="BM60" s="6"/>
      <c r="BN60" s="6"/>
      <c r="BO60" s="6"/>
      <c r="BP60" s="3">
        <v>3</v>
      </c>
      <c r="BQ60" s="6">
        <f t="shared" si="1"/>
        <v>1</v>
      </c>
      <c r="BR60">
        <v>1</v>
      </c>
    </row>
    <row r="61" spans="1:74" x14ac:dyDescent="0.3">
      <c r="A61" s="3" t="s">
        <v>17</v>
      </c>
      <c r="B61" s="3">
        <v>301</v>
      </c>
      <c r="C61" s="3" t="s">
        <v>114</v>
      </c>
      <c r="D61" s="3">
        <v>2</v>
      </c>
      <c r="E61" s="3" t="s">
        <v>19</v>
      </c>
      <c r="F61" s="3" t="s">
        <v>25</v>
      </c>
      <c r="G61" s="3" t="s">
        <v>19</v>
      </c>
      <c r="H61" s="3" t="s">
        <v>34</v>
      </c>
      <c r="I61" s="3">
        <v>5.54</v>
      </c>
      <c r="J61" s="3" t="s">
        <v>91</v>
      </c>
      <c r="K61" s="3" t="s">
        <v>120</v>
      </c>
      <c r="L61" s="3" t="s">
        <v>24</v>
      </c>
      <c r="M61" s="3">
        <v>5</v>
      </c>
      <c r="N61" s="6"/>
      <c r="O61" s="3">
        <v>2</v>
      </c>
      <c r="P61" s="3">
        <v>2</v>
      </c>
      <c r="Q61" s="3">
        <v>0</v>
      </c>
      <c r="R61" s="3">
        <v>0</v>
      </c>
      <c r="S61" s="3">
        <v>2</v>
      </c>
      <c r="T61" s="3">
        <v>0</v>
      </c>
      <c r="U61" s="3">
        <v>0</v>
      </c>
      <c r="V61" s="3">
        <f t="shared" si="2"/>
        <v>2</v>
      </c>
      <c r="W61" s="3">
        <v>0</v>
      </c>
      <c r="X61" s="3">
        <v>0</v>
      </c>
      <c r="Y61" s="3">
        <v>2</v>
      </c>
      <c r="Z61" s="3">
        <v>0</v>
      </c>
      <c r="AA61" s="3">
        <v>0</v>
      </c>
      <c r="AB61" s="3">
        <f t="shared" si="3"/>
        <v>2</v>
      </c>
      <c r="AC61" s="6">
        <f t="shared" si="11"/>
        <v>0</v>
      </c>
      <c r="AD61" s="6">
        <f t="shared" si="12"/>
        <v>0</v>
      </c>
      <c r="AE61" s="6">
        <f t="shared" si="13"/>
        <v>0</v>
      </c>
      <c r="AF61" s="6">
        <f t="shared" si="14"/>
        <v>0</v>
      </c>
      <c r="AG61" s="6">
        <f t="shared" si="15"/>
        <v>0</v>
      </c>
      <c r="AH61" s="6">
        <f t="shared" si="4"/>
        <v>0</v>
      </c>
      <c r="AI61" s="3"/>
      <c r="AJ61" s="3" t="e">
        <f>_xlfn.XLOOKUP(K61,工作表1!A:A,工作表1!C:C)</f>
        <v>#N/A</v>
      </c>
      <c r="AK61" s="3"/>
      <c r="AL61" s="6">
        <f t="shared" si="5"/>
        <v>0</v>
      </c>
      <c r="AM61" s="6">
        <f t="shared" si="6"/>
        <v>0</v>
      </c>
      <c r="AN61" s="6">
        <f t="shared" si="7"/>
        <v>2</v>
      </c>
      <c r="AO61" s="6">
        <f t="shared" si="8"/>
        <v>0</v>
      </c>
      <c r="AP61" s="6">
        <f t="shared" si="9"/>
        <v>0</v>
      </c>
      <c r="AQ61" s="6">
        <f t="shared" si="10"/>
        <v>2</v>
      </c>
      <c r="AR61" s="6"/>
      <c r="AS61" s="6"/>
      <c r="AT61" s="6"/>
      <c r="AU61" s="6"/>
      <c r="AV61" s="6"/>
      <c r="AW61" s="21"/>
      <c r="AX61" s="6"/>
      <c r="AY61" s="6"/>
      <c r="AZ61" s="6"/>
      <c r="BA61" s="21">
        <v>2</v>
      </c>
      <c r="BB61" s="6"/>
      <c r="BC61" s="6"/>
      <c r="BD61" s="6"/>
      <c r="BE61" s="6"/>
      <c r="BF61" s="6"/>
      <c r="BG61" s="6"/>
      <c r="BH61" s="6"/>
      <c r="BI61" s="6"/>
      <c r="BJ61" s="6"/>
      <c r="BK61" s="6"/>
      <c r="BL61" s="6"/>
      <c r="BM61" s="6"/>
      <c r="BN61" s="6"/>
      <c r="BO61" s="6"/>
      <c r="BP61" s="3">
        <v>2</v>
      </c>
      <c r="BQ61" s="6">
        <f t="shared" si="1"/>
        <v>2</v>
      </c>
      <c r="BR61">
        <v>2</v>
      </c>
    </row>
    <row r="62" spans="1:74" x14ac:dyDescent="0.3">
      <c r="A62" s="3" t="s">
        <v>17</v>
      </c>
      <c r="B62" s="3">
        <v>301</v>
      </c>
      <c r="C62" s="3" t="s">
        <v>114</v>
      </c>
      <c r="D62" s="3">
        <v>1</v>
      </c>
      <c r="E62" s="3" t="s">
        <v>19</v>
      </c>
      <c r="F62" s="3" t="s">
        <v>41</v>
      </c>
      <c r="G62" s="3" t="s">
        <v>19</v>
      </c>
      <c r="H62" s="3" t="s">
        <v>59</v>
      </c>
      <c r="I62" s="3">
        <v>6.35</v>
      </c>
      <c r="J62" s="3" t="s">
        <v>91</v>
      </c>
      <c r="K62" s="3" t="s">
        <v>121</v>
      </c>
      <c r="L62" s="3" t="s">
        <v>24</v>
      </c>
      <c r="M62" s="3">
        <v>1</v>
      </c>
      <c r="N62" s="6"/>
      <c r="O62" s="3">
        <v>1</v>
      </c>
      <c r="P62" s="3">
        <v>1</v>
      </c>
      <c r="Q62" s="3">
        <v>0</v>
      </c>
      <c r="R62" s="3">
        <v>0</v>
      </c>
      <c r="S62" s="3">
        <v>0</v>
      </c>
      <c r="T62" s="3">
        <v>1</v>
      </c>
      <c r="U62" s="3">
        <v>0</v>
      </c>
      <c r="V62" s="3">
        <f t="shared" si="2"/>
        <v>1</v>
      </c>
      <c r="W62" s="3">
        <v>0</v>
      </c>
      <c r="X62" s="3">
        <v>0</v>
      </c>
      <c r="Y62" s="3">
        <v>0</v>
      </c>
      <c r="Z62" s="3">
        <v>1</v>
      </c>
      <c r="AA62" s="3">
        <v>0</v>
      </c>
      <c r="AB62" s="3">
        <f t="shared" si="3"/>
        <v>1</v>
      </c>
      <c r="AC62" s="6">
        <f t="shared" si="11"/>
        <v>0</v>
      </c>
      <c r="AD62" s="6">
        <f t="shared" si="12"/>
        <v>0</v>
      </c>
      <c r="AE62" s="6">
        <f t="shared" si="13"/>
        <v>0</v>
      </c>
      <c r="AF62" s="6">
        <f t="shared" si="14"/>
        <v>0</v>
      </c>
      <c r="AG62" s="6">
        <f t="shared" si="15"/>
        <v>0</v>
      </c>
      <c r="AH62" s="6">
        <f t="shared" si="4"/>
        <v>0</v>
      </c>
      <c r="AI62" s="3"/>
      <c r="AJ62" s="3" t="e">
        <f>_xlfn.XLOOKUP(K62,工作表1!A:A,工作表1!C:C)</f>
        <v>#N/A</v>
      </c>
      <c r="AK62" s="3"/>
      <c r="AL62" s="6">
        <f t="shared" si="5"/>
        <v>0</v>
      </c>
      <c r="AM62" s="6">
        <f t="shared" si="6"/>
        <v>0</v>
      </c>
      <c r="AN62" s="6">
        <f t="shared" si="7"/>
        <v>0</v>
      </c>
      <c r="AO62" s="6">
        <f t="shared" si="8"/>
        <v>1</v>
      </c>
      <c r="AP62" s="6">
        <f t="shared" si="9"/>
        <v>0</v>
      </c>
      <c r="AQ62" s="6">
        <f t="shared" si="10"/>
        <v>1</v>
      </c>
      <c r="AR62" s="6"/>
      <c r="AS62" s="6"/>
      <c r="AT62" s="6"/>
      <c r="AU62" s="6"/>
      <c r="AV62" s="6"/>
      <c r="AW62" s="21"/>
      <c r="AX62" s="6"/>
      <c r="AY62" s="6"/>
      <c r="AZ62" s="6"/>
      <c r="BA62" s="6"/>
      <c r="BB62" s="6"/>
      <c r="BC62" s="6"/>
      <c r="BD62" s="6"/>
      <c r="BE62" s="6"/>
      <c r="BF62" s="21">
        <v>1</v>
      </c>
      <c r="BG62" s="6"/>
      <c r="BH62" s="6"/>
      <c r="BI62" s="6"/>
      <c r="BJ62" s="6"/>
      <c r="BK62" s="6"/>
      <c r="BL62" s="6"/>
      <c r="BM62" s="6"/>
      <c r="BN62" s="6"/>
      <c r="BO62" s="6"/>
      <c r="BP62" s="3">
        <v>1</v>
      </c>
      <c r="BQ62" s="6">
        <f t="shared" si="1"/>
        <v>1</v>
      </c>
      <c r="BR62">
        <v>1</v>
      </c>
    </row>
    <row r="63" spans="1:74" x14ac:dyDescent="0.3">
      <c r="A63" s="3" t="s">
        <v>17</v>
      </c>
      <c r="B63" s="3">
        <v>301</v>
      </c>
      <c r="C63" s="3" t="s">
        <v>114</v>
      </c>
      <c r="D63" s="3">
        <v>0.75</v>
      </c>
      <c r="E63" s="3" t="s">
        <v>19</v>
      </c>
      <c r="F63" s="3" t="s">
        <v>63</v>
      </c>
      <c r="G63" s="3" t="s">
        <v>19</v>
      </c>
      <c r="H63" s="3" t="s">
        <v>64</v>
      </c>
      <c r="I63" s="3">
        <v>7.82</v>
      </c>
      <c r="J63" s="3" t="s">
        <v>91</v>
      </c>
      <c r="K63" s="3" t="s">
        <v>122</v>
      </c>
      <c r="L63" s="3" t="s">
        <v>24</v>
      </c>
      <c r="M63" s="3">
        <v>1</v>
      </c>
      <c r="N63" s="6"/>
      <c r="O63" s="3">
        <v>1</v>
      </c>
      <c r="P63" s="3">
        <v>1</v>
      </c>
      <c r="Q63" s="3">
        <v>0</v>
      </c>
      <c r="R63" s="3">
        <v>0</v>
      </c>
      <c r="S63" s="3">
        <v>1</v>
      </c>
      <c r="T63" s="3">
        <v>0</v>
      </c>
      <c r="U63" s="3">
        <v>0</v>
      </c>
      <c r="V63" s="3">
        <f t="shared" si="2"/>
        <v>1</v>
      </c>
      <c r="W63" s="3">
        <v>0</v>
      </c>
      <c r="X63" s="3">
        <v>0</v>
      </c>
      <c r="Y63" s="3">
        <v>1</v>
      </c>
      <c r="Z63" s="3">
        <v>0</v>
      </c>
      <c r="AA63" s="3">
        <v>0</v>
      </c>
      <c r="AB63" s="3">
        <f t="shared" si="3"/>
        <v>1</v>
      </c>
      <c r="AC63" s="6">
        <f t="shared" si="11"/>
        <v>0</v>
      </c>
      <c r="AD63" s="6">
        <f t="shared" si="12"/>
        <v>0</v>
      </c>
      <c r="AE63" s="6">
        <f t="shared" si="13"/>
        <v>-1</v>
      </c>
      <c r="AF63" s="6">
        <f t="shared" si="14"/>
        <v>0</v>
      </c>
      <c r="AG63" s="6">
        <f t="shared" si="15"/>
        <v>0</v>
      </c>
      <c r="AH63" s="6">
        <f t="shared" si="4"/>
        <v>-1</v>
      </c>
      <c r="AI63" s="3"/>
      <c r="AJ63" s="3" t="e">
        <f>_xlfn.XLOOKUP(K63,工作表1!A:A,工作表1!C:C)</f>
        <v>#N/A</v>
      </c>
      <c r="AK63" s="3"/>
      <c r="AL63" s="6">
        <f t="shared" si="5"/>
        <v>0</v>
      </c>
      <c r="AM63" s="6">
        <f t="shared" si="6"/>
        <v>0</v>
      </c>
      <c r="AN63" s="6">
        <f t="shared" si="7"/>
        <v>0</v>
      </c>
      <c r="AO63" s="6">
        <f t="shared" si="8"/>
        <v>0</v>
      </c>
      <c r="AP63" s="6">
        <f t="shared" si="9"/>
        <v>0</v>
      </c>
      <c r="AQ63" s="6">
        <f t="shared" si="10"/>
        <v>0</v>
      </c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  <c r="BC63" s="6"/>
      <c r="BD63" s="6"/>
      <c r="BE63" s="6"/>
      <c r="BF63" s="6"/>
      <c r="BG63" s="6"/>
      <c r="BH63" s="6"/>
      <c r="BI63" s="6"/>
      <c r="BJ63" s="6"/>
      <c r="BK63" s="6"/>
      <c r="BL63" s="6"/>
      <c r="BM63" s="6"/>
      <c r="BN63" s="6"/>
      <c r="BO63" s="6"/>
      <c r="BP63" s="3">
        <v>1</v>
      </c>
      <c r="BQ63" s="6">
        <f t="shared" si="1"/>
        <v>0</v>
      </c>
    </row>
    <row r="64" spans="1:74" x14ac:dyDescent="0.3">
      <c r="A64" s="3" t="s">
        <v>17</v>
      </c>
      <c r="B64" s="3">
        <v>303</v>
      </c>
      <c r="C64" s="3" t="s">
        <v>123</v>
      </c>
      <c r="D64" s="3">
        <v>1.5</v>
      </c>
      <c r="E64" s="3" t="s">
        <v>19</v>
      </c>
      <c r="F64" s="3" t="s">
        <v>19</v>
      </c>
      <c r="G64" s="3" t="s">
        <v>19</v>
      </c>
      <c r="H64" s="3" t="s">
        <v>99</v>
      </c>
      <c r="I64" s="3"/>
      <c r="J64" s="3" t="s">
        <v>91</v>
      </c>
      <c r="K64" s="3" t="s">
        <v>124</v>
      </c>
      <c r="L64" s="3" t="s">
        <v>24</v>
      </c>
      <c r="M64" s="3">
        <v>291</v>
      </c>
      <c r="N64" s="6"/>
      <c r="O64" s="3">
        <v>156</v>
      </c>
      <c r="P64" s="3">
        <v>156</v>
      </c>
      <c r="Q64" s="3">
        <v>0</v>
      </c>
      <c r="R64" s="3">
        <v>153</v>
      </c>
      <c r="S64" s="3">
        <v>1</v>
      </c>
      <c r="T64" s="3">
        <v>2</v>
      </c>
      <c r="U64" s="3">
        <v>0</v>
      </c>
      <c r="V64" s="3">
        <f t="shared" si="2"/>
        <v>156</v>
      </c>
      <c r="W64" s="3">
        <v>0</v>
      </c>
      <c r="X64" s="3">
        <v>153</v>
      </c>
      <c r="Y64" s="3">
        <v>1</v>
      </c>
      <c r="Z64" s="3">
        <v>2</v>
      </c>
      <c r="AA64" s="3">
        <v>0</v>
      </c>
      <c r="AB64" s="3">
        <f t="shared" si="3"/>
        <v>156</v>
      </c>
      <c r="AC64" s="6">
        <f t="shared" si="11"/>
        <v>0</v>
      </c>
      <c r="AD64" s="6">
        <f t="shared" si="12"/>
        <v>0</v>
      </c>
      <c r="AE64" s="6">
        <f t="shared" si="13"/>
        <v>0</v>
      </c>
      <c r="AF64" s="6">
        <f t="shared" si="14"/>
        <v>0</v>
      </c>
      <c r="AG64" s="6">
        <f t="shared" si="15"/>
        <v>0</v>
      </c>
      <c r="AH64" s="6">
        <f t="shared" si="4"/>
        <v>0</v>
      </c>
      <c r="AI64" s="3"/>
      <c r="AJ64" s="3" t="e">
        <f>_xlfn.XLOOKUP(K64,工作表1!A:A,工作表1!C:C)</f>
        <v>#N/A</v>
      </c>
      <c r="AK64" s="3"/>
      <c r="AL64" s="6">
        <f t="shared" si="5"/>
        <v>0</v>
      </c>
      <c r="AM64" s="6">
        <f t="shared" si="6"/>
        <v>153</v>
      </c>
      <c r="AN64" s="6">
        <f t="shared" si="7"/>
        <v>1</v>
      </c>
      <c r="AO64" s="6">
        <f t="shared" si="8"/>
        <v>2</v>
      </c>
      <c r="AP64" s="6">
        <f t="shared" si="9"/>
        <v>0</v>
      </c>
      <c r="AQ64" s="6">
        <f t="shared" si="10"/>
        <v>156</v>
      </c>
      <c r="AR64" s="6"/>
      <c r="AS64" s="6"/>
      <c r="AT64" s="6"/>
      <c r="AU64" s="6"/>
      <c r="AV64" s="6"/>
      <c r="AW64" s="21">
        <v>153</v>
      </c>
      <c r="AX64" s="6"/>
      <c r="AY64" s="6"/>
      <c r="AZ64" s="6"/>
      <c r="BA64" s="21">
        <v>1</v>
      </c>
      <c r="BB64" s="6"/>
      <c r="BC64" s="6"/>
      <c r="BD64" s="6"/>
      <c r="BE64" s="6"/>
      <c r="BF64" s="21">
        <v>2</v>
      </c>
      <c r="BG64" s="6"/>
      <c r="BH64" s="6"/>
      <c r="BI64" s="6"/>
      <c r="BJ64" s="6"/>
      <c r="BK64" s="6"/>
      <c r="BL64" s="6"/>
      <c r="BM64" s="6"/>
      <c r="BN64" s="6"/>
      <c r="BO64" s="6"/>
      <c r="BP64" s="3">
        <v>156</v>
      </c>
      <c r="BQ64" s="6">
        <f t="shared" si="1"/>
        <v>156</v>
      </c>
      <c r="BR64">
        <v>156</v>
      </c>
    </row>
    <row r="65" spans="1:74" x14ac:dyDescent="0.3">
      <c r="A65" s="3" t="s">
        <v>17</v>
      </c>
      <c r="B65" s="3">
        <v>303</v>
      </c>
      <c r="C65" s="3" t="s">
        <v>123</v>
      </c>
      <c r="D65" s="3">
        <v>1</v>
      </c>
      <c r="E65" s="3" t="s">
        <v>19</v>
      </c>
      <c r="F65" s="3" t="s">
        <v>19</v>
      </c>
      <c r="G65" s="3" t="s">
        <v>19</v>
      </c>
      <c r="H65" s="3" t="s">
        <v>101</v>
      </c>
      <c r="I65" s="3"/>
      <c r="J65" s="3" t="s">
        <v>91</v>
      </c>
      <c r="K65" s="3" t="s">
        <v>125</v>
      </c>
      <c r="L65" s="3" t="s">
        <v>24</v>
      </c>
      <c r="M65" s="3">
        <v>784</v>
      </c>
      <c r="N65" s="6"/>
      <c r="O65" s="3">
        <v>389</v>
      </c>
      <c r="P65" s="3">
        <v>384</v>
      </c>
      <c r="Q65" s="3">
        <v>0</v>
      </c>
      <c r="R65" s="3">
        <v>205</v>
      </c>
      <c r="S65" s="3">
        <v>88</v>
      </c>
      <c r="T65" s="3">
        <v>91</v>
      </c>
      <c r="U65" s="3">
        <v>0</v>
      </c>
      <c r="V65" s="3">
        <f t="shared" si="2"/>
        <v>384</v>
      </c>
      <c r="W65" s="3">
        <v>0</v>
      </c>
      <c r="X65" s="3">
        <v>205</v>
      </c>
      <c r="Y65" s="3">
        <v>88</v>
      </c>
      <c r="Z65" s="3">
        <v>91</v>
      </c>
      <c r="AA65" s="3">
        <v>0</v>
      </c>
      <c r="AB65" s="3">
        <f t="shared" si="3"/>
        <v>384</v>
      </c>
      <c r="AC65" s="6">
        <f t="shared" si="11"/>
        <v>0</v>
      </c>
      <c r="AD65" s="6">
        <f t="shared" si="12"/>
        <v>184</v>
      </c>
      <c r="AE65" s="6">
        <f t="shared" si="13"/>
        <v>-88</v>
      </c>
      <c r="AF65" s="6">
        <f t="shared" si="14"/>
        <v>-91</v>
      </c>
      <c r="AG65" s="6">
        <f t="shared" si="15"/>
        <v>0</v>
      </c>
      <c r="AH65" s="6">
        <f t="shared" si="4"/>
        <v>5</v>
      </c>
      <c r="AI65" s="3"/>
      <c r="AJ65" s="3" t="e">
        <f>_xlfn.XLOOKUP(K65,工作表1!A:A,工作表1!C:C)</f>
        <v>#N/A</v>
      </c>
      <c r="AK65" s="3"/>
      <c r="AL65" s="6">
        <f t="shared" si="5"/>
        <v>0</v>
      </c>
      <c r="AM65" s="6">
        <f t="shared" si="6"/>
        <v>389</v>
      </c>
      <c r="AN65" s="6">
        <f t="shared" si="7"/>
        <v>0</v>
      </c>
      <c r="AO65" s="6">
        <f t="shared" si="8"/>
        <v>0</v>
      </c>
      <c r="AP65" s="6">
        <f t="shared" si="9"/>
        <v>0</v>
      </c>
      <c r="AQ65" s="6">
        <f t="shared" si="10"/>
        <v>389</v>
      </c>
      <c r="AR65" s="6"/>
      <c r="AS65" s="6"/>
      <c r="AT65" s="6"/>
      <c r="AU65" s="6"/>
      <c r="AV65" s="6"/>
      <c r="AW65" s="6">
        <v>389</v>
      </c>
      <c r="AX65" s="6"/>
      <c r="AY65" s="6"/>
      <c r="AZ65" s="6"/>
      <c r="BA65" s="6"/>
      <c r="BB65" s="6"/>
      <c r="BC65" s="6"/>
      <c r="BD65" s="6"/>
      <c r="BE65" s="6"/>
      <c r="BF65" s="6"/>
      <c r="BG65" s="6"/>
      <c r="BH65" s="6"/>
      <c r="BI65" s="6"/>
      <c r="BJ65" s="6"/>
      <c r="BK65" s="6"/>
      <c r="BL65" s="6"/>
      <c r="BM65" s="6"/>
      <c r="BN65" s="6"/>
      <c r="BO65" s="6"/>
      <c r="BP65" s="3">
        <v>384</v>
      </c>
      <c r="BQ65" s="6">
        <f t="shared" si="1"/>
        <v>389</v>
      </c>
      <c r="BR65">
        <v>389</v>
      </c>
    </row>
    <row r="66" spans="1:74" x14ac:dyDescent="0.3">
      <c r="A66" s="3" t="s">
        <v>17</v>
      </c>
      <c r="B66" s="3">
        <v>303</v>
      </c>
      <c r="C66" s="3" t="s">
        <v>123</v>
      </c>
      <c r="D66" s="3">
        <v>0.75</v>
      </c>
      <c r="E66" s="3" t="s">
        <v>19</v>
      </c>
      <c r="F66" s="3" t="s">
        <v>19</v>
      </c>
      <c r="G66" s="3" t="s">
        <v>19</v>
      </c>
      <c r="H66" s="3" t="s">
        <v>103</v>
      </c>
      <c r="I66" s="3"/>
      <c r="J66" s="3" t="s">
        <v>91</v>
      </c>
      <c r="K66" s="3" t="s">
        <v>126</v>
      </c>
      <c r="L66" s="3" t="s">
        <v>24</v>
      </c>
      <c r="M66" s="3">
        <v>296</v>
      </c>
      <c r="N66" s="6"/>
      <c r="O66" s="3">
        <v>85</v>
      </c>
      <c r="P66" s="3">
        <v>75</v>
      </c>
      <c r="Q66" s="3">
        <v>0</v>
      </c>
      <c r="R66" s="3">
        <v>30</v>
      </c>
      <c r="S66" s="3">
        <v>16</v>
      </c>
      <c r="T66" s="3">
        <v>29</v>
      </c>
      <c r="U66" s="3">
        <v>0</v>
      </c>
      <c r="V66" s="3">
        <f t="shared" si="2"/>
        <v>75</v>
      </c>
      <c r="W66" s="3">
        <v>0</v>
      </c>
      <c r="X66" s="3">
        <v>30</v>
      </c>
      <c r="Y66" s="3">
        <v>16</v>
      </c>
      <c r="Z66" s="3">
        <v>29</v>
      </c>
      <c r="AA66" s="3">
        <v>0</v>
      </c>
      <c r="AB66" s="3">
        <f t="shared" si="3"/>
        <v>75</v>
      </c>
      <c r="AC66" s="6">
        <f t="shared" si="11"/>
        <v>0</v>
      </c>
      <c r="AD66" s="6">
        <f t="shared" si="12"/>
        <v>55</v>
      </c>
      <c r="AE66" s="6">
        <f t="shared" si="13"/>
        <v>-16</v>
      </c>
      <c r="AF66" s="6">
        <f t="shared" si="14"/>
        <v>-29</v>
      </c>
      <c r="AG66" s="6">
        <f t="shared" si="15"/>
        <v>0</v>
      </c>
      <c r="AH66" s="6">
        <f t="shared" si="4"/>
        <v>10</v>
      </c>
      <c r="AI66" s="3"/>
      <c r="AJ66" s="3" t="e">
        <f>_xlfn.XLOOKUP(K66,工作表1!A:A,工作表1!C:C)</f>
        <v>#N/A</v>
      </c>
      <c r="AK66" s="3"/>
      <c r="AL66" s="6">
        <f t="shared" si="5"/>
        <v>0</v>
      </c>
      <c r="AM66" s="6">
        <f t="shared" si="6"/>
        <v>85</v>
      </c>
      <c r="AN66" s="6">
        <f t="shared" si="7"/>
        <v>0</v>
      </c>
      <c r="AO66" s="6">
        <f t="shared" si="8"/>
        <v>0</v>
      </c>
      <c r="AP66" s="6">
        <f t="shared" si="9"/>
        <v>0</v>
      </c>
      <c r="AQ66" s="6">
        <f t="shared" si="10"/>
        <v>85</v>
      </c>
      <c r="AR66" s="6"/>
      <c r="AS66" s="6"/>
      <c r="AT66" s="6"/>
      <c r="AU66" s="6"/>
      <c r="AV66" s="6"/>
      <c r="AW66" s="6">
        <v>85</v>
      </c>
      <c r="AX66" s="6"/>
      <c r="AY66" s="6"/>
      <c r="AZ66" s="6"/>
      <c r="BA66" s="6"/>
      <c r="BB66" s="6"/>
      <c r="BC66" s="6"/>
      <c r="BD66" s="6"/>
      <c r="BE66" s="6"/>
      <c r="BF66" s="6"/>
      <c r="BG66" s="6"/>
      <c r="BH66" s="6"/>
      <c r="BI66" s="6"/>
      <c r="BJ66" s="6"/>
      <c r="BK66" s="6"/>
      <c r="BL66" s="6"/>
      <c r="BM66" s="6"/>
      <c r="BN66" s="6"/>
      <c r="BO66" s="6"/>
      <c r="BP66" s="3">
        <v>75</v>
      </c>
      <c r="BQ66" s="6">
        <f t="shared" si="1"/>
        <v>85</v>
      </c>
      <c r="BR66" s="8">
        <v>85</v>
      </c>
    </row>
    <row r="67" spans="1:74" x14ac:dyDescent="0.3">
      <c r="A67" s="3" t="s">
        <v>17</v>
      </c>
      <c r="B67" s="3">
        <v>303</v>
      </c>
      <c r="C67" s="3" t="s">
        <v>123</v>
      </c>
      <c r="D67" s="3">
        <v>0.5</v>
      </c>
      <c r="E67" s="3" t="s">
        <v>19</v>
      </c>
      <c r="F67" s="3" t="s">
        <v>19</v>
      </c>
      <c r="G67" s="3" t="s">
        <v>19</v>
      </c>
      <c r="H67" s="3" t="s">
        <v>105</v>
      </c>
      <c r="I67" s="3"/>
      <c r="J67" s="3" t="s">
        <v>91</v>
      </c>
      <c r="K67" s="3" t="s">
        <v>1542</v>
      </c>
      <c r="L67" s="3" t="s">
        <v>24</v>
      </c>
      <c r="M67" s="3">
        <v>802</v>
      </c>
      <c r="N67" s="6"/>
      <c r="O67" s="3">
        <v>125</v>
      </c>
      <c r="P67" s="3">
        <v>125</v>
      </c>
      <c r="Q67" s="3">
        <v>0</v>
      </c>
      <c r="R67" s="3">
        <v>0</v>
      </c>
      <c r="S67" s="3">
        <v>125</v>
      </c>
      <c r="T67" s="3">
        <v>0</v>
      </c>
      <c r="U67" s="3">
        <v>0</v>
      </c>
      <c r="V67" s="3">
        <f t="shared" si="2"/>
        <v>125</v>
      </c>
      <c r="W67" s="3">
        <v>0</v>
      </c>
      <c r="X67" s="3">
        <v>0</v>
      </c>
      <c r="Y67" s="3">
        <v>125</v>
      </c>
      <c r="Z67" s="3">
        <v>0</v>
      </c>
      <c r="AA67" s="3">
        <v>0</v>
      </c>
      <c r="AB67" s="3">
        <f t="shared" si="3"/>
        <v>125</v>
      </c>
      <c r="AC67" s="6">
        <f t="shared" si="11"/>
        <v>0</v>
      </c>
      <c r="AD67" s="6">
        <f t="shared" si="12"/>
        <v>0</v>
      </c>
      <c r="AE67" s="6">
        <f t="shared" si="13"/>
        <v>0</v>
      </c>
      <c r="AF67" s="6">
        <f t="shared" si="14"/>
        <v>0</v>
      </c>
      <c r="AG67" s="6">
        <f t="shared" si="15"/>
        <v>0</v>
      </c>
      <c r="AH67" s="6">
        <f t="shared" si="4"/>
        <v>0</v>
      </c>
      <c r="AI67" s="3"/>
      <c r="AJ67" s="3" t="e">
        <f>_xlfn.XLOOKUP(K67,工作表1!A:A,工作表1!C:C)</f>
        <v>#N/A</v>
      </c>
      <c r="AK67" s="3"/>
      <c r="AL67" s="6">
        <f t="shared" si="5"/>
        <v>0</v>
      </c>
      <c r="AM67" s="6">
        <f t="shared" si="6"/>
        <v>0</v>
      </c>
      <c r="AN67" s="6">
        <f t="shared" si="7"/>
        <v>125</v>
      </c>
      <c r="AO67" s="6">
        <f t="shared" si="8"/>
        <v>0</v>
      </c>
      <c r="AP67" s="6">
        <f t="shared" si="9"/>
        <v>0</v>
      </c>
      <c r="AQ67" s="6">
        <f t="shared" si="10"/>
        <v>125</v>
      </c>
      <c r="AR67" s="6"/>
      <c r="AS67" s="6"/>
      <c r="AT67" s="6"/>
      <c r="AU67" s="6"/>
      <c r="AV67" s="6"/>
      <c r="AW67" s="21"/>
      <c r="AX67" s="6"/>
      <c r="AY67" s="6"/>
      <c r="AZ67" s="6"/>
      <c r="BA67" s="21">
        <v>125</v>
      </c>
      <c r="BB67" s="6"/>
      <c r="BC67" s="6"/>
      <c r="BD67" s="6"/>
      <c r="BE67" s="6"/>
      <c r="BF67" s="6"/>
      <c r="BG67" s="6"/>
      <c r="BH67" s="6"/>
      <c r="BI67" s="6"/>
      <c r="BJ67" s="6"/>
      <c r="BK67" s="6"/>
      <c r="BL67" s="6"/>
      <c r="BM67" s="6"/>
      <c r="BN67" s="6"/>
      <c r="BO67" s="6"/>
      <c r="BP67" s="3">
        <v>125</v>
      </c>
      <c r="BQ67" s="6">
        <f t="shared" si="1"/>
        <v>125</v>
      </c>
      <c r="BR67">
        <v>125</v>
      </c>
    </row>
    <row r="68" spans="1:74" x14ac:dyDescent="0.3">
      <c r="A68" s="3" t="s">
        <v>17</v>
      </c>
      <c r="B68" s="3">
        <v>303</v>
      </c>
      <c r="C68" s="3" t="s">
        <v>127</v>
      </c>
      <c r="D68" s="3">
        <v>1.5</v>
      </c>
      <c r="E68" s="3" t="s">
        <v>19</v>
      </c>
      <c r="F68" s="3" t="s">
        <v>19</v>
      </c>
      <c r="G68" s="3" t="s">
        <v>19</v>
      </c>
      <c r="H68" s="3" t="s">
        <v>99</v>
      </c>
      <c r="I68" s="3"/>
      <c r="J68" s="3" t="s">
        <v>91</v>
      </c>
      <c r="K68" s="3" t="s">
        <v>128</v>
      </c>
      <c r="L68" s="3" t="s">
        <v>24</v>
      </c>
      <c r="M68" s="3">
        <v>20</v>
      </c>
      <c r="N68" s="6"/>
      <c r="O68" s="3">
        <v>19</v>
      </c>
      <c r="P68" s="3">
        <v>19</v>
      </c>
      <c r="Q68" s="3">
        <v>0</v>
      </c>
      <c r="R68" s="3">
        <v>0</v>
      </c>
      <c r="S68" s="3">
        <v>19</v>
      </c>
      <c r="T68" s="3">
        <v>0</v>
      </c>
      <c r="U68" s="3">
        <v>0</v>
      </c>
      <c r="V68" s="3">
        <f t="shared" si="2"/>
        <v>19</v>
      </c>
      <c r="W68" s="3">
        <v>0</v>
      </c>
      <c r="X68" s="3">
        <v>0</v>
      </c>
      <c r="Y68" s="3">
        <v>19</v>
      </c>
      <c r="Z68" s="3">
        <v>0</v>
      </c>
      <c r="AA68" s="3">
        <v>0</v>
      </c>
      <c r="AB68" s="3">
        <f t="shared" si="3"/>
        <v>19</v>
      </c>
      <c r="AC68" s="6">
        <f t="shared" si="11"/>
        <v>0</v>
      </c>
      <c r="AD68" s="6">
        <f t="shared" si="12"/>
        <v>0</v>
      </c>
      <c r="AE68" s="6">
        <f t="shared" si="13"/>
        <v>0</v>
      </c>
      <c r="AF68" s="6">
        <f t="shared" si="14"/>
        <v>0</v>
      </c>
      <c r="AG68" s="6">
        <f t="shared" si="15"/>
        <v>0</v>
      </c>
      <c r="AH68" s="6">
        <f t="shared" si="4"/>
        <v>0</v>
      </c>
      <c r="AI68" s="3"/>
      <c r="AJ68" s="3" t="e">
        <f>_xlfn.XLOOKUP(K68,工作表1!A:A,工作表1!C:C)</f>
        <v>#N/A</v>
      </c>
      <c r="AK68" s="3"/>
      <c r="AL68" s="6">
        <f t="shared" si="5"/>
        <v>0</v>
      </c>
      <c r="AM68" s="6">
        <f t="shared" si="6"/>
        <v>0</v>
      </c>
      <c r="AN68" s="6">
        <f t="shared" si="7"/>
        <v>19</v>
      </c>
      <c r="AO68" s="6">
        <f t="shared" si="8"/>
        <v>0</v>
      </c>
      <c r="AP68" s="6">
        <f t="shared" si="9"/>
        <v>0</v>
      </c>
      <c r="AQ68" s="6">
        <f t="shared" si="10"/>
        <v>19</v>
      </c>
      <c r="AR68" s="6"/>
      <c r="AS68" s="6"/>
      <c r="AT68" s="6"/>
      <c r="AU68" s="6"/>
      <c r="AV68" s="6"/>
      <c r="AW68" s="21"/>
      <c r="AX68" s="6"/>
      <c r="AY68" s="6"/>
      <c r="AZ68" s="6"/>
      <c r="BA68" s="21">
        <v>19</v>
      </c>
      <c r="BB68" s="6"/>
      <c r="BC68" s="6"/>
      <c r="BD68" s="6"/>
      <c r="BE68" s="6"/>
      <c r="BF68" s="6"/>
      <c r="BG68" s="6"/>
      <c r="BH68" s="6"/>
      <c r="BI68" s="6"/>
      <c r="BJ68" s="6"/>
      <c r="BK68" s="6"/>
      <c r="BL68" s="6"/>
      <c r="BM68" s="6"/>
      <c r="BN68" s="6"/>
      <c r="BO68" s="6"/>
      <c r="BP68" s="3">
        <v>19</v>
      </c>
      <c r="BQ68" s="6">
        <f t="shared" si="1"/>
        <v>19</v>
      </c>
      <c r="BR68">
        <v>19</v>
      </c>
    </row>
    <row r="69" spans="1:74" x14ac:dyDescent="0.3">
      <c r="A69" s="3" t="s">
        <v>17</v>
      </c>
      <c r="B69" s="3">
        <v>303</v>
      </c>
      <c r="C69" s="3" t="s">
        <v>127</v>
      </c>
      <c r="D69" s="3">
        <v>1</v>
      </c>
      <c r="E69" s="3" t="s">
        <v>19</v>
      </c>
      <c r="F69" s="3" t="s">
        <v>19</v>
      </c>
      <c r="G69" s="3" t="s">
        <v>19</v>
      </c>
      <c r="H69" s="3" t="s">
        <v>101</v>
      </c>
      <c r="I69" s="3"/>
      <c r="J69" s="3" t="s">
        <v>91</v>
      </c>
      <c r="K69" s="3" t="s">
        <v>129</v>
      </c>
      <c r="L69" s="3" t="s">
        <v>24</v>
      </c>
      <c r="M69" s="3">
        <v>11</v>
      </c>
      <c r="N69" s="6"/>
      <c r="O69" s="3">
        <v>8</v>
      </c>
      <c r="P69" s="3">
        <v>8</v>
      </c>
      <c r="Q69" s="3">
        <v>0</v>
      </c>
      <c r="R69" s="3">
        <v>0</v>
      </c>
      <c r="S69" s="3">
        <v>8</v>
      </c>
      <c r="T69" s="3">
        <v>0</v>
      </c>
      <c r="U69" s="3">
        <v>0</v>
      </c>
      <c r="V69" s="3">
        <f t="shared" si="2"/>
        <v>8</v>
      </c>
      <c r="W69" s="3">
        <v>0</v>
      </c>
      <c r="X69" s="3">
        <v>0</v>
      </c>
      <c r="Y69" s="3">
        <v>8</v>
      </c>
      <c r="Z69" s="3">
        <v>0</v>
      </c>
      <c r="AA69" s="3">
        <v>0</v>
      </c>
      <c r="AB69" s="3">
        <f t="shared" si="3"/>
        <v>8</v>
      </c>
      <c r="AC69" s="6">
        <f t="shared" si="11"/>
        <v>0</v>
      </c>
      <c r="AD69" s="6">
        <f t="shared" si="12"/>
        <v>2</v>
      </c>
      <c r="AE69" s="6">
        <f t="shared" si="13"/>
        <v>-8</v>
      </c>
      <c r="AF69" s="6">
        <f t="shared" si="14"/>
        <v>0</v>
      </c>
      <c r="AG69" s="6">
        <f t="shared" si="15"/>
        <v>0</v>
      </c>
      <c r="AH69" s="6">
        <f t="shared" si="4"/>
        <v>-6</v>
      </c>
      <c r="AI69" s="3"/>
      <c r="AJ69" s="3" t="e">
        <f>_xlfn.XLOOKUP(K69,工作表1!A:A,工作表1!C:C)</f>
        <v>#N/A</v>
      </c>
      <c r="AK69" s="3"/>
      <c r="AL69" s="6">
        <f t="shared" si="5"/>
        <v>0</v>
      </c>
      <c r="AM69" s="6">
        <f t="shared" si="6"/>
        <v>2</v>
      </c>
      <c r="AN69" s="6">
        <f t="shared" si="7"/>
        <v>0</v>
      </c>
      <c r="AO69" s="6">
        <f t="shared" si="8"/>
        <v>0</v>
      </c>
      <c r="AP69" s="6">
        <f t="shared" si="9"/>
        <v>0</v>
      </c>
      <c r="AQ69" s="6">
        <f t="shared" si="10"/>
        <v>2</v>
      </c>
      <c r="AR69" s="6"/>
      <c r="AS69" s="6"/>
      <c r="AT69" s="6"/>
      <c r="AU69" s="6"/>
      <c r="AV69" s="6"/>
      <c r="AW69" s="6">
        <v>2</v>
      </c>
      <c r="AX69" s="6"/>
      <c r="AY69" s="6"/>
      <c r="AZ69" s="6"/>
      <c r="BA69" s="6"/>
      <c r="BB69" s="6"/>
      <c r="BC69" s="6"/>
      <c r="BD69" s="6"/>
      <c r="BE69" s="6"/>
      <c r="BF69" s="6"/>
      <c r="BG69" s="6"/>
      <c r="BH69" s="6"/>
      <c r="BI69" s="6"/>
      <c r="BJ69" s="6"/>
      <c r="BK69" s="6"/>
      <c r="BL69" s="6"/>
      <c r="BM69" s="6"/>
      <c r="BN69" s="6"/>
      <c r="BO69" s="6"/>
      <c r="BP69" s="3">
        <v>8</v>
      </c>
      <c r="BQ69" s="6">
        <f t="shared" si="1"/>
        <v>2</v>
      </c>
      <c r="BR69">
        <v>2</v>
      </c>
    </row>
    <row r="70" spans="1:74" x14ac:dyDescent="0.3">
      <c r="A70" s="3" t="s">
        <v>17</v>
      </c>
      <c r="B70" s="3">
        <v>303</v>
      </c>
      <c r="C70" s="3" t="s">
        <v>127</v>
      </c>
      <c r="D70" s="3">
        <v>0.75</v>
      </c>
      <c r="E70" s="3" t="s">
        <v>19</v>
      </c>
      <c r="F70" s="3" t="s">
        <v>19</v>
      </c>
      <c r="G70" s="3" t="s">
        <v>19</v>
      </c>
      <c r="H70" s="3" t="s">
        <v>103</v>
      </c>
      <c r="I70" s="3"/>
      <c r="J70" s="3" t="s">
        <v>91</v>
      </c>
      <c r="K70" s="3" t="s">
        <v>130</v>
      </c>
      <c r="L70" s="3" t="s">
        <v>24</v>
      </c>
      <c r="M70" s="3">
        <v>11</v>
      </c>
      <c r="N70" s="6"/>
      <c r="O70" s="3">
        <v>2</v>
      </c>
      <c r="P70" s="3">
        <v>2</v>
      </c>
      <c r="Q70" s="3">
        <v>0</v>
      </c>
      <c r="R70" s="3">
        <v>0</v>
      </c>
      <c r="S70" s="3">
        <v>2</v>
      </c>
      <c r="T70" s="3">
        <v>0</v>
      </c>
      <c r="U70" s="3">
        <v>0</v>
      </c>
      <c r="V70" s="3">
        <f t="shared" si="2"/>
        <v>2</v>
      </c>
      <c r="W70" s="3">
        <v>0</v>
      </c>
      <c r="X70" s="3">
        <v>0</v>
      </c>
      <c r="Y70" s="3">
        <v>2</v>
      </c>
      <c r="Z70" s="3">
        <v>0</v>
      </c>
      <c r="AA70" s="3">
        <v>0</v>
      </c>
      <c r="AB70" s="3">
        <f t="shared" si="3"/>
        <v>2</v>
      </c>
      <c r="AC70" s="6">
        <f t="shared" si="11"/>
        <v>0</v>
      </c>
      <c r="AD70" s="6">
        <f t="shared" si="12"/>
        <v>0</v>
      </c>
      <c r="AE70" s="6">
        <f t="shared" si="13"/>
        <v>0</v>
      </c>
      <c r="AF70" s="6">
        <f t="shared" si="14"/>
        <v>0</v>
      </c>
      <c r="AG70" s="6">
        <f t="shared" si="15"/>
        <v>0</v>
      </c>
      <c r="AH70" s="6">
        <f t="shared" si="4"/>
        <v>0</v>
      </c>
      <c r="AI70" s="3"/>
      <c r="AJ70" s="3" t="e">
        <f>_xlfn.XLOOKUP(K70,工作表1!A:A,工作表1!C:C)</f>
        <v>#N/A</v>
      </c>
      <c r="AK70" s="3"/>
      <c r="AL70" s="6">
        <f t="shared" si="5"/>
        <v>0</v>
      </c>
      <c r="AM70" s="6">
        <f t="shared" si="6"/>
        <v>0</v>
      </c>
      <c r="AN70" s="6">
        <f t="shared" si="7"/>
        <v>2</v>
      </c>
      <c r="AO70" s="6">
        <f t="shared" si="8"/>
        <v>0</v>
      </c>
      <c r="AP70" s="6">
        <f t="shared" si="9"/>
        <v>0</v>
      </c>
      <c r="AQ70" s="6">
        <f t="shared" si="10"/>
        <v>2</v>
      </c>
      <c r="AR70" s="6"/>
      <c r="AS70" s="6"/>
      <c r="AT70" s="6"/>
      <c r="AU70" s="6"/>
      <c r="AV70" s="6"/>
      <c r="AW70" s="21"/>
      <c r="AX70" s="6"/>
      <c r="AY70" s="6"/>
      <c r="AZ70" s="6"/>
      <c r="BA70" s="21">
        <v>2</v>
      </c>
      <c r="BB70" s="6"/>
      <c r="BC70" s="6"/>
      <c r="BD70" s="6"/>
      <c r="BE70" s="6"/>
      <c r="BF70" s="6"/>
      <c r="BG70" s="6"/>
      <c r="BH70" s="6"/>
      <c r="BI70" s="6"/>
      <c r="BJ70" s="6"/>
      <c r="BK70" s="6"/>
      <c r="BL70" s="6"/>
      <c r="BM70" s="6"/>
      <c r="BN70" s="6"/>
      <c r="BO70" s="6"/>
      <c r="BP70" s="3">
        <v>2</v>
      </c>
      <c r="BQ70" s="6">
        <f t="shared" si="1"/>
        <v>2</v>
      </c>
      <c r="BR70" s="8">
        <v>2</v>
      </c>
    </row>
    <row r="71" spans="1:74" x14ac:dyDescent="0.3">
      <c r="A71" s="3" t="s">
        <v>17</v>
      </c>
      <c r="B71" s="3">
        <v>303</v>
      </c>
      <c r="C71" s="3" t="s">
        <v>131</v>
      </c>
      <c r="D71" s="3">
        <v>1</v>
      </c>
      <c r="E71" s="3" t="s">
        <v>19</v>
      </c>
      <c r="F71" s="3" t="s">
        <v>19</v>
      </c>
      <c r="G71" s="3" t="s">
        <v>19</v>
      </c>
      <c r="H71" s="3" t="s">
        <v>101</v>
      </c>
      <c r="I71" s="3"/>
      <c r="J71" s="3" t="s">
        <v>91</v>
      </c>
      <c r="K71" s="3" t="s">
        <v>132</v>
      </c>
      <c r="L71" s="3" t="s">
        <v>24</v>
      </c>
      <c r="M71" s="3">
        <v>2</v>
      </c>
      <c r="N71" s="6"/>
      <c r="O71" s="3">
        <v>2</v>
      </c>
      <c r="P71" s="3">
        <v>2</v>
      </c>
      <c r="Q71" s="3">
        <v>0</v>
      </c>
      <c r="R71" s="3">
        <v>0</v>
      </c>
      <c r="S71" s="3">
        <v>2</v>
      </c>
      <c r="T71" s="3">
        <v>0</v>
      </c>
      <c r="U71" s="3">
        <v>0</v>
      </c>
      <c r="V71" s="3">
        <f t="shared" si="2"/>
        <v>2</v>
      </c>
      <c r="W71" s="3">
        <v>0</v>
      </c>
      <c r="X71" s="3">
        <v>0</v>
      </c>
      <c r="Y71" s="3">
        <v>2</v>
      </c>
      <c r="Z71" s="3">
        <v>0</v>
      </c>
      <c r="AA71" s="3">
        <v>0</v>
      </c>
      <c r="AB71" s="3">
        <f t="shared" si="3"/>
        <v>2</v>
      </c>
      <c r="AC71" s="6">
        <f t="shared" si="11"/>
        <v>0</v>
      </c>
      <c r="AD71" s="6">
        <f t="shared" si="12"/>
        <v>0</v>
      </c>
      <c r="AE71" s="6">
        <f t="shared" si="13"/>
        <v>-2</v>
      </c>
      <c r="AF71" s="6">
        <f t="shared" si="14"/>
        <v>0</v>
      </c>
      <c r="AG71" s="6">
        <f t="shared" si="15"/>
        <v>0</v>
      </c>
      <c r="AH71" s="6">
        <f t="shared" si="4"/>
        <v>-2</v>
      </c>
      <c r="AI71" s="3"/>
      <c r="AJ71" s="3" t="e">
        <f>_xlfn.XLOOKUP(K71,工作表1!A:A,工作表1!C:C)</f>
        <v>#N/A</v>
      </c>
      <c r="AK71" s="3"/>
      <c r="AL71" s="6">
        <f t="shared" si="5"/>
        <v>0</v>
      </c>
      <c r="AM71" s="6">
        <f t="shared" si="6"/>
        <v>0</v>
      </c>
      <c r="AN71" s="6">
        <f t="shared" si="7"/>
        <v>0</v>
      </c>
      <c r="AO71" s="6">
        <f t="shared" si="8"/>
        <v>0</v>
      </c>
      <c r="AP71" s="6">
        <f t="shared" si="9"/>
        <v>0</v>
      </c>
      <c r="AQ71" s="6">
        <f t="shared" si="10"/>
        <v>0</v>
      </c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  <c r="BC71" s="6"/>
      <c r="BD71" s="6"/>
      <c r="BE71" s="6"/>
      <c r="BF71" s="6"/>
      <c r="BG71" s="6"/>
      <c r="BH71" s="6"/>
      <c r="BI71" s="6"/>
      <c r="BJ71" s="6"/>
      <c r="BK71" s="6"/>
      <c r="BL71" s="6"/>
      <c r="BM71" s="6"/>
      <c r="BN71" s="6"/>
      <c r="BO71" s="6"/>
      <c r="BP71" s="3">
        <v>2</v>
      </c>
      <c r="BQ71" s="6">
        <f t="shared" ref="BQ71:BQ134" si="16">SUM(BR71:FN71)</f>
        <v>0</v>
      </c>
    </row>
    <row r="72" spans="1:74" x14ac:dyDescent="0.3">
      <c r="A72" s="3" t="s">
        <v>17</v>
      </c>
      <c r="B72" s="3">
        <v>303</v>
      </c>
      <c r="C72" s="3" t="s">
        <v>133</v>
      </c>
      <c r="D72" s="3">
        <v>1</v>
      </c>
      <c r="E72" s="3" t="s">
        <v>19</v>
      </c>
      <c r="F72" s="3" t="s">
        <v>19</v>
      </c>
      <c r="G72" s="3" t="s">
        <v>19</v>
      </c>
      <c r="H72" s="3" t="s">
        <v>101</v>
      </c>
      <c r="I72" s="3"/>
      <c r="J72" s="3" t="s">
        <v>91</v>
      </c>
      <c r="K72" s="3" t="s">
        <v>134</v>
      </c>
      <c r="L72" s="3" t="s">
        <v>24</v>
      </c>
      <c r="M72" s="3">
        <v>28</v>
      </c>
      <c r="N72" s="6"/>
      <c r="O72" s="3">
        <v>7</v>
      </c>
      <c r="P72" s="3">
        <v>2</v>
      </c>
      <c r="Q72" s="3">
        <v>0</v>
      </c>
      <c r="R72" s="3">
        <v>0</v>
      </c>
      <c r="S72" s="3">
        <v>2</v>
      </c>
      <c r="T72" s="3">
        <v>0</v>
      </c>
      <c r="U72" s="3">
        <v>0</v>
      </c>
      <c r="V72" s="3">
        <f t="shared" ref="V72:V135" si="17">SUM(Q72:U72)</f>
        <v>2</v>
      </c>
      <c r="W72" s="3">
        <v>0</v>
      </c>
      <c r="X72" s="3">
        <v>0</v>
      </c>
      <c r="Y72" s="3">
        <v>2</v>
      </c>
      <c r="Z72" s="3">
        <v>0</v>
      </c>
      <c r="AA72" s="3">
        <v>0</v>
      </c>
      <c r="AB72" s="3">
        <f t="shared" ref="AB72:AB135" si="18">SUM(W72:AA72)</f>
        <v>2</v>
      </c>
      <c r="AC72" s="6">
        <f t="shared" si="11"/>
        <v>0</v>
      </c>
      <c r="AD72" s="6">
        <f t="shared" si="12"/>
        <v>7</v>
      </c>
      <c r="AE72" s="6">
        <f t="shared" si="13"/>
        <v>-2</v>
      </c>
      <c r="AF72" s="6">
        <f t="shared" si="14"/>
        <v>0</v>
      </c>
      <c r="AG72" s="6">
        <f t="shared" si="15"/>
        <v>0</v>
      </c>
      <c r="AH72" s="6">
        <f t="shared" ref="AH72:AH135" si="19">AQ72-AB72</f>
        <v>5</v>
      </c>
      <c r="AI72" s="3"/>
      <c r="AJ72" s="3" t="e">
        <f>_xlfn.XLOOKUP(K72,工作表1!A:A,工作表1!C:C)</f>
        <v>#N/A</v>
      </c>
      <c r="AK72" s="3"/>
      <c r="AL72" s="6">
        <f t="shared" ref="AL72:AL135" si="20">SUM(AR72:AV72)</f>
        <v>0</v>
      </c>
      <c r="AM72" s="6">
        <f t="shared" ref="AM72:AM135" si="21">SUM(AW72:AZ72)</f>
        <v>7</v>
      </c>
      <c r="AN72" s="6">
        <f t="shared" ref="AN72:AN135" si="22">SUM(BA72:BE72)</f>
        <v>0</v>
      </c>
      <c r="AO72" s="6">
        <f t="shared" ref="AO72:AO135" si="23">SUM(BF72:BI72)</f>
        <v>0</v>
      </c>
      <c r="AP72" s="6">
        <f t="shared" ref="AP72:AP135" si="24">SUM(BJ72:BN72)</f>
        <v>0</v>
      </c>
      <c r="AQ72" s="6">
        <f t="shared" ref="AQ72:AQ135" si="25">SUM(AL72:AP72)</f>
        <v>7</v>
      </c>
      <c r="AR72" s="6"/>
      <c r="AS72" s="6"/>
      <c r="AT72" s="6"/>
      <c r="AU72" s="6"/>
      <c r="AV72" s="6"/>
      <c r="AW72" s="6">
        <v>7</v>
      </c>
      <c r="AX72" s="6"/>
      <c r="AY72" s="6"/>
      <c r="AZ72" s="6"/>
      <c r="BA72" s="6"/>
      <c r="BB72" s="6"/>
      <c r="BC72" s="6"/>
      <c r="BD72" s="6"/>
      <c r="BE72" s="6"/>
      <c r="BF72" s="6"/>
      <c r="BG72" s="6"/>
      <c r="BH72" s="6"/>
      <c r="BI72" s="6"/>
      <c r="BJ72" s="6"/>
      <c r="BK72" s="6"/>
      <c r="BL72" s="6"/>
      <c r="BM72" s="6"/>
      <c r="BN72" s="6"/>
      <c r="BO72" s="6"/>
      <c r="BP72" s="3">
        <v>2</v>
      </c>
      <c r="BQ72" s="6">
        <f t="shared" si="16"/>
        <v>7</v>
      </c>
      <c r="BR72">
        <v>7</v>
      </c>
    </row>
    <row r="73" spans="1:74" x14ac:dyDescent="0.3">
      <c r="A73" s="3" t="s">
        <v>17</v>
      </c>
      <c r="B73" s="3">
        <v>303</v>
      </c>
      <c r="C73" s="3" t="s">
        <v>135</v>
      </c>
      <c r="D73" s="3">
        <v>8</v>
      </c>
      <c r="E73" s="3" t="s">
        <v>19</v>
      </c>
      <c r="F73" s="3" t="s">
        <v>20</v>
      </c>
      <c r="G73" s="3" t="s">
        <v>19</v>
      </c>
      <c r="H73" s="3" t="s">
        <v>21</v>
      </c>
      <c r="I73" s="3">
        <v>8.18</v>
      </c>
      <c r="J73" s="3" t="s">
        <v>91</v>
      </c>
      <c r="K73" s="3" t="s">
        <v>136</v>
      </c>
      <c r="L73" s="3" t="s">
        <v>24</v>
      </c>
      <c r="M73" s="3">
        <v>73</v>
      </c>
      <c r="N73" s="6"/>
      <c r="O73" s="3">
        <v>17</v>
      </c>
      <c r="P73" s="3">
        <v>17</v>
      </c>
      <c r="Q73" s="3">
        <v>0</v>
      </c>
      <c r="R73" s="3">
        <v>0</v>
      </c>
      <c r="S73" s="3">
        <v>0</v>
      </c>
      <c r="T73" s="3">
        <v>17</v>
      </c>
      <c r="U73" s="3">
        <v>0</v>
      </c>
      <c r="V73" s="3">
        <f t="shared" si="17"/>
        <v>17</v>
      </c>
      <c r="W73" s="3">
        <v>0</v>
      </c>
      <c r="X73" s="3">
        <v>0</v>
      </c>
      <c r="Y73" s="3">
        <v>0</v>
      </c>
      <c r="Z73" s="3">
        <v>17</v>
      </c>
      <c r="AA73" s="3">
        <v>0</v>
      </c>
      <c r="AB73" s="3">
        <f t="shared" si="18"/>
        <v>17</v>
      </c>
      <c r="AC73" s="6">
        <f t="shared" si="11"/>
        <v>0</v>
      </c>
      <c r="AD73" s="6">
        <f t="shared" si="12"/>
        <v>0</v>
      </c>
      <c r="AE73" s="6">
        <f t="shared" si="13"/>
        <v>0</v>
      </c>
      <c r="AF73" s="6">
        <f t="shared" si="14"/>
        <v>0</v>
      </c>
      <c r="AG73" s="6">
        <f t="shared" si="15"/>
        <v>0</v>
      </c>
      <c r="AH73" s="6">
        <f t="shared" si="19"/>
        <v>0</v>
      </c>
      <c r="AI73" s="3"/>
      <c r="AJ73" s="3" t="e">
        <f>_xlfn.XLOOKUP(K73,工作表1!A:A,工作表1!C:C)</f>
        <v>#N/A</v>
      </c>
      <c r="AK73" s="3"/>
      <c r="AL73" s="6">
        <f t="shared" si="20"/>
        <v>0</v>
      </c>
      <c r="AM73" s="6">
        <f t="shared" si="21"/>
        <v>0</v>
      </c>
      <c r="AN73" s="6">
        <f t="shared" si="22"/>
        <v>0</v>
      </c>
      <c r="AO73" s="6">
        <f t="shared" si="23"/>
        <v>17</v>
      </c>
      <c r="AP73" s="6">
        <f t="shared" si="24"/>
        <v>0</v>
      </c>
      <c r="AQ73" s="6">
        <f t="shared" si="25"/>
        <v>17</v>
      </c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  <c r="BC73" s="6"/>
      <c r="BD73" s="6"/>
      <c r="BE73" s="6"/>
      <c r="BF73" s="6"/>
      <c r="BG73" s="21">
        <v>5</v>
      </c>
      <c r="BH73" s="6">
        <v>12</v>
      </c>
      <c r="BI73" s="6"/>
      <c r="BJ73" s="6"/>
      <c r="BK73" s="6"/>
      <c r="BL73" s="6"/>
      <c r="BM73" s="6"/>
      <c r="BN73" s="6"/>
      <c r="BO73" s="6"/>
      <c r="BP73" s="3">
        <v>17</v>
      </c>
      <c r="BQ73" s="6">
        <f t="shared" si="16"/>
        <v>17</v>
      </c>
      <c r="BT73">
        <v>5</v>
      </c>
      <c r="BV73">
        <v>12</v>
      </c>
    </row>
    <row r="74" spans="1:74" x14ac:dyDescent="0.3">
      <c r="A74" s="3" t="s">
        <v>17</v>
      </c>
      <c r="B74" s="3">
        <v>303</v>
      </c>
      <c r="C74" s="3" t="s">
        <v>135</v>
      </c>
      <c r="D74" s="3">
        <v>6</v>
      </c>
      <c r="E74" s="3" t="s">
        <v>19</v>
      </c>
      <c r="F74" s="3" t="s">
        <v>20</v>
      </c>
      <c r="G74" s="3" t="s">
        <v>19</v>
      </c>
      <c r="H74" s="3" t="s">
        <v>28</v>
      </c>
      <c r="I74" s="3">
        <v>7.11</v>
      </c>
      <c r="J74" s="3" t="s">
        <v>91</v>
      </c>
      <c r="K74" s="3" t="s">
        <v>137</v>
      </c>
      <c r="L74" s="3" t="s">
        <v>24</v>
      </c>
      <c r="M74" s="3">
        <v>115</v>
      </c>
      <c r="N74" s="6"/>
      <c r="O74" s="3">
        <v>38</v>
      </c>
      <c r="P74" s="3">
        <v>38</v>
      </c>
      <c r="Q74" s="3">
        <v>0</v>
      </c>
      <c r="R74" s="3">
        <v>6</v>
      </c>
      <c r="S74" s="3">
        <v>0</v>
      </c>
      <c r="T74" s="3">
        <v>32</v>
      </c>
      <c r="U74" s="3">
        <v>0</v>
      </c>
      <c r="V74" s="3">
        <f t="shared" si="17"/>
        <v>38</v>
      </c>
      <c r="W74" s="3">
        <v>0</v>
      </c>
      <c r="X74" s="3">
        <v>6</v>
      </c>
      <c r="Y74" s="3">
        <v>0</v>
      </c>
      <c r="Z74" s="3">
        <v>32</v>
      </c>
      <c r="AA74" s="3">
        <v>0</v>
      </c>
      <c r="AB74" s="3">
        <f t="shared" si="18"/>
        <v>38</v>
      </c>
      <c r="AC74" s="6">
        <f t="shared" si="11"/>
        <v>0</v>
      </c>
      <c r="AD74" s="6">
        <f t="shared" si="12"/>
        <v>0</v>
      </c>
      <c r="AE74" s="6">
        <f t="shared" si="13"/>
        <v>0</v>
      </c>
      <c r="AF74" s="6">
        <f t="shared" si="14"/>
        <v>0</v>
      </c>
      <c r="AG74" s="6">
        <f t="shared" si="15"/>
        <v>0</v>
      </c>
      <c r="AH74" s="6">
        <f t="shared" si="19"/>
        <v>0</v>
      </c>
      <c r="AI74" s="3"/>
      <c r="AJ74" s="3" t="e">
        <f>_xlfn.XLOOKUP(K74,工作表1!A:A,工作表1!C:C)</f>
        <v>#N/A</v>
      </c>
      <c r="AK74" s="3"/>
      <c r="AL74" s="6">
        <f t="shared" si="20"/>
        <v>0</v>
      </c>
      <c r="AM74" s="6">
        <f t="shared" si="21"/>
        <v>6</v>
      </c>
      <c r="AN74" s="6">
        <f t="shared" si="22"/>
        <v>0</v>
      </c>
      <c r="AO74" s="6">
        <f t="shared" si="23"/>
        <v>32</v>
      </c>
      <c r="AP74" s="6">
        <f t="shared" si="24"/>
        <v>0</v>
      </c>
      <c r="AQ74" s="6">
        <f t="shared" si="25"/>
        <v>38</v>
      </c>
      <c r="AR74" s="6"/>
      <c r="AS74" s="6"/>
      <c r="AT74" s="6"/>
      <c r="AU74" s="6"/>
      <c r="AV74" s="6"/>
      <c r="AW74" s="6"/>
      <c r="AX74" s="21">
        <v>6</v>
      </c>
      <c r="AY74" s="6"/>
      <c r="AZ74" s="6"/>
      <c r="BA74" s="6"/>
      <c r="BB74" s="6"/>
      <c r="BC74" s="6"/>
      <c r="BD74" s="6"/>
      <c r="BE74" s="6"/>
      <c r="BF74" s="6"/>
      <c r="BG74" s="21">
        <v>29</v>
      </c>
      <c r="BH74" s="6">
        <v>3</v>
      </c>
      <c r="BI74" s="6"/>
      <c r="BJ74" s="6"/>
      <c r="BK74" s="6"/>
      <c r="BL74" s="6"/>
      <c r="BM74" s="6"/>
      <c r="BN74" s="6"/>
      <c r="BO74" s="6"/>
      <c r="BP74" s="3">
        <v>38</v>
      </c>
      <c r="BQ74" s="6">
        <f t="shared" si="16"/>
        <v>38</v>
      </c>
      <c r="BT74">
        <v>35</v>
      </c>
      <c r="BV74">
        <v>3</v>
      </c>
    </row>
    <row r="75" spans="1:74" x14ac:dyDescent="0.3">
      <c r="A75" s="3" t="s">
        <v>17</v>
      </c>
      <c r="B75" s="3">
        <v>303</v>
      </c>
      <c r="C75" s="3" t="s">
        <v>135</v>
      </c>
      <c r="D75" s="3">
        <v>4</v>
      </c>
      <c r="E75" s="3" t="s">
        <v>19</v>
      </c>
      <c r="F75" s="3" t="s">
        <v>20</v>
      </c>
      <c r="G75" s="3" t="s">
        <v>19</v>
      </c>
      <c r="H75" s="3" t="s">
        <v>30</v>
      </c>
      <c r="I75" s="3">
        <v>6.02</v>
      </c>
      <c r="J75" s="3" t="s">
        <v>91</v>
      </c>
      <c r="K75" s="3" t="s">
        <v>138</v>
      </c>
      <c r="L75" s="3" t="s">
        <v>24</v>
      </c>
      <c r="M75" s="3">
        <v>119</v>
      </c>
      <c r="N75" s="6"/>
      <c r="O75" s="3">
        <v>47</v>
      </c>
      <c r="P75" s="3">
        <v>47</v>
      </c>
      <c r="Q75" s="3">
        <v>0</v>
      </c>
      <c r="R75" s="3">
        <v>15</v>
      </c>
      <c r="S75" s="3">
        <v>3</v>
      </c>
      <c r="T75" s="3">
        <v>29</v>
      </c>
      <c r="U75" s="3">
        <v>0</v>
      </c>
      <c r="V75" s="3">
        <f t="shared" si="17"/>
        <v>47</v>
      </c>
      <c r="W75" s="3">
        <v>0</v>
      </c>
      <c r="X75" s="3">
        <v>15</v>
      </c>
      <c r="Y75" s="3">
        <v>3</v>
      </c>
      <c r="Z75" s="3">
        <v>29</v>
      </c>
      <c r="AA75" s="3">
        <v>0</v>
      </c>
      <c r="AB75" s="3">
        <f t="shared" si="18"/>
        <v>47</v>
      </c>
      <c r="AC75" s="6">
        <f t="shared" si="11"/>
        <v>0</v>
      </c>
      <c r="AD75" s="6">
        <f t="shared" si="12"/>
        <v>0</v>
      </c>
      <c r="AE75" s="6">
        <f t="shared" si="13"/>
        <v>0</v>
      </c>
      <c r="AF75" s="6">
        <f t="shared" si="14"/>
        <v>0</v>
      </c>
      <c r="AG75" s="6">
        <f t="shared" si="15"/>
        <v>0</v>
      </c>
      <c r="AH75" s="6">
        <f t="shared" si="19"/>
        <v>0</v>
      </c>
      <c r="AI75" s="3"/>
      <c r="AJ75" s="3" t="e">
        <f>_xlfn.XLOOKUP(K75,工作表1!A:A,工作表1!C:C)</f>
        <v>#N/A</v>
      </c>
      <c r="AK75" s="3"/>
      <c r="AL75" s="6">
        <f t="shared" si="20"/>
        <v>0</v>
      </c>
      <c r="AM75" s="6">
        <f t="shared" si="21"/>
        <v>15</v>
      </c>
      <c r="AN75" s="6">
        <f t="shared" si="22"/>
        <v>3</v>
      </c>
      <c r="AO75" s="6">
        <f t="shared" si="23"/>
        <v>29</v>
      </c>
      <c r="AP75" s="6">
        <f t="shared" si="24"/>
        <v>0</v>
      </c>
      <c r="AQ75" s="6">
        <f t="shared" si="25"/>
        <v>47</v>
      </c>
      <c r="AR75" s="6"/>
      <c r="AS75" s="6"/>
      <c r="AT75" s="6"/>
      <c r="AU75" s="6"/>
      <c r="AV75" s="6"/>
      <c r="AW75" s="6"/>
      <c r="AX75" s="21">
        <v>15</v>
      </c>
      <c r="AY75" s="6"/>
      <c r="AZ75" s="6"/>
      <c r="BA75" s="6"/>
      <c r="BB75" s="21">
        <v>3</v>
      </c>
      <c r="BC75" s="6"/>
      <c r="BD75" s="6"/>
      <c r="BE75" s="6"/>
      <c r="BF75" s="6"/>
      <c r="BG75" s="21">
        <v>19</v>
      </c>
      <c r="BH75" s="6">
        <v>10</v>
      </c>
      <c r="BI75" s="6"/>
      <c r="BJ75" s="6"/>
      <c r="BK75" s="6"/>
      <c r="BL75" s="6"/>
      <c r="BM75" s="6"/>
      <c r="BN75" s="6"/>
      <c r="BO75" s="6"/>
      <c r="BP75" s="3">
        <v>47</v>
      </c>
      <c r="BQ75" s="6">
        <f t="shared" si="16"/>
        <v>47</v>
      </c>
      <c r="BT75">
        <v>37</v>
      </c>
      <c r="BV75">
        <v>10</v>
      </c>
    </row>
    <row r="76" spans="1:74" x14ac:dyDescent="0.3">
      <c r="A76" s="3" t="s">
        <v>17</v>
      </c>
      <c r="B76" s="3">
        <v>303</v>
      </c>
      <c r="C76" s="3" t="s">
        <v>135</v>
      </c>
      <c r="D76" s="3">
        <v>3</v>
      </c>
      <c r="E76" s="3" t="s">
        <v>19</v>
      </c>
      <c r="F76" s="3" t="s">
        <v>20</v>
      </c>
      <c r="G76" s="3" t="s">
        <v>19</v>
      </c>
      <c r="H76" s="3" t="s">
        <v>32</v>
      </c>
      <c r="I76" s="3">
        <v>5.49</v>
      </c>
      <c r="J76" s="3" t="s">
        <v>91</v>
      </c>
      <c r="K76" s="3" t="s">
        <v>139</v>
      </c>
      <c r="L76" s="3" t="s">
        <v>24</v>
      </c>
      <c r="M76" s="3">
        <v>130</v>
      </c>
      <c r="N76" s="6"/>
      <c r="O76" s="3">
        <v>72</v>
      </c>
      <c r="P76" s="3">
        <v>72</v>
      </c>
      <c r="Q76" s="3">
        <v>0</v>
      </c>
      <c r="R76" s="3">
        <v>25</v>
      </c>
      <c r="S76" s="3">
        <v>3</v>
      </c>
      <c r="T76" s="3">
        <v>44</v>
      </c>
      <c r="U76" s="3">
        <v>0</v>
      </c>
      <c r="V76" s="3">
        <f t="shared" si="17"/>
        <v>72</v>
      </c>
      <c r="W76" s="3">
        <v>0</v>
      </c>
      <c r="X76" s="3">
        <v>25</v>
      </c>
      <c r="Y76" s="3">
        <v>3</v>
      </c>
      <c r="Z76" s="3">
        <v>44</v>
      </c>
      <c r="AA76" s="3">
        <v>0</v>
      </c>
      <c r="AB76" s="3">
        <f t="shared" si="18"/>
        <v>72</v>
      </c>
      <c r="AC76" s="6">
        <f t="shared" si="11"/>
        <v>0</v>
      </c>
      <c r="AD76" s="6">
        <f t="shared" si="12"/>
        <v>0</v>
      </c>
      <c r="AE76" s="6">
        <f t="shared" si="13"/>
        <v>0</v>
      </c>
      <c r="AF76" s="6">
        <f t="shared" si="14"/>
        <v>0</v>
      </c>
      <c r="AG76" s="6">
        <f t="shared" si="15"/>
        <v>0</v>
      </c>
      <c r="AH76" s="6">
        <f t="shared" si="19"/>
        <v>0</v>
      </c>
      <c r="AI76" s="3"/>
      <c r="AJ76" s="3" t="e">
        <f>_xlfn.XLOOKUP(K76,工作表1!A:A,工作表1!C:C)</f>
        <v>#N/A</v>
      </c>
      <c r="AK76" s="3"/>
      <c r="AL76" s="6">
        <f t="shared" si="20"/>
        <v>0</v>
      </c>
      <c r="AM76" s="6">
        <f t="shared" si="21"/>
        <v>25</v>
      </c>
      <c r="AN76" s="6">
        <f t="shared" si="22"/>
        <v>3</v>
      </c>
      <c r="AO76" s="6">
        <f t="shared" si="23"/>
        <v>44</v>
      </c>
      <c r="AP76" s="6">
        <f t="shared" si="24"/>
        <v>0</v>
      </c>
      <c r="AQ76" s="6">
        <f t="shared" si="25"/>
        <v>72</v>
      </c>
      <c r="AR76" s="6"/>
      <c r="AS76" s="6"/>
      <c r="AT76" s="6"/>
      <c r="AU76" s="6"/>
      <c r="AV76" s="6"/>
      <c r="AW76" s="6"/>
      <c r="AX76" s="21">
        <v>25</v>
      </c>
      <c r="AY76" s="6"/>
      <c r="AZ76" s="6"/>
      <c r="BA76" s="6"/>
      <c r="BB76" s="21">
        <v>3</v>
      </c>
      <c r="BC76" s="6"/>
      <c r="BD76" s="6"/>
      <c r="BE76" s="6"/>
      <c r="BF76" s="6"/>
      <c r="BG76" s="21">
        <v>14</v>
      </c>
      <c r="BH76" s="6">
        <v>30</v>
      </c>
      <c r="BI76" s="6"/>
      <c r="BJ76" s="6"/>
      <c r="BK76" s="6"/>
      <c r="BL76" s="6"/>
      <c r="BM76" s="6"/>
      <c r="BN76" s="6"/>
      <c r="BO76" s="6"/>
      <c r="BP76" s="3">
        <v>72</v>
      </c>
      <c r="BQ76" s="6">
        <f t="shared" si="16"/>
        <v>72</v>
      </c>
      <c r="BT76">
        <v>42</v>
      </c>
      <c r="BV76">
        <v>30</v>
      </c>
    </row>
    <row r="77" spans="1:74" x14ac:dyDescent="0.3">
      <c r="A77" s="3" t="s">
        <v>17</v>
      </c>
      <c r="B77" s="3">
        <v>303</v>
      </c>
      <c r="C77" s="3" t="s">
        <v>135</v>
      </c>
      <c r="D77" s="3">
        <v>2</v>
      </c>
      <c r="E77" s="3" t="s">
        <v>19</v>
      </c>
      <c r="F77" s="3" t="s">
        <v>25</v>
      </c>
      <c r="G77" s="3" t="s">
        <v>19</v>
      </c>
      <c r="H77" s="3" t="s">
        <v>34</v>
      </c>
      <c r="I77" s="3">
        <v>5.54</v>
      </c>
      <c r="J77" s="3" t="s">
        <v>91</v>
      </c>
      <c r="K77" s="3" t="s">
        <v>140</v>
      </c>
      <c r="L77" s="3" t="s">
        <v>24</v>
      </c>
      <c r="M77" s="3">
        <v>202</v>
      </c>
      <c r="N77" s="6"/>
      <c r="O77" s="3">
        <v>107</v>
      </c>
      <c r="P77" s="3">
        <v>107</v>
      </c>
      <c r="Q77" s="3">
        <v>0</v>
      </c>
      <c r="R77" s="3">
        <v>69</v>
      </c>
      <c r="S77" s="3">
        <v>8</v>
      </c>
      <c r="T77" s="3">
        <v>30</v>
      </c>
      <c r="U77" s="3">
        <v>0</v>
      </c>
      <c r="V77" s="3">
        <f t="shared" si="17"/>
        <v>107</v>
      </c>
      <c r="W77" s="3">
        <v>0</v>
      </c>
      <c r="X77" s="3">
        <v>69</v>
      </c>
      <c r="Y77" s="3">
        <v>8</v>
      </c>
      <c r="Z77" s="3">
        <v>30</v>
      </c>
      <c r="AA77" s="3">
        <v>0</v>
      </c>
      <c r="AB77" s="3">
        <f t="shared" si="18"/>
        <v>107</v>
      </c>
      <c r="AC77" s="6">
        <f t="shared" si="11"/>
        <v>0</v>
      </c>
      <c r="AD77" s="6">
        <f t="shared" si="12"/>
        <v>0</v>
      </c>
      <c r="AE77" s="6">
        <f t="shared" si="13"/>
        <v>0</v>
      </c>
      <c r="AF77" s="6">
        <f t="shared" si="14"/>
        <v>0</v>
      </c>
      <c r="AG77" s="6">
        <f t="shared" si="15"/>
        <v>0</v>
      </c>
      <c r="AH77" s="6">
        <f t="shared" si="19"/>
        <v>0</v>
      </c>
      <c r="AI77" s="3"/>
      <c r="AJ77" s="3" t="e">
        <f>_xlfn.XLOOKUP(K77,工作表1!A:A,工作表1!C:C)</f>
        <v>#N/A</v>
      </c>
      <c r="AK77" s="3"/>
      <c r="AL77" s="6">
        <f t="shared" si="20"/>
        <v>0</v>
      </c>
      <c r="AM77" s="6">
        <f t="shared" si="21"/>
        <v>69</v>
      </c>
      <c r="AN77" s="6">
        <f t="shared" si="22"/>
        <v>8</v>
      </c>
      <c r="AO77" s="6">
        <f t="shared" si="23"/>
        <v>30</v>
      </c>
      <c r="AP77" s="6">
        <f t="shared" si="24"/>
        <v>0</v>
      </c>
      <c r="AQ77" s="6">
        <f t="shared" si="25"/>
        <v>107</v>
      </c>
      <c r="AR77" s="6"/>
      <c r="AS77" s="6"/>
      <c r="AT77" s="6"/>
      <c r="AU77" s="6"/>
      <c r="AV77" s="6"/>
      <c r="AW77" s="21">
        <v>69</v>
      </c>
      <c r="AX77" s="6"/>
      <c r="AY77" s="6"/>
      <c r="AZ77" s="6"/>
      <c r="BA77" s="21">
        <v>8</v>
      </c>
      <c r="BB77" s="6"/>
      <c r="BC77" s="6"/>
      <c r="BD77" s="6"/>
      <c r="BE77" s="6"/>
      <c r="BF77" s="21">
        <v>30</v>
      </c>
      <c r="BG77" s="6"/>
      <c r="BH77" s="6"/>
      <c r="BI77" s="6"/>
      <c r="BJ77" s="6"/>
      <c r="BK77" s="6"/>
      <c r="BL77" s="6"/>
      <c r="BM77" s="6"/>
      <c r="BN77" s="6"/>
      <c r="BO77" s="6"/>
      <c r="BP77" s="3">
        <v>107</v>
      </c>
      <c r="BQ77" s="6">
        <f t="shared" si="16"/>
        <v>107</v>
      </c>
      <c r="BR77">
        <v>107</v>
      </c>
    </row>
    <row r="78" spans="1:74" x14ac:dyDescent="0.3">
      <c r="A78" s="3" t="s">
        <v>17</v>
      </c>
      <c r="B78" s="3">
        <v>303</v>
      </c>
      <c r="C78" s="3" t="s">
        <v>141</v>
      </c>
      <c r="D78" s="3">
        <v>6</v>
      </c>
      <c r="E78" s="3" t="s">
        <v>19</v>
      </c>
      <c r="F78" s="3" t="s">
        <v>41</v>
      </c>
      <c r="G78" s="3" t="s">
        <v>19</v>
      </c>
      <c r="H78" s="3" t="s">
        <v>42</v>
      </c>
      <c r="I78" s="3">
        <v>18.260000000000002</v>
      </c>
      <c r="J78" s="3" t="s">
        <v>91</v>
      </c>
      <c r="K78" s="3" t="s">
        <v>142</v>
      </c>
      <c r="L78" s="3" t="s">
        <v>24</v>
      </c>
      <c r="M78" s="3">
        <v>18</v>
      </c>
      <c r="N78" s="6"/>
      <c r="O78" s="3">
        <v>17</v>
      </c>
      <c r="P78" s="3">
        <v>17</v>
      </c>
      <c r="Q78" s="3">
        <v>0</v>
      </c>
      <c r="R78" s="3">
        <v>0</v>
      </c>
      <c r="S78" s="3">
        <v>14</v>
      </c>
      <c r="T78" s="3">
        <v>3</v>
      </c>
      <c r="U78" s="3">
        <v>0</v>
      </c>
      <c r="V78" s="3">
        <f t="shared" si="17"/>
        <v>17</v>
      </c>
      <c r="W78" s="3">
        <v>0</v>
      </c>
      <c r="X78" s="3">
        <v>0</v>
      </c>
      <c r="Y78" s="3">
        <v>14</v>
      </c>
      <c r="Z78" s="3">
        <v>3</v>
      </c>
      <c r="AA78" s="3">
        <v>0</v>
      </c>
      <c r="AB78" s="3">
        <f t="shared" si="18"/>
        <v>17</v>
      </c>
      <c r="AC78" s="6">
        <f t="shared" si="11"/>
        <v>0</v>
      </c>
      <c r="AD78" s="6">
        <f t="shared" si="12"/>
        <v>0</v>
      </c>
      <c r="AE78" s="6">
        <f t="shared" si="13"/>
        <v>-14</v>
      </c>
      <c r="AF78" s="6">
        <f t="shared" si="14"/>
        <v>-3</v>
      </c>
      <c r="AG78" s="6">
        <f t="shared" si="15"/>
        <v>0</v>
      </c>
      <c r="AH78" s="6">
        <f t="shared" si="19"/>
        <v>-17</v>
      </c>
      <c r="AI78" s="3"/>
      <c r="AJ78" s="3">
        <f>_xlfn.XLOOKUP(K78,工作表1!A:A,工作表1!C:C)</f>
        <v>2</v>
      </c>
      <c r="AK78" s="3" t="s">
        <v>1483</v>
      </c>
      <c r="AL78" s="6">
        <f t="shared" si="20"/>
        <v>0</v>
      </c>
      <c r="AM78" s="6">
        <f t="shared" si="21"/>
        <v>0</v>
      </c>
      <c r="AN78" s="6">
        <f t="shared" si="22"/>
        <v>0</v>
      </c>
      <c r="AO78" s="6">
        <f t="shared" si="23"/>
        <v>0</v>
      </c>
      <c r="AP78" s="6">
        <f t="shared" si="24"/>
        <v>0</v>
      </c>
      <c r="AQ78" s="6">
        <f t="shared" si="25"/>
        <v>0</v>
      </c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  <c r="BC78" s="6"/>
      <c r="BD78" s="6"/>
      <c r="BE78" s="6"/>
      <c r="BF78" s="6"/>
      <c r="BG78" s="6"/>
      <c r="BH78" s="6"/>
      <c r="BI78" s="6"/>
      <c r="BJ78" s="6"/>
      <c r="BK78" s="6"/>
      <c r="BL78" s="6"/>
      <c r="BM78" s="6"/>
      <c r="BN78" s="6"/>
      <c r="BO78" s="6"/>
      <c r="BP78" s="3">
        <v>17</v>
      </c>
      <c r="BQ78" s="6">
        <f t="shared" si="16"/>
        <v>0</v>
      </c>
    </row>
    <row r="79" spans="1:74" x14ac:dyDescent="0.3">
      <c r="A79" s="3" t="s">
        <v>17</v>
      </c>
      <c r="B79" s="3">
        <v>303</v>
      </c>
      <c r="C79" s="3" t="s">
        <v>141</v>
      </c>
      <c r="D79" s="3">
        <v>6</v>
      </c>
      <c r="E79" s="3" t="s">
        <v>19</v>
      </c>
      <c r="F79" s="3" t="s">
        <v>20</v>
      </c>
      <c r="G79" s="3" t="s">
        <v>19</v>
      </c>
      <c r="H79" s="3" t="s">
        <v>28</v>
      </c>
      <c r="I79" s="3">
        <v>7.11</v>
      </c>
      <c r="J79" s="3" t="s">
        <v>91</v>
      </c>
      <c r="K79" s="3" t="s">
        <v>143</v>
      </c>
      <c r="L79" s="3" t="s">
        <v>24</v>
      </c>
      <c r="M79" s="3">
        <v>18</v>
      </c>
      <c r="N79" s="6"/>
      <c r="O79" s="3">
        <v>5</v>
      </c>
      <c r="P79" s="3">
        <v>5</v>
      </c>
      <c r="Q79" s="3">
        <v>0</v>
      </c>
      <c r="R79" s="3">
        <v>0</v>
      </c>
      <c r="S79" s="3">
        <v>5</v>
      </c>
      <c r="T79" s="3">
        <v>0</v>
      </c>
      <c r="U79" s="3">
        <v>0</v>
      </c>
      <c r="V79" s="3">
        <f t="shared" si="17"/>
        <v>5</v>
      </c>
      <c r="W79" s="3">
        <v>0</v>
      </c>
      <c r="X79" s="3">
        <v>0</v>
      </c>
      <c r="Y79" s="3">
        <v>5</v>
      </c>
      <c r="Z79" s="3">
        <v>0</v>
      </c>
      <c r="AA79" s="3">
        <v>0</v>
      </c>
      <c r="AB79" s="3">
        <f t="shared" si="18"/>
        <v>5</v>
      </c>
      <c r="AC79" s="6">
        <f t="shared" si="11"/>
        <v>0</v>
      </c>
      <c r="AD79" s="6">
        <f t="shared" si="12"/>
        <v>0</v>
      </c>
      <c r="AE79" s="6">
        <f t="shared" si="13"/>
        <v>-5</v>
      </c>
      <c r="AF79" s="6">
        <f t="shared" si="14"/>
        <v>0</v>
      </c>
      <c r="AG79" s="6">
        <f t="shared" si="15"/>
        <v>0</v>
      </c>
      <c r="AH79" s="6">
        <f t="shared" si="19"/>
        <v>-5</v>
      </c>
      <c r="AI79" s="3"/>
      <c r="AJ79" s="3" t="e">
        <f>_xlfn.XLOOKUP(K79,工作表1!A:A,工作表1!C:C)</f>
        <v>#N/A</v>
      </c>
      <c r="AK79" s="3"/>
      <c r="AL79" s="6">
        <f t="shared" si="20"/>
        <v>0</v>
      </c>
      <c r="AM79" s="6">
        <f t="shared" si="21"/>
        <v>0</v>
      </c>
      <c r="AN79" s="6">
        <f t="shared" si="22"/>
        <v>0</v>
      </c>
      <c r="AO79" s="6">
        <f t="shared" si="23"/>
        <v>0</v>
      </c>
      <c r="AP79" s="6">
        <f t="shared" si="24"/>
        <v>0</v>
      </c>
      <c r="AQ79" s="6">
        <f t="shared" si="25"/>
        <v>0</v>
      </c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  <c r="BC79" s="6"/>
      <c r="BD79" s="6"/>
      <c r="BE79" s="6"/>
      <c r="BF79" s="6"/>
      <c r="BG79" s="6"/>
      <c r="BH79" s="6"/>
      <c r="BI79" s="6"/>
      <c r="BJ79" s="6"/>
      <c r="BK79" s="6"/>
      <c r="BL79" s="6"/>
      <c r="BM79" s="6"/>
      <c r="BN79" s="6"/>
      <c r="BO79" s="6"/>
      <c r="BP79" s="3">
        <v>5</v>
      </c>
      <c r="BQ79" s="6">
        <f t="shared" si="16"/>
        <v>0</v>
      </c>
    </row>
    <row r="80" spans="1:74" x14ac:dyDescent="0.3">
      <c r="A80" s="3" t="s">
        <v>17</v>
      </c>
      <c r="B80" s="3">
        <v>303</v>
      </c>
      <c r="C80" s="3" t="s">
        <v>141</v>
      </c>
      <c r="D80" s="3">
        <v>4</v>
      </c>
      <c r="E80" s="3" t="s">
        <v>19</v>
      </c>
      <c r="F80" s="3" t="s">
        <v>45</v>
      </c>
      <c r="G80" s="3" t="s">
        <v>19</v>
      </c>
      <c r="H80" s="3" t="s">
        <v>46</v>
      </c>
      <c r="I80" s="3">
        <v>11.13</v>
      </c>
      <c r="J80" s="3" t="s">
        <v>91</v>
      </c>
      <c r="K80" s="3" t="s">
        <v>144</v>
      </c>
      <c r="L80" s="3" t="s">
        <v>24</v>
      </c>
      <c r="M80" s="3">
        <v>6</v>
      </c>
      <c r="N80" s="6"/>
      <c r="O80" s="3">
        <v>6</v>
      </c>
      <c r="P80" s="3">
        <v>6</v>
      </c>
      <c r="Q80" s="3">
        <v>0</v>
      </c>
      <c r="R80" s="3">
        <v>0</v>
      </c>
      <c r="S80" s="3">
        <v>0</v>
      </c>
      <c r="T80" s="3">
        <v>6</v>
      </c>
      <c r="U80" s="3">
        <v>0</v>
      </c>
      <c r="V80" s="3">
        <f t="shared" si="17"/>
        <v>6</v>
      </c>
      <c r="W80" s="3">
        <v>0</v>
      </c>
      <c r="X80" s="3">
        <v>0</v>
      </c>
      <c r="Y80" s="3">
        <v>0</v>
      </c>
      <c r="Z80" s="3">
        <v>6</v>
      </c>
      <c r="AA80" s="3">
        <v>0</v>
      </c>
      <c r="AB80" s="3">
        <f t="shared" si="18"/>
        <v>6</v>
      </c>
      <c r="AC80" s="6">
        <f t="shared" si="11"/>
        <v>0</v>
      </c>
      <c r="AD80" s="6">
        <f t="shared" si="12"/>
        <v>0</v>
      </c>
      <c r="AE80" s="6">
        <f t="shared" si="13"/>
        <v>0</v>
      </c>
      <c r="AF80" s="6">
        <f t="shared" si="14"/>
        <v>-6</v>
      </c>
      <c r="AG80" s="6">
        <f t="shared" si="15"/>
        <v>0</v>
      </c>
      <c r="AH80" s="6">
        <f t="shared" si="19"/>
        <v>-6</v>
      </c>
      <c r="AI80" s="3"/>
      <c r="AJ80" s="3" t="e">
        <f>_xlfn.XLOOKUP(K80,工作表1!A:A,工作表1!C:C)</f>
        <v>#N/A</v>
      </c>
      <c r="AK80" s="3"/>
      <c r="AL80" s="6">
        <f t="shared" si="20"/>
        <v>0</v>
      </c>
      <c r="AM80" s="6">
        <f t="shared" si="21"/>
        <v>0</v>
      </c>
      <c r="AN80" s="6">
        <f t="shared" si="22"/>
        <v>0</v>
      </c>
      <c r="AO80" s="6">
        <f t="shared" si="23"/>
        <v>0</v>
      </c>
      <c r="AP80" s="6">
        <f t="shared" si="24"/>
        <v>0</v>
      </c>
      <c r="AQ80" s="6">
        <f t="shared" si="25"/>
        <v>0</v>
      </c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  <c r="BC80" s="6"/>
      <c r="BD80" s="6"/>
      <c r="BE80" s="6"/>
      <c r="BF80" s="6"/>
      <c r="BG80" s="6"/>
      <c r="BH80" s="6"/>
      <c r="BI80" s="6"/>
      <c r="BJ80" s="6"/>
      <c r="BK80" s="6"/>
      <c r="BL80" s="6"/>
      <c r="BM80" s="6"/>
      <c r="BN80" s="6"/>
      <c r="BO80" s="6"/>
      <c r="BP80" s="3">
        <v>6</v>
      </c>
      <c r="BQ80" s="6">
        <f t="shared" si="16"/>
        <v>0</v>
      </c>
    </row>
    <row r="81" spans="1:74" x14ac:dyDescent="0.3">
      <c r="A81" s="3" t="s">
        <v>17</v>
      </c>
      <c r="B81" s="3">
        <v>303</v>
      </c>
      <c r="C81" s="3" t="s">
        <v>141</v>
      </c>
      <c r="D81" s="3">
        <v>4</v>
      </c>
      <c r="E81" s="3" t="s">
        <v>19</v>
      </c>
      <c r="F81" s="3" t="s">
        <v>20</v>
      </c>
      <c r="G81" s="3" t="s">
        <v>19</v>
      </c>
      <c r="H81" s="3" t="s">
        <v>30</v>
      </c>
      <c r="I81" s="3">
        <v>6.02</v>
      </c>
      <c r="J81" s="3" t="s">
        <v>91</v>
      </c>
      <c r="K81" s="3" t="s">
        <v>145</v>
      </c>
      <c r="L81" s="3" t="s">
        <v>24</v>
      </c>
      <c r="M81" s="3">
        <v>54</v>
      </c>
      <c r="N81" s="6"/>
      <c r="O81" s="3">
        <v>3</v>
      </c>
      <c r="P81" s="3">
        <v>3</v>
      </c>
      <c r="Q81" s="3">
        <v>0</v>
      </c>
      <c r="R81" s="3">
        <v>0</v>
      </c>
      <c r="S81" s="3">
        <v>3</v>
      </c>
      <c r="T81" s="3">
        <v>0</v>
      </c>
      <c r="U81" s="3">
        <v>0</v>
      </c>
      <c r="V81" s="3">
        <f t="shared" si="17"/>
        <v>3</v>
      </c>
      <c r="W81" s="3">
        <v>0</v>
      </c>
      <c r="X81" s="3">
        <v>0</v>
      </c>
      <c r="Y81" s="3">
        <v>3</v>
      </c>
      <c r="Z81" s="3">
        <v>0</v>
      </c>
      <c r="AA81" s="3">
        <v>0</v>
      </c>
      <c r="AB81" s="3">
        <f t="shared" si="18"/>
        <v>3</v>
      </c>
      <c r="AC81" s="6">
        <f t="shared" si="11"/>
        <v>0</v>
      </c>
      <c r="AD81" s="6">
        <f t="shared" si="12"/>
        <v>0</v>
      </c>
      <c r="AE81" s="6">
        <f t="shared" si="13"/>
        <v>-3</v>
      </c>
      <c r="AF81" s="6">
        <f t="shared" si="14"/>
        <v>0</v>
      </c>
      <c r="AG81" s="6">
        <f t="shared" si="15"/>
        <v>0</v>
      </c>
      <c r="AH81" s="6">
        <f t="shared" si="19"/>
        <v>-3</v>
      </c>
      <c r="AI81" s="3"/>
      <c r="AJ81" s="3" t="e">
        <f>_xlfn.XLOOKUP(K81,工作表1!A:A,工作表1!C:C)</f>
        <v>#N/A</v>
      </c>
      <c r="AK81" s="3"/>
      <c r="AL81" s="6">
        <f t="shared" si="20"/>
        <v>0</v>
      </c>
      <c r="AM81" s="6">
        <f t="shared" si="21"/>
        <v>0</v>
      </c>
      <c r="AN81" s="6">
        <f t="shared" si="22"/>
        <v>0</v>
      </c>
      <c r="AO81" s="6">
        <f t="shared" si="23"/>
        <v>0</v>
      </c>
      <c r="AP81" s="6">
        <f t="shared" si="24"/>
        <v>0</v>
      </c>
      <c r="AQ81" s="6">
        <f t="shared" si="25"/>
        <v>0</v>
      </c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  <c r="BC81" s="6"/>
      <c r="BD81" s="6"/>
      <c r="BE81" s="6"/>
      <c r="BF81" s="6"/>
      <c r="BG81" s="6"/>
      <c r="BH81" s="6"/>
      <c r="BI81" s="6"/>
      <c r="BJ81" s="6"/>
      <c r="BK81" s="6"/>
      <c r="BL81" s="6"/>
      <c r="BM81" s="6"/>
      <c r="BN81" s="6"/>
      <c r="BO81" s="6"/>
      <c r="BP81" s="3">
        <v>3</v>
      </c>
      <c r="BQ81" s="6">
        <f t="shared" si="16"/>
        <v>0</v>
      </c>
    </row>
    <row r="82" spans="1:74" x14ac:dyDescent="0.3">
      <c r="A82" s="3" t="s">
        <v>17</v>
      </c>
      <c r="B82" s="3">
        <v>303</v>
      </c>
      <c r="C82" s="3" t="s">
        <v>141</v>
      </c>
      <c r="D82" s="3">
        <v>3</v>
      </c>
      <c r="E82" s="3" t="s">
        <v>19</v>
      </c>
      <c r="F82" s="3" t="s">
        <v>20</v>
      </c>
      <c r="G82" s="3" t="s">
        <v>19</v>
      </c>
      <c r="H82" s="3" t="s">
        <v>32</v>
      </c>
      <c r="I82" s="3">
        <v>5.49</v>
      </c>
      <c r="J82" s="3" t="s">
        <v>91</v>
      </c>
      <c r="K82" s="3" t="s">
        <v>146</v>
      </c>
      <c r="L82" s="3" t="s">
        <v>24</v>
      </c>
      <c r="M82" s="3">
        <v>8</v>
      </c>
      <c r="N82" s="6"/>
      <c r="O82" s="3">
        <v>2</v>
      </c>
      <c r="P82" s="3">
        <v>2</v>
      </c>
      <c r="Q82" s="3">
        <v>0</v>
      </c>
      <c r="R82" s="3">
        <v>0</v>
      </c>
      <c r="S82" s="3">
        <v>2</v>
      </c>
      <c r="T82" s="3">
        <v>0</v>
      </c>
      <c r="U82" s="3">
        <v>0</v>
      </c>
      <c r="V82" s="3">
        <f t="shared" si="17"/>
        <v>2</v>
      </c>
      <c r="W82" s="3">
        <v>0</v>
      </c>
      <c r="X82" s="3">
        <v>0</v>
      </c>
      <c r="Y82" s="3">
        <v>2</v>
      </c>
      <c r="Z82" s="3">
        <v>0</v>
      </c>
      <c r="AA82" s="3">
        <v>0</v>
      </c>
      <c r="AB82" s="3">
        <f t="shared" si="18"/>
        <v>2</v>
      </c>
      <c r="AC82" s="6">
        <f t="shared" si="11"/>
        <v>0</v>
      </c>
      <c r="AD82" s="6">
        <f t="shared" si="12"/>
        <v>0</v>
      </c>
      <c r="AE82" s="6">
        <f t="shared" si="13"/>
        <v>0</v>
      </c>
      <c r="AF82" s="6">
        <f t="shared" si="14"/>
        <v>0</v>
      </c>
      <c r="AG82" s="6">
        <f t="shared" si="15"/>
        <v>0</v>
      </c>
      <c r="AH82" s="6">
        <f t="shared" si="19"/>
        <v>0</v>
      </c>
      <c r="AI82" s="3"/>
      <c r="AJ82" s="3" t="e">
        <f>_xlfn.XLOOKUP(K82,工作表1!A:A,工作表1!C:C)</f>
        <v>#N/A</v>
      </c>
      <c r="AK82" s="3"/>
      <c r="AL82" s="6">
        <f t="shared" si="20"/>
        <v>0</v>
      </c>
      <c r="AM82" s="6">
        <f t="shared" si="21"/>
        <v>0</v>
      </c>
      <c r="AN82" s="6">
        <f t="shared" si="22"/>
        <v>2</v>
      </c>
      <c r="AO82" s="6">
        <f t="shared" si="23"/>
        <v>0</v>
      </c>
      <c r="AP82" s="6">
        <f t="shared" si="24"/>
        <v>0</v>
      </c>
      <c r="AQ82" s="6">
        <f t="shared" si="25"/>
        <v>2</v>
      </c>
      <c r="AR82" s="6"/>
      <c r="AS82" s="6"/>
      <c r="AT82" s="6"/>
      <c r="AU82" s="6"/>
      <c r="AV82" s="6"/>
      <c r="AW82" s="6"/>
      <c r="AX82" s="21"/>
      <c r="AY82" s="6"/>
      <c r="AZ82" s="6"/>
      <c r="BA82" s="6"/>
      <c r="BB82" s="21">
        <v>2</v>
      </c>
      <c r="BC82" s="6"/>
      <c r="BD82" s="6"/>
      <c r="BE82" s="6"/>
      <c r="BF82" s="6"/>
      <c r="BG82" s="6"/>
      <c r="BH82" s="6"/>
      <c r="BI82" s="6"/>
      <c r="BJ82" s="6"/>
      <c r="BK82" s="6"/>
      <c r="BL82" s="6"/>
      <c r="BM82" s="6"/>
      <c r="BN82" s="6"/>
      <c r="BO82" s="6"/>
      <c r="BP82" s="3">
        <v>2</v>
      </c>
      <c r="BQ82" s="6">
        <f t="shared" si="16"/>
        <v>2</v>
      </c>
      <c r="BT82">
        <v>2</v>
      </c>
    </row>
    <row r="83" spans="1:74" x14ac:dyDescent="0.3">
      <c r="A83" s="3" t="s">
        <v>17</v>
      </c>
      <c r="B83" s="3">
        <v>303</v>
      </c>
      <c r="C83" s="3" t="s">
        <v>141</v>
      </c>
      <c r="D83" s="3">
        <v>2</v>
      </c>
      <c r="E83" s="3" t="s">
        <v>19</v>
      </c>
      <c r="F83" s="3" t="s">
        <v>41</v>
      </c>
      <c r="G83" s="3" t="s">
        <v>19</v>
      </c>
      <c r="H83" s="3" t="s">
        <v>54</v>
      </c>
      <c r="I83" s="3">
        <v>8.74</v>
      </c>
      <c r="J83" s="3" t="s">
        <v>91</v>
      </c>
      <c r="K83" s="3" t="s">
        <v>147</v>
      </c>
      <c r="L83" s="3" t="s">
        <v>24</v>
      </c>
      <c r="M83" s="3">
        <v>46</v>
      </c>
      <c r="N83" s="6"/>
      <c r="O83" s="3">
        <v>23</v>
      </c>
      <c r="P83" s="3">
        <v>23</v>
      </c>
      <c r="Q83" s="3">
        <v>0</v>
      </c>
      <c r="R83" s="3">
        <v>0</v>
      </c>
      <c r="S83" s="3">
        <v>23</v>
      </c>
      <c r="T83" s="3">
        <v>0</v>
      </c>
      <c r="U83" s="3">
        <v>0</v>
      </c>
      <c r="V83" s="3">
        <f t="shared" si="17"/>
        <v>23</v>
      </c>
      <c r="W83" s="3">
        <v>0</v>
      </c>
      <c r="X83" s="3">
        <v>0</v>
      </c>
      <c r="Y83" s="3">
        <v>23</v>
      </c>
      <c r="Z83" s="3">
        <v>0</v>
      </c>
      <c r="AA83" s="3">
        <v>0</v>
      </c>
      <c r="AB83" s="3">
        <f t="shared" si="18"/>
        <v>23</v>
      </c>
      <c r="AC83" s="6">
        <f t="shared" si="11"/>
        <v>0</v>
      </c>
      <c r="AD83" s="6">
        <f t="shared" si="12"/>
        <v>0</v>
      </c>
      <c r="AE83" s="6">
        <f t="shared" si="13"/>
        <v>0</v>
      </c>
      <c r="AF83" s="6">
        <f t="shared" si="14"/>
        <v>0</v>
      </c>
      <c r="AG83" s="6">
        <f t="shared" si="15"/>
        <v>0</v>
      </c>
      <c r="AH83" s="6">
        <f t="shared" si="19"/>
        <v>0</v>
      </c>
      <c r="AI83" s="3"/>
      <c r="AJ83" s="3" t="e">
        <f>_xlfn.XLOOKUP(K83,工作表1!A:A,工作表1!C:C)</f>
        <v>#N/A</v>
      </c>
      <c r="AK83" s="3"/>
      <c r="AL83" s="6">
        <f t="shared" si="20"/>
        <v>0</v>
      </c>
      <c r="AM83" s="6">
        <f t="shared" si="21"/>
        <v>0</v>
      </c>
      <c r="AN83" s="6">
        <f t="shared" si="22"/>
        <v>23</v>
      </c>
      <c r="AO83" s="6">
        <f t="shared" si="23"/>
        <v>0</v>
      </c>
      <c r="AP83" s="6">
        <f t="shared" si="24"/>
        <v>0</v>
      </c>
      <c r="AQ83" s="6">
        <f t="shared" si="25"/>
        <v>23</v>
      </c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  <c r="BC83" s="6"/>
      <c r="BD83" s="6">
        <v>23</v>
      </c>
      <c r="BE83" s="6"/>
      <c r="BF83" s="6"/>
      <c r="BG83" s="6"/>
      <c r="BH83" s="6"/>
      <c r="BI83" s="6"/>
      <c r="BJ83" s="6"/>
      <c r="BK83" s="6"/>
      <c r="BL83" s="6"/>
      <c r="BM83" s="6"/>
      <c r="BN83" s="6"/>
      <c r="BO83" s="6"/>
      <c r="BP83" s="3">
        <v>23</v>
      </c>
      <c r="BQ83" s="6">
        <f t="shared" si="16"/>
        <v>23</v>
      </c>
      <c r="BV83">
        <v>23</v>
      </c>
    </row>
    <row r="84" spans="1:74" x14ac:dyDescent="0.3">
      <c r="A84" s="3" t="s">
        <v>17</v>
      </c>
      <c r="B84" s="3">
        <v>303</v>
      </c>
      <c r="C84" s="3" t="s">
        <v>141</v>
      </c>
      <c r="D84" s="3">
        <v>2</v>
      </c>
      <c r="E84" s="3" t="s">
        <v>19</v>
      </c>
      <c r="F84" s="3" t="s">
        <v>25</v>
      </c>
      <c r="G84" s="3" t="s">
        <v>19</v>
      </c>
      <c r="H84" s="3" t="s">
        <v>34</v>
      </c>
      <c r="I84" s="3">
        <v>5.54</v>
      </c>
      <c r="J84" s="3" t="s">
        <v>91</v>
      </c>
      <c r="K84" s="3" t="s">
        <v>148</v>
      </c>
      <c r="L84" s="3" t="s">
        <v>24</v>
      </c>
      <c r="M84" s="3">
        <v>25</v>
      </c>
      <c r="N84" s="6"/>
      <c r="O84" s="3">
        <v>8</v>
      </c>
      <c r="P84" s="3">
        <v>8</v>
      </c>
      <c r="Q84" s="3">
        <v>0</v>
      </c>
      <c r="R84" s="3">
        <v>0</v>
      </c>
      <c r="S84" s="3">
        <v>8</v>
      </c>
      <c r="T84" s="3">
        <v>0</v>
      </c>
      <c r="U84" s="3">
        <v>0</v>
      </c>
      <c r="V84" s="3">
        <f t="shared" si="17"/>
        <v>8</v>
      </c>
      <c r="W84" s="3">
        <v>0</v>
      </c>
      <c r="X84" s="3">
        <v>0</v>
      </c>
      <c r="Y84" s="3">
        <v>8</v>
      </c>
      <c r="Z84" s="3">
        <v>0</v>
      </c>
      <c r="AA84" s="3">
        <v>0</v>
      </c>
      <c r="AB84" s="3">
        <f t="shared" si="18"/>
        <v>8</v>
      </c>
      <c r="AC84" s="6">
        <f t="shared" si="11"/>
        <v>0</v>
      </c>
      <c r="AD84" s="6">
        <f t="shared" si="12"/>
        <v>0</v>
      </c>
      <c r="AE84" s="6">
        <f t="shared" si="13"/>
        <v>0</v>
      </c>
      <c r="AF84" s="6">
        <f t="shared" si="14"/>
        <v>0</v>
      </c>
      <c r="AG84" s="6">
        <f t="shared" si="15"/>
        <v>0</v>
      </c>
      <c r="AH84" s="6">
        <f t="shared" si="19"/>
        <v>0</v>
      </c>
      <c r="AI84" s="3"/>
      <c r="AJ84" s="3" t="e">
        <f>_xlfn.XLOOKUP(K84,工作表1!A:A,工作表1!C:C)</f>
        <v>#N/A</v>
      </c>
      <c r="AK84" s="3"/>
      <c r="AL84" s="6">
        <f t="shared" si="20"/>
        <v>0</v>
      </c>
      <c r="AM84" s="6">
        <f t="shared" si="21"/>
        <v>0</v>
      </c>
      <c r="AN84" s="6">
        <f t="shared" si="22"/>
        <v>8</v>
      </c>
      <c r="AO84" s="6">
        <f t="shared" si="23"/>
        <v>0</v>
      </c>
      <c r="AP84" s="6">
        <f t="shared" si="24"/>
        <v>0</v>
      </c>
      <c r="AQ84" s="6">
        <f t="shared" si="25"/>
        <v>8</v>
      </c>
      <c r="AR84" s="6"/>
      <c r="AS84" s="6"/>
      <c r="AT84" s="6"/>
      <c r="AU84" s="6"/>
      <c r="AV84" s="6"/>
      <c r="AW84" s="21"/>
      <c r="AX84" s="6"/>
      <c r="AY84" s="6"/>
      <c r="AZ84" s="6"/>
      <c r="BA84" s="21">
        <v>8</v>
      </c>
      <c r="BB84" s="6"/>
      <c r="BC84" s="6"/>
      <c r="BD84" s="6"/>
      <c r="BE84" s="6"/>
      <c r="BF84" s="6"/>
      <c r="BG84" s="6"/>
      <c r="BH84" s="6"/>
      <c r="BI84" s="6"/>
      <c r="BJ84" s="6"/>
      <c r="BK84" s="6"/>
      <c r="BL84" s="6"/>
      <c r="BM84" s="6"/>
      <c r="BN84" s="6"/>
      <c r="BO84" s="6"/>
      <c r="BP84" s="3">
        <v>8</v>
      </c>
      <c r="BQ84" s="6">
        <f t="shared" si="16"/>
        <v>8</v>
      </c>
      <c r="BR84">
        <v>8</v>
      </c>
    </row>
    <row r="85" spans="1:74" x14ac:dyDescent="0.3">
      <c r="A85" s="3" t="s">
        <v>17</v>
      </c>
      <c r="B85" s="3">
        <v>303</v>
      </c>
      <c r="C85" s="3" t="s">
        <v>141</v>
      </c>
      <c r="D85" s="3">
        <v>1</v>
      </c>
      <c r="E85" s="3" t="s">
        <v>19</v>
      </c>
      <c r="F85" s="3" t="s">
        <v>41</v>
      </c>
      <c r="G85" s="3" t="s">
        <v>19</v>
      </c>
      <c r="H85" s="3" t="s">
        <v>59</v>
      </c>
      <c r="I85" s="3">
        <v>6.35</v>
      </c>
      <c r="J85" s="3" t="s">
        <v>91</v>
      </c>
      <c r="K85" s="3" t="s">
        <v>149</v>
      </c>
      <c r="L85" s="3" t="s">
        <v>24</v>
      </c>
      <c r="M85" s="3">
        <v>90</v>
      </c>
      <c r="N85" s="6"/>
      <c r="O85" s="3">
        <v>86</v>
      </c>
      <c r="P85" s="3">
        <v>86</v>
      </c>
      <c r="Q85" s="3">
        <v>0</v>
      </c>
      <c r="R85" s="3">
        <v>0</v>
      </c>
      <c r="S85" s="3">
        <v>0</v>
      </c>
      <c r="T85" s="3">
        <v>86</v>
      </c>
      <c r="U85" s="3">
        <v>0</v>
      </c>
      <c r="V85" s="3">
        <f t="shared" si="17"/>
        <v>86</v>
      </c>
      <c r="W85" s="3">
        <v>0</v>
      </c>
      <c r="X85" s="3">
        <v>0</v>
      </c>
      <c r="Y85" s="3">
        <v>0</v>
      </c>
      <c r="Z85" s="3">
        <v>86</v>
      </c>
      <c r="AA85" s="3">
        <v>0</v>
      </c>
      <c r="AB85" s="3">
        <f t="shared" si="18"/>
        <v>86</v>
      </c>
      <c r="AC85" s="6">
        <f t="shared" si="11"/>
        <v>0</v>
      </c>
      <c r="AD85" s="6">
        <f t="shared" si="12"/>
        <v>0</v>
      </c>
      <c r="AE85" s="6">
        <f t="shared" si="13"/>
        <v>0</v>
      </c>
      <c r="AF85" s="6">
        <f t="shared" si="14"/>
        <v>0</v>
      </c>
      <c r="AG85" s="6">
        <f t="shared" si="15"/>
        <v>0</v>
      </c>
      <c r="AH85" s="6">
        <f t="shared" si="19"/>
        <v>0</v>
      </c>
      <c r="AI85" s="3"/>
      <c r="AJ85" s="3" t="e">
        <f>_xlfn.XLOOKUP(K85,工作表1!A:A,工作表1!C:C)</f>
        <v>#N/A</v>
      </c>
      <c r="AK85" s="3"/>
      <c r="AL85" s="6">
        <f t="shared" si="20"/>
        <v>0</v>
      </c>
      <c r="AM85" s="6">
        <f t="shared" si="21"/>
        <v>0</v>
      </c>
      <c r="AN85" s="6">
        <f t="shared" si="22"/>
        <v>0</v>
      </c>
      <c r="AO85" s="6">
        <f t="shared" si="23"/>
        <v>86</v>
      </c>
      <c r="AP85" s="6">
        <f t="shared" si="24"/>
        <v>0</v>
      </c>
      <c r="AQ85" s="6">
        <f t="shared" si="25"/>
        <v>86</v>
      </c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  <c r="BC85" s="6"/>
      <c r="BD85" s="6"/>
      <c r="BE85" s="6"/>
      <c r="BF85" s="6"/>
      <c r="BG85" s="6"/>
      <c r="BH85" s="6">
        <v>86</v>
      </c>
      <c r="BI85" s="6"/>
      <c r="BJ85" s="6"/>
      <c r="BK85" s="6"/>
      <c r="BL85" s="6"/>
      <c r="BM85" s="6"/>
      <c r="BN85" s="6"/>
      <c r="BO85" s="6"/>
      <c r="BP85" s="3">
        <v>86</v>
      </c>
      <c r="BQ85" s="6">
        <f t="shared" si="16"/>
        <v>86</v>
      </c>
      <c r="BV85">
        <v>86</v>
      </c>
    </row>
    <row r="86" spans="1:74" x14ac:dyDescent="0.3">
      <c r="A86" s="3" t="s">
        <v>17</v>
      </c>
      <c r="B86" s="3">
        <v>303</v>
      </c>
      <c r="C86" s="3" t="s">
        <v>141</v>
      </c>
      <c r="D86" s="3">
        <v>0.75</v>
      </c>
      <c r="E86" s="3" t="s">
        <v>19</v>
      </c>
      <c r="F86" s="3" t="s">
        <v>63</v>
      </c>
      <c r="G86" s="3" t="s">
        <v>19</v>
      </c>
      <c r="H86" s="3" t="s">
        <v>64</v>
      </c>
      <c r="I86" s="3">
        <v>7.82</v>
      </c>
      <c r="J86" s="3" t="s">
        <v>91</v>
      </c>
      <c r="K86" s="3" t="s">
        <v>150</v>
      </c>
      <c r="L86" s="3" t="s">
        <v>24</v>
      </c>
      <c r="M86" s="3">
        <v>145</v>
      </c>
      <c r="N86" s="6"/>
      <c r="O86" s="3">
        <v>13</v>
      </c>
      <c r="P86" s="3">
        <v>13</v>
      </c>
      <c r="Q86" s="3">
        <v>0</v>
      </c>
      <c r="R86" s="3">
        <v>0</v>
      </c>
      <c r="S86" s="3">
        <v>13</v>
      </c>
      <c r="T86" s="3">
        <v>0</v>
      </c>
      <c r="U86" s="3">
        <v>0</v>
      </c>
      <c r="V86" s="3">
        <f t="shared" si="17"/>
        <v>13</v>
      </c>
      <c r="W86" s="3">
        <v>0</v>
      </c>
      <c r="X86" s="3">
        <v>0</v>
      </c>
      <c r="Y86" s="3">
        <v>13</v>
      </c>
      <c r="Z86" s="3">
        <v>0</v>
      </c>
      <c r="AA86" s="3">
        <v>0</v>
      </c>
      <c r="AB86" s="3">
        <f t="shared" si="18"/>
        <v>13</v>
      </c>
      <c r="AC86" s="6">
        <f t="shared" si="11"/>
        <v>0</v>
      </c>
      <c r="AD86" s="6">
        <f t="shared" si="12"/>
        <v>0</v>
      </c>
      <c r="AE86" s="6">
        <f t="shared" si="13"/>
        <v>0</v>
      </c>
      <c r="AF86" s="6">
        <f t="shared" si="14"/>
        <v>0</v>
      </c>
      <c r="AG86" s="6">
        <f t="shared" si="15"/>
        <v>0</v>
      </c>
      <c r="AH86" s="6">
        <f t="shared" si="19"/>
        <v>0</v>
      </c>
      <c r="AI86" s="3"/>
      <c r="AJ86" s="3" t="e">
        <f>_xlfn.XLOOKUP(K86,工作表1!A:A,工作表1!C:C)</f>
        <v>#N/A</v>
      </c>
      <c r="AK86" s="3"/>
      <c r="AL86" s="6">
        <f t="shared" si="20"/>
        <v>0</v>
      </c>
      <c r="AM86" s="6">
        <f t="shared" si="21"/>
        <v>0</v>
      </c>
      <c r="AN86" s="6">
        <f t="shared" si="22"/>
        <v>13</v>
      </c>
      <c r="AO86" s="6">
        <f t="shared" si="23"/>
        <v>0</v>
      </c>
      <c r="AP86" s="6">
        <f t="shared" si="24"/>
        <v>0</v>
      </c>
      <c r="AQ86" s="6">
        <f t="shared" si="25"/>
        <v>13</v>
      </c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  <c r="BC86" s="6"/>
      <c r="BD86" s="6">
        <v>13</v>
      </c>
      <c r="BE86" s="6"/>
      <c r="BF86" s="6"/>
      <c r="BG86" s="6"/>
      <c r="BH86" s="6"/>
      <c r="BI86" s="6"/>
      <c r="BJ86" s="6"/>
      <c r="BK86" s="6"/>
      <c r="BL86" s="6"/>
      <c r="BM86" s="6"/>
      <c r="BN86" s="6"/>
      <c r="BO86" s="6"/>
      <c r="BP86" s="3">
        <v>13</v>
      </c>
      <c r="BQ86" s="6">
        <f t="shared" si="16"/>
        <v>13</v>
      </c>
      <c r="BV86">
        <v>13</v>
      </c>
    </row>
    <row r="87" spans="1:74" x14ac:dyDescent="0.3">
      <c r="A87" s="3" t="s">
        <v>17</v>
      </c>
      <c r="B87" s="3">
        <v>303</v>
      </c>
      <c r="C87" s="3" t="s">
        <v>141</v>
      </c>
      <c r="D87" s="3">
        <v>0.5</v>
      </c>
      <c r="E87" s="3" t="s">
        <v>19</v>
      </c>
      <c r="F87" s="3" t="s">
        <v>41</v>
      </c>
      <c r="G87" s="3" t="s">
        <v>19</v>
      </c>
      <c r="H87" s="3" t="s">
        <v>66</v>
      </c>
      <c r="I87" s="3">
        <v>4.78</v>
      </c>
      <c r="J87" s="3" t="s">
        <v>91</v>
      </c>
      <c r="K87" s="3" t="s">
        <v>151</v>
      </c>
      <c r="L87" s="3" t="s">
        <v>24</v>
      </c>
      <c r="M87" s="3">
        <v>160</v>
      </c>
      <c r="N87" s="6"/>
      <c r="O87" s="3">
        <v>11</v>
      </c>
      <c r="P87" s="3">
        <v>11</v>
      </c>
      <c r="Q87" s="3">
        <v>0</v>
      </c>
      <c r="R87" s="3">
        <v>0</v>
      </c>
      <c r="S87" s="3">
        <v>8</v>
      </c>
      <c r="T87" s="3">
        <v>3</v>
      </c>
      <c r="U87" s="3">
        <v>0</v>
      </c>
      <c r="V87" s="3">
        <f t="shared" si="17"/>
        <v>11</v>
      </c>
      <c r="W87" s="3">
        <v>0</v>
      </c>
      <c r="X87" s="3">
        <v>0</v>
      </c>
      <c r="Y87" s="3">
        <v>8</v>
      </c>
      <c r="Z87" s="3">
        <v>3</v>
      </c>
      <c r="AA87" s="3">
        <v>0</v>
      </c>
      <c r="AB87" s="3">
        <f t="shared" si="18"/>
        <v>11</v>
      </c>
      <c r="AC87" s="6">
        <f t="shared" ref="AC87:AC150" si="26">AL87-W87</f>
        <v>0</v>
      </c>
      <c r="AD87" s="6">
        <f t="shared" ref="AD87:AD150" si="27">AM87-X87</f>
        <v>0</v>
      </c>
      <c r="AE87" s="6">
        <f t="shared" ref="AE87:AE150" si="28">AN87-Y87</f>
        <v>0</v>
      </c>
      <c r="AF87" s="6">
        <f t="shared" ref="AF87:AF150" si="29">AO87-Z87</f>
        <v>0</v>
      </c>
      <c r="AG87" s="6">
        <f t="shared" ref="AG87:AG150" si="30">AP87-AA87</f>
        <v>0</v>
      </c>
      <c r="AH87" s="6">
        <f t="shared" si="19"/>
        <v>0</v>
      </c>
      <c r="AI87" s="3"/>
      <c r="AJ87" s="3" t="e">
        <f>_xlfn.XLOOKUP(K87,工作表1!A:A,工作表1!C:C)</f>
        <v>#N/A</v>
      </c>
      <c r="AK87" s="3"/>
      <c r="AL87" s="6">
        <f t="shared" si="20"/>
        <v>0</v>
      </c>
      <c r="AM87" s="6">
        <f t="shared" si="21"/>
        <v>0</v>
      </c>
      <c r="AN87" s="6">
        <f t="shared" si="22"/>
        <v>8</v>
      </c>
      <c r="AO87" s="6">
        <f t="shared" si="23"/>
        <v>3</v>
      </c>
      <c r="AP87" s="6">
        <f t="shared" si="24"/>
        <v>0</v>
      </c>
      <c r="AQ87" s="6">
        <f t="shared" si="25"/>
        <v>11</v>
      </c>
      <c r="AR87" s="6"/>
      <c r="AS87" s="6"/>
      <c r="AT87" s="6"/>
      <c r="AU87" s="6"/>
      <c r="AV87" s="6"/>
      <c r="AW87" s="21"/>
      <c r="AX87" s="6"/>
      <c r="AY87" s="6"/>
      <c r="AZ87" s="6"/>
      <c r="BA87" s="21">
        <v>8</v>
      </c>
      <c r="BB87" s="6"/>
      <c r="BC87" s="6"/>
      <c r="BD87" s="6"/>
      <c r="BE87" s="6"/>
      <c r="BF87" s="21">
        <v>3</v>
      </c>
      <c r="BG87" s="6"/>
      <c r="BH87" s="6"/>
      <c r="BI87" s="6"/>
      <c r="BJ87" s="6"/>
      <c r="BK87" s="6"/>
      <c r="BL87" s="6"/>
      <c r="BM87" s="6"/>
      <c r="BN87" s="6"/>
      <c r="BO87" s="6"/>
      <c r="BP87" s="3">
        <v>11</v>
      </c>
      <c r="BQ87" s="6">
        <f t="shared" si="16"/>
        <v>11</v>
      </c>
      <c r="BR87">
        <v>11</v>
      </c>
    </row>
    <row r="88" spans="1:74" x14ac:dyDescent="0.3">
      <c r="A88" s="3" t="s">
        <v>17</v>
      </c>
      <c r="B88" s="3">
        <v>303</v>
      </c>
      <c r="C88" s="3" t="s">
        <v>152</v>
      </c>
      <c r="D88" s="3">
        <v>8</v>
      </c>
      <c r="E88" s="3" t="s">
        <v>19</v>
      </c>
      <c r="F88" s="3" t="s">
        <v>69</v>
      </c>
      <c r="G88" s="3" t="s">
        <v>19</v>
      </c>
      <c r="H88" s="3" t="s">
        <v>70</v>
      </c>
      <c r="I88" s="3">
        <v>20.62</v>
      </c>
      <c r="J88" s="3" t="s">
        <v>91</v>
      </c>
      <c r="K88" s="3" t="s">
        <v>153</v>
      </c>
      <c r="L88" s="3" t="s">
        <v>24</v>
      </c>
      <c r="M88" s="3">
        <v>3</v>
      </c>
      <c r="N88" s="6"/>
      <c r="O88" s="3">
        <v>3</v>
      </c>
      <c r="P88" s="3">
        <v>3</v>
      </c>
      <c r="Q88" s="3">
        <v>0</v>
      </c>
      <c r="R88" s="3">
        <v>0</v>
      </c>
      <c r="S88" s="3">
        <v>3</v>
      </c>
      <c r="T88" s="3">
        <v>0</v>
      </c>
      <c r="U88" s="3">
        <v>0</v>
      </c>
      <c r="V88" s="3">
        <f t="shared" si="17"/>
        <v>3</v>
      </c>
      <c r="W88" s="3">
        <v>0</v>
      </c>
      <c r="X88" s="3">
        <v>0</v>
      </c>
      <c r="Y88" s="3">
        <v>3</v>
      </c>
      <c r="Z88" s="3">
        <v>0</v>
      </c>
      <c r="AA88" s="3">
        <v>0</v>
      </c>
      <c r="AB88" s="3">
        <f t="shared" si="18"/>
        <v>3</v>
      </c>
      <c r="AC88" s="6">
        <f t="shared" si="26"/>
        <v>0</v>
      </c>
      <c r="AD88" s="6">
        <f t="shared" si="27"/>
        <v>0</v>
      </c>
      <c r="AE88" s="6">
        <f t="shared" si="28"/>
        <v>-3</v>
      </c>
      <c r="AF88" s="6">
        <f t="shared" si="29"/>
        <v>0</v>
      </c>
      <c r="AG88" s="6">
        <f t="shared" si="30"/>
        <v>0</v>
      </c>
      <c r="AH88" s="6">
        <f t="shared" si="19"/>
        <v>-3</v>
      </c>
      <c r="AI88" s="3"/>
      <c r="AJ88" s="3" t="e">
        <f>_xlfn.XLOOKUP(K88,工作表1!A:A,工作表1!C:C)</f>
        <v>#N/A</v>
      </c>
      <c r="AK88" s="3"/>
      <c r="AL88" s="6">
        <f t="shared" si="20"/>
        <v>0</v>
      </c>
      <c r="AM88" s="6">
        <f t="shared" si="21"/>
        <v>0</v>
      </c>
      <c r="AN88" s="6">
        <f t="shared" si="22"/>
        <v>0</v>
      </c>
      <c r="AO88" s="6">
        <f t="shared" si="23"/>
        <v>0</v>
      </c>
      <c r="AP88" s="6">
        <f t="shared" si="24"/>
        <v>0</v>
      </c>
      <c r="AQ88" s="6">
        <f t="shared" si="25"/>
        <v>0</v>
      </c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  <c r="BC88" s="6"/>
      <c r="BD88" s="6"/>
      <c r="BE88" s="6"/>
      <c r="BF88" s="6"/>
      <c r="BG88" s="6"/>
      <c r="BH88" s="6"/>
      <c r="BI88" s="6"/>
      <c r="BJ88" s="6"/>
      <c r="BK88" s="6"/>
      <c r="BL88" s="6"/>
      <c r="BM88" s="6"/>
      <c r="BN88" s="6"/>
      <c r="BO88" s="6"/>
      <c r="BP88" s="3">
        <v>3</v>
      </c>
      <c r="BQ88" s="6">
        <f t="shared" si="16"/>
        <v>0</v>
      </c>
    </row>
    <row r="89" spans="1:74" x14ac:dyDescent="0.3">
      <c r="A89" s="3" t="s">
        <v>17</v>
      </c>
      <c r="B89" s="3">
        <v>311</v>
      </c>
      <c r="C89" s="3" t="s">
        <v>154</v>
      </c>
      <c r="D89" s="3">
        <v>1.5</v>
      </c>
      <c r="E89" s="3" t="s">
        <v>19</v>
      </c>
      <c r="F89" s="3" t="s">
        <v>19</v>
      </c>
      <c r="G89" s="3" t="s">
        <v>19</v>
      </c>
      <c r="H89" s="3" t="s">
        <v>99</v>
      </c>
      <c r="I89" s="3"/>
      <c r="J89" s="3" t="s">
        <v>91</v>
      </c>
      <c r="K89" s="3" t="s">
        <v>155</v>
      </c>
      <c r="L89" s="3" t="s">
        <v>24</v>
      </c>
      <c r="M89" s="3">
        <v>27</v>
      </c>
      <c r="N89" s="6"/>
      <c r="O89" s="3">
        <v>15</v>
      </c>
      <c r="P89" s="3">
        <v>15</v>
      </c>
      <c r="Q89" s="3">
        <v>0</v>
      </c>
      <c r="R89" s="3">
        <v>14</v>
      </c>
      <c r="S89" s="3">
        <v>1</v>
      </c>
      <c r="T89" s="3">
        <v>0</v>
      </c>
      <c r="U89" s="3">
        <v>0</v>
      </c>
      <c r="V89" s="3">
        <f t="shared" si="17"/>
        <v>15</v>
      </c>
      <c r="W89" s="3">
        <v>0</v>
      </c>
      <c r="X89" s="3">
        <v>14</v>
      </c>
      <c r="Y89" s="3">
        <v>1</v>
      </c>
      <c r="Z89" s="3">
        <v>0</v>
      </c>
      <c r="AA89" s="3">
        <v>0</v>
      </c>
      <c r="AB89" s="3">
        <f t="shared" si="18"/>
        <v>15</v>
      </c>
      <c r="AC89" s="6">
        <f t="shared" si="26"/>
        <v>0</v>
      </c>
      <c r="AD89" s="6">
        <f t="shared" si="27"/>
        <v>0</v>
      </c>
      <c r="AE89" s="6">
        <f t="shared" si="28"/>
        <v>0</v>
      </c>
      <c r="AF89" s="6">
        <f t="shared" si="29"/>
        <v>0</v>
      </c>
      <c r="AG89" s="6">
        <f t="shared" si="30"/>
        <v>0</v>
      </c>
      <c r="AH89" s="6">
        <f t="shared" si="19"/>
        <v>0</v>
      </c>
      <c r="AI89" s="3"/>
      <c r="AJ89" s="3" t="e">
        <f>_xlfn.XLOOKUP(K89,工作表1!A:A,工作表1!C:C)</f>
        <v>#N/A</v>
      </c>
      <c r="AK89" s="3"/>
      <c r="AL89" s="6">
        <f t="shared" si="20"/>
        <v>0</v>
      </c>
      <c r="AM89" s="6">
        <f t="shared" si="21"/>
        <v>14</v>
      </c>
      <c r="AN89" s="6">
        <f t="shared" si="22"/>
        <v>1</v>
      </c>
      <c r="AO89" s="6">
        <f t="shared" si="23"/>
        <v>0</v>
      </c>
      <c r="AP89" s="6">
        <f t="shared" si="24"/>
        <v>0</v>
      </c>
      <c r="AQ89" s="6">
        <f t="shared" si="25"/>
        <v>15</v>
      </c>
      <c r="AR89" s="6"/>
      <c r="AS89" s="6"/>
      <c r="AT89" s="6"/>
      <c r="AU89" s="6"/>
      <c r="AV89" s="6"/>
      <c r="AW89" s="21">
        <v>14</v>
      </c>
      <c r="AX89" s="6"/>
      <c r="AY89" s="6"/>
      <c r="AZ89" s="6"/>
      <c r="BA89" s="21">
        <v>1</v>
      </c>
      <c r="BB89" s="6"/>
      <c r="BC89" s="6"/>
      <c r="BD89" s="6"/>
      <c r="BE89" s="6"/>
      <c r="BF89" s="6"/>
      <c r="BG89" s="6"/>
      <c r="BH89" s="6"/>
      <c r="BI89" s="6"/>
      <c r="BJ89" s="6"/>
      <c r="BK89" s="6"/>
      <c r="BL89" s="6"/>
      <c r="BM89" s="6"/>
      <c r="BN89" s="6"/>
      <c r="BO89" s="6"/>
      <c r="BP89" s="3">
        <v>15</v>
      </c>
      <c r="BQ89" s="6">
        <f t="shared" si="16"/>
        <v>15</v>
      </c>
      <c r="BR89">
        <v>15</v>
      </c>
    </row>
    <row r="90" spans="1:74" x14ac:dyDescent="0.3">
      <c r="A90" s="3" t="s">
        <v>17</v>
      </c>
      <c r="B90" s="3">
        <v>311</v>
      </c>
      <c r="C90" s="3" t="s">
        <v>154</v>
      </c>
      <c r="D90" s="3">
        <v>1</v>
      </c>
      <c r="E90" s="3" t="s">
        <v>19</v>
      </c>
      <c r="F90" s="3" t="s">
        <v>19</v>
      </c>
      <c r="G90" s="3" t="s">
        <v>19</v>
      </c>
      <c r="H90" s="3" t="s">
        <v>101</v>
      </c>
      <c r="I90" s="3"/>
      <c r="J90" s="3" t="s">
        <v>91</v>
      </c>
      <c r="K90" s="3" t="s">
        <v>156</v>
      </c>
      <c r="L90" s="3" t="s">
        <v>24</v>
      </c>
      <c r="M90" s="3">
        <v>87</v>
      </c>
      <c r="N90" s="6"/>
      <c r="O90" s="3">
        <v>57</v>
      </c>
      <c r="P90" s="3">
        <v>57</v>
      </c>
      <c r="Q90" s="3">
        <v>0</v>
      </c>
      <c r="R90" s="3">
        <v>22</v>
      </c>
      <c r="S90" s="3">
        <v>26</v>
      </c>
      <c r="T90" s="3">
        <v>9</v>
      </c>
      <c r="U90" s="3">
        <v>0</v>
      </c>
      <c r="V90" s="3">
        <f t="shared" si="17"/>
        <v>57</v>
      </c>
      <c r="W90" s="3">
        <v>0</v>
      </c>
      <c r="X90" s="3">
        <v>22</v>
      </c>
      <c r="Y90" s="3">
        <v>26</v>
      </c>
      <c r="Z90" s="3">
        <v>9</v>
      </c>
      <c r="AA90" s="3">
        <v>0</v>
      </c>
      <c r="AB90" s="3">
        <f t="shared" si="18"/>
        <v>57</v>
      </c>
      <c r="AC90" s="6">
        <f t="shared" si="26"/>
        <v>0</v>
      </c>
      <c r="AD90" s="6">
        <f t="shared" si="27"/>
        <v>0</v>
      </c>
      <c r="AE90" s="6">
        <f t="shared" si="28"/>
        <v>0</v>
      </c>
      <c r="AF90" s="6">
        <f t="shared" si="29"/>
        <v>0</v>
      </c>
      <c r="AG90" s="6">
        <f t="shared" si="30"/>
        <v>0</v>
      </c>
      <c r="AH90" s="6">
        <f t="shared" si="19"/>
        <v>0</v>
      </c>
      <c r="AI90" s="3"/>
      <c r="AJ90" s="3" t="e">
        <f>_xlfn.XLOOKUP(K90,工作表1!A:A,工作表1!C:C)</f>
        <v>#N/A</v>
      </c>
      <c r="AK90" s="3"/>
      <c r="AL90" s="6">
        <f t="shared" si="20"/>
        <v>0</v>
      </c>
      <c r="AM90" s="6">
        <f t="shared" si="21"/>
        <v>22</v>
      </c>
      <c r="AN90" s="6">
        <f t="shared" si="22"/>
        <v>26</v>
      </c>
      <c r="AO90" s="6">
        <f t="shared" si="23"/>
        <v>9</v>
      </c>
      <c r="AP90" s="6">
        <f t="shared" si="24"/>
        <v>0</v>
      </c>
      <c r="AQ90" s="6">
        <f t="shared" si="25"/>
        <v>57</v>
      </c>
      <c r="AR90" s="6"/>
      <c r="AS90" s="6"/>
      <c r="AT90" s="6"/>
      <c r="AU90" s="6"/>
      <c r="AV90" s="6"/>
      <c r="AW90" s="21">
        <v>22</v>
      </c>
      <c r="AX90" s="6"/>
      <c r="AY90" s="6"/>
      <c r="AZ90" s="6"/>
      <c r="BA90" s="21">
        <v>26</v>
      </c>
      <c r="BB90" s="6"/>
      <c r="BC90" s="6"/>
      <c r="BD90" s="6"/>
      <c r="BE90" s="6"/>
      <c r="BF90" s="21">
        <v>9</v>
      </c>
      <c r="BG90" s="6"/>
      <c r="BH90" s="6"/>
      <c r="BI90" s="6"/>
      <c r="BJ90" s="6"/>
      <c r="BK90" s="6"/>
      <c r="BL90" s="6"/>
      <c r="BM90" s="6"/>
      <c r="BN90" s="6"/>
      <c r="BO90" s="6"/>
      <c r="BP90" s="3">
        <v>57</v>
      </c>
      <c r="BQ90" s="6">
        <f t="shared" si="16"/>
        <v>57</v>
      </c>
      <c r="BR90">
        <v>57</v>
      </c>
    </row>
    <row r="91" spans="1:74" x14ac:dyDescent="0.3">
      <c r="A91" s="3" t="s">
        <v>17</v>
      </c>
      <c r="B91" s="3">
        <v>311</v>
      </c>
      <c r="C91" s="3" t="s">
        <v>154</v>
      </c>
      <c r="D91" s="3">
        <v>0.75</v>
      </c>
      <c r="E91" s="3" t="s">
        <v>19</v>
      </c>
      <c r="F91" s="3" t="s">
        <v>19</v>
      </c>
      <c r="G91" s="3" t="s">
        <v>19</v>
      </c>
      <c r="H91" s="3" t="s">
        <v>103</v>
      </c>
      <c r="I91" s="3"/>
      <c r="J91" s="3" t="s">
        <v>91</v>
      </c>
      <c r="K91" s="3" t="s">
        <v>157</v>
      </c>
      <c r="L91" s="3" t="s">
        <v>24</v>
      </c>
      <c r="M91" s="3">
        <v>46</v>
      </c>
      <c r="N91" s="6"/>
      <c r="O91" s="3">
        <v>13</v>
      </c>
      <c r="P91" s="3">
        <v>13</v>
      </c>
      <c r="Q91" s="3">
        <v>0</v>
      </c>
      <c r="R91" s="3">
        <v>4</v>
      </c>
      <c r="S91" s="3">
        <v>0</v>
      </c>
      <c r="T91" s="3">
        <v>9</v>
      </c>
      <c r="U91" s="3">
        <v>0</v>
      </c>
      <c r="V91" s="3">
        <f t="shared" si="17"/>
        <v>13</v>
      </c>
      <c r="W91" s="3">
        <v>0</v>
      </c>
      <c r="X91" s="3">
        <v>4</v>
      </c>
      <c r="Y91" s="3">
        <v>0</v>
      </c>
      <c r="Z91" s="3">
        <v>9</v>
      </c>
      <c r="AA91" s="3">
        <v>0</v>
      </c>
      <c r="AB91" s="3">
        <f t="shared" si="18"/>
        <v>13</v>
      </c>
      <c r="AC91" s="6">
        <f t="shared" si="26"/>
        <v>0</v>
      </c>
      <c r="AD91" s="6">
        <f t="shared" si="27"/>
        <v>0</v>
      </c>
      <c r="AE91" s="6">
        <f t="shared" si="28"/>
        <v>0</v>
      </c>
      <c r="AF91" s="6">
        <f t="shared" si="29"/>
        <v>0</v>
      </c>
      <c r="AG91" s="6">
        <f t="shared" si="30"/>
        <v>0</v>
      </c>
      <c r="AH91" s="6">
        <f t="shared" si="19"/>
        <v>0</v>
      </c>
      <c r="AI91" s="3"/>
      <c r="AJ91" s="3" t="e">
        <f>_xlfn.XLOOKUP(K91,工作表1!A:A,工作表1!C:C)</f>
        <v>#N/A</v>
      </c>
      <c r="AK91" s="3"/>
      <c r="AL91" s="6">
        <f t="shared" si="20"/>
        <v>0</v>
      </c>
      <c r="AM91" s="6">
        <f t="shared" si="21"/>
        <v>4</v>
      </c>
      <c r="AN91" s="6">
        <f t="shared" si="22"/>
        <v>0</v>
      </c>
      <c r="AO91" s="6">
        <f t="shared" si="23"/>
        <v>9</v>
      </c>
      <c r="AP91" s="6">
        <f t="shared" si="24"/>
        <v>0</v>
      </c>
      <c r="AQ91" s="6">
        <f t="shared" si="25"/>
        <v>13</v>
      </c>
      <c r="AR91" s="6"/>
      <c r="AS91" s="6"/>
      <c r="AT91" s="6"/>
      <c r="AU91" s="6"/>
      <c r="AV91" s="6"/>
      <c r="AW91" s="21">
        <v>4</v>
      </c>
      <c r="AX91" s="6"/>
      <c r="AY91" s="6"/>
      <c r="AZ91" s="6"/>
      <c r="BA91" s="6"/>
      <c r="BB91" s="6"/>
      <c r="BC91" s="6"/>
      <c r="BD91" s="6"/>
      <c r="BE91" s="6"/>
      <c r="BF91" s="21">
        <v>9</v>
      </c>
      <c r="BG91" s="6"/>
      <c r="BH91" s="6"/>
      <c r="BI91" s="6"/>
      <c r="BJ91" s="6"/>
      <c r="BK91" s="6"/>
      <c r="BL91" s="6"/>
      <c r="BM91" s="6"/>
      <c r="BN91" s="6"/>
      <c r="BO91" s="6"/>
      <c r="BP91" s="3">
        <v>13</v>
      </c>
      <c r="BQ91" s="6">
        <f t="shared" si="16"/>
        <v>13</v>
      </c>
      <c r="BR91" s="8">
        <v>13</v>
      </c>
    </row>
    <row r="92" spans="1:74" x14ac:dyDescent="0.3">
      <c r="A92" s="3" t="s">
        <v>17</v>
      </c>
      <c r="B92" s="3">
        <v>311</v>
      </c>
      <c r="C92" s="3" t="s">
        <v>158</v>
      </c>
      <c r="D92" s="3">
        <v>1.5</v>
      </c>
      <c r="E92" s="3" t="s">
        <v>19</v>
      </c>
      <c r="F92" s="3" t="s">
        <v>19</v>
      </c>
      <c r="G92" s="3" t="s">
        <v>19</v>
      </c>
      <c r="H92" s="3" t="s">
        <v>99</v>
      </c>
      <c r="I92" s="3"/>
      <c r="J92" s="3" t="s">
        <v>91</v>
      </c>
      <c r="K92" s="3" t="s">
        <v>159</v>
      </c>
      <c r="L92" s="3" t="s">
        <v>24</v>
      </c>
      <c r="M92" s="3">
        <v>2</v>
      </c>
      <c r="N92" s="6"/>
      <c r="O92" s="3">
        <v>2</v>
      </c>
      <c r="P92" s="3">
        <v>2</v>
      </c>
      <c r="Q92" s="3">
        <v>0</v>
      </c>
      <c r="R92" s="3">
        <v>0</v>
      </c>
      <c r="S92" s="3">
        <v>2</v>
      </c>
      <c r="T92" s="3">
        <v>0</v>
      </c>
      <c r="U92" s="3">
        <v>0</v>
      </c>
      <c r="V92" s="3">
        <f t="shared" si="17"/>
        <v>2</v>
      </c>
      <c r="W92" s="3">
        <v>0</v>
      </c>
      <c r="X92" s="3">
        <v>0</v>
      </c>
      <c r="Y92" s="3">
        <v>2</v>
      </c>
      <c r="Z92" s="3">
        <v>0</v>
      </c>
      <c r="AA92" s="3">
        <v>0</v>
      </c>
      <c r="AB92" s="3">
        <f t="shared" si="18"/>
        <v>2</v>
      </c>
      <c r="AC92" s="6">
        <f t="shared" si="26"/>
        <v>0</v>
      </c>
      <c r="AD92" s="6">
        <f t="shared" si="27"/>
        <v>0</v>
      </c>
      <c r="AE92" s="6">
        <f t="shared" si="28"/>
        <v>0</v>
      </c>
      <c r="AF92" s="6">
        <f t="shared" si="29"/>
        <v>0</v>
      </c>
      <c r="AG92" s="6">
        <f t="shared" si="30"/>
        <v>0</v>
      </c>
      <c r="AH92" s="6">
        <f t="shared" si="19"/>
        <v>0</v>
      </c>
      <c r="AI92" s="3"/>
      <c r="AJ92" s="3" t="e">
        <f>_xlfn.XLOOKUP(K92,工作表1!A:A,工作表1!C:C)</f>
        <v>#N/A</v>
      </c>
      <c r="AK92" s="3"/>
      <c r="AL92" s="6">
        <f t="shared" si="20"/>
        <v>0</v>
      </c>
      <c r="AM92" s="6">
        <f t="shared" si="21"/>
        <v>0</v>
      </c>
      <c r="AN92" s="6">
        <f t="shared" si="22"/>
        <v>2</v>
      </c>
      <c r="AO92" s="6">
        <f t="shared" si="23"/>
        <v>0</v>
      </c>
      <c r="AP92" s="6">
        <f t="shared" si="24"/>
        <v>0</v>
      </c>
      <c r="AQ92" s="6">
        <f t="shared" si="25"/>
        <v>2</v>
      </c>
      <c r="AR92" s="6"/>
      <c r="AS92" s="6"/>
      <c r="AT92" s="6"/>
      <c r="AU92" s="6"/>
      <c r="AV92" s="6"/>
      <c r="AW92" s="21"/>
      <c r="AX92" s="6"/>
      <c r="AY92" s="6"/>
      <c r="AZ92" s="6"/>
      <c r="BA92" s="21">
        <v>2</v>
      </c>
      <c r="BB92" s="6"/>
      <c r="BC92" s="6"/>
      <c r="BD92" s="6"/>
      <c r="BE92" s="6"/>
      <c r="BF92" s="6"/>
      <c r="BG92" s="6"/>
      <c r="BH92" s="6"/>
      <c r="BI92" s="6"/>
      <c r="BJ92" s="6"/>
      <c r="BK92" s="6"/>
      <c r="BL92" s="6"/>
      <c r="BM92" s="6"/>
      <c r="BN92" s="6"/>
      <c r="BO92" s="6"/>
      <c r="BP92" s="3">
        <v>2</v>
      </c>
      <c r="BQ92" s="6">
        <f t="shared" si="16"/>
        <v>2</v>
      </c>
      <c r="BR92">
        <v>2</v>
      </c>
    </row>
    <row r="93" spans="1:74" x14ac:dyDescent="0.3">
      <c r="A93" s="3" t="s">
        <v>17</v>
      </c>
      <c r="B93" s="3">
        <v>311</v>
      </c>
      <c r="C93" s="3" t="s">
        <v>158</v>
      </c>
      <c r="D93" s="3">
        <v>1</v>
      </c>
      <c r="E93" s="3" t="s">
        <v>19</v>
      </c>
      <c r="F93" s="3" t="s">
        <v>19</v>
      </c>
      <c r="G93" s="3" t="s">
        <v>19</v>
      </c>
      <c r="H93" s="3" t="s">
        <v>101</v>
      </c>
      <c r="I93" s="3"/>
      <c r="J93" s="3" t="s">
        <v>91</v>
      </c>
      <c r="K93" s="3" t="s">
        <v>160</v>
      </c>
      <c r="L93" s="3" t="s">
        <v>24</v>
      </c>
      <c r="M93" s="3">
        <v>2</v>
      </c>
      <c r="N93" s="6"/>
      <c r="O93" s="3">
        <v>2</v>
      </c>
      <c r="P93" s="3">
        <v>2</v>
      </c>
      <c r="Q93" s="3">
        <v>0</v>
      </c>
      <c r="R93" s="3">
        <v>0</v>
      </c>
      <c r="S93" s="3">
        <v>2</v>
      </c>
      <c r="T93" s="3">
        <v>0</v>
      </c>
      <c r="U93" s="3">
        <v>0</v>
      </c>
      <c r="V93" s="3">
        <f t="shared" si="17"/>
        <v>2</v>
      </c>
      <c r="W93" s="3">
        <v>0</v>
      </c>
      <c r="X93" s="3">
        <v>0</v>
      </c>
      <c r="Y93" s="3">
        <v>2</v>
      </c>
      <c r="Z93" s="3">
        <v>0</v>
      </c>
      <c r="AA93" s="3">
        <v>0</v>
      </c>
      <c r="AB93" s="3">
        <f t="shared" si="18"/>
        <v>2</v>
      </c>
      <c r="AC93" s="6">
        <f t="shared" si="26"/>
        <v>0</v>
      </c>
      <c r="AD93" s="6">
        <f t="shared" si="27"/>
        <v>0</v>
      </c>
      <c r="AE93" s="6">
        <f t="shared" si="28"/>
        <v>0</v>
      </c>
      <c r="AF93" s="6">
        <f t="shared" si="29"/>
        <v>0</v>
      </c>
      <c r="AG93" s="6">
        <f t="shared" si="30"/>
        <v>0</v>
      </c>
      <c r="AH93" s="6">
        <f t="shared" si="19"/>
        <v>0</v>
      </c>
      <c r="AI93" s="3"/>
      <c r="AJ93" s="3" t="e">
        <f>_xlfn.XLOOKUP(K93,工作表1!A:A,工作表1!C:C)</f>
        <v>#N/A</v>
      </c>
      <c r="AK93" s="3"/>
      <c r="AL93" s="6">
        <f t="shared" si="20"/>
        <v>0</v>
      </c>
      <c r="AM93" s="6">
        <f t="shared" si="21"/>
        <v>0</v>
      </c>
      <c r="AN93" s="6">
        <f t="shared" si="22"/>
        <v>2</v>
      </c>
      <c r="AO93" s="6">
        <f t="shared" si="23"/>
        <v>0</v>
      </c>
      <c r="AP93" s="6">
        <f t="shared" si="24"/>
        <v>0</v>
      </c>
      <c r="AQ93" s="6">
        <f t="shared" si="25"/>
        <v>2</v>
      </c>
      <c r="AR93" s="6"/>
      <c r="AS93" s="6"/>
      <c r="AT93" s="6"/>
      <c r="AU93" s="6"/>
      <c r="AV93" s="6"/>
      <c r="AW93" s="21"/>
      <c r="AX93" s="6"/>
      <c r="AY93" s="6"/>
      <c r="AZ93" s="6"/>
      <c r="BA93" s="21">
        <v>2</v>
      </c>
      <c r="BB93" s="6"/>
      <c r="BC93" s="6"/>
      <c r="BD93" s="6"/>
      <c r="BE93" s="6"/>
      <c r="BF93" s="6"/>
      <c r="BG93" s="6"/>
      <c r="BH93" s="6"/>
      <c r="BI93" s="6"/>
      <c r="BJ93" s="6"/>
      <c r="BK93" s="6"/>
      <c r="BL93" s="6"/>
      <c r="BM93" s="6"/>
      <c r="BN93" s="6"/>
      <c r="BO93" s="6"/>
      <c r="BP93" s="3">
        <v>2</v>
      </c>
      <c r="BQ93" s="6">
        <f t="shared" si="16"/>
        <v>2</v>
      </c>
      <c r="BR93">
        <v>2</v>
      </c>
    </row>
    <row r="94" spans="1:74" x14ac:dyDescent="0.3">
      <c r="A94" s="3" t="s">
        <v>17</v>
      </c>
      <c r="B94" s="3">
        <v>311</v>
      </c>
      <c r="C94" s="3" t="s">
        <v>161</v>
      </c>
      <c r="D94" s="3">
        <v>1</v>
      </c>
      <c r="E94" s="3" t="s">
        <v>19</v>
      </c>
      <c r="F94" s="3" t="s">
        <v>19</v>
      </c>
      <c r="G94" s="3" t="s">
        <v>19</v>
      </c>
      <c r="H94" s="3" t="s">
        <v>101</v>
      </c>
      <c r="I94" s="3"/>
      <c r="J94" s="3" t="s">
        <v>91</v>
      </c>
      <c r="K94" s="3" t="s">
        <v>162</v>
      </c>
      <c r="L94" s="3" t="s">
        <v>24</v>
      </c>
      <c r="M94" s="3">
        <v>5</v>
      </c>
      <c r="N94" s="6"/>
      <c r="O94" s="3">
        <v>3</v>
      </c>
      <c r="P94" s="3">
        <v>3</v>
      </c>
      <c r="Q94" s="3">
        <v>0</v>
      </c>
      <c r="R94" s="3">
        <v>0</v>
      </c>
      <c r="S94" s="3">
        <v>3</v>
      </c>
      <c r="T94" s="3">
        <v>0</v>
      </c>
      <c r="U94" s="3">
        <v>0</v>
      </c>
      <c r="V94" s="3">
        <f t="shared" si="17"/>
        <v>3</v>
      </c>
      <c r="W94" s="3">
        <v>0</v>
      </c>
      <c r="X94" s="3">
        <v>0</v>
      </c>
      <c r="Y94" s="3">
        <v>3</v>
      </c>
      <c r="Z94" s="3">
        <v>0</v>
      </c>
      <c r="AA94" s="3">
        <v>0</v>
      </c>
      <c r="AB94" s="3">
        <f t="shared" si="18"/>
        <v>3</v>
      </c>
      <c r="AC94" s="6">
        <f t="shared" si="26"/>
        <v>0</v>
      </c>
      <c r="AD94" s="6">
        <f t="shared" si="27"/>
        <v>0</v>
      </c>
      <c r="AE94" s="6">
        <f t="shared" si="28"/>
        <v>0</v>
      </c>
      <c r="AF94" s="6">
        <f t="shared" si="29"/>
        <v>0</v>
      </c>
      <c r="AG94" s="6">
        <f t="shared" si="30"/>
        <v>0</v>
      </c>
      <c r="AH94" s="6">
        <f t="shared" si="19"/>
        <v>0</v>
      </c>
      <c r="AI94" s="3"/>
      <c r="AJ94" s="3" t="e">
        <f>_xlfn.XLOOKUP(K94,工作表1!A:A,工作表1!C:C)</f>
        <v>#N/A</v>
      </c>
      <c r="AK94" s="3"/>
      <c r="AL94" s="6">
        <f t="shared" si="20"/>
        <v>0</v>
      </c>
      <c r="AM94" s="6">
        <f t="shared" si="21"/>
        <v>0</v>
      </c>
      <c r="AN94" s="6">
        <f t="shared" si="22"/>
        <v>3</v>
      </c>
      <c r="AO94" s="6">
        <f t="shared" si="23"/>
        <v>0</v>
      </c>
      <c r="AP94" s="6">
        <f t="shared" si="24"/>
        <v>0</v>
      </c>
      <c r="AQ94" s="6">
        <f t="shared" si="25"/>
        <v>3</v>
      </c>
      <c r="AR94" s="6"/>
      <c r="AS94" s="6"/>
      <c r="AT94" s="6"/>
      <c r="AU94" s="6"/>
      <c r="AV94" s="6"/>
      <c r="AW94" s="21"/>
      <c r="AX94" s="6"/>
      <c r="AY94" s="6"/>
      <c r="AZ94" s="6"/>
      <c r="BA94" s="21">
        <v>3</v>
      </c>
      <c r="BB94" s="6"/>
      <c r="BC94" s="6"/>
      <c r="BD94" s="6"/>
      <c r="BE94" s="6"/>
      <c r="BF94" s="6"/>
      <c r="BG94" s="6"/>
      <c r="BH94" s="6"/>
      <c r="BI94" s="6"/>
      <c r="BJ94" s="6"/>
      <c r="BK94" s="6"/>
      <c r="BL94" s="6"/>
      <c r="BM94" s="6"/>
      <c r="BN94" s="6"/>
      <c r="BO94" s="6"/>
      <c r="BP94" s="3">
        <v>3</v>
      </c>
      <c r="BQ94" s="6">
        <f t="shared" si="16"/>
        <v>3</v>
      </c>
      <c r="BR94">
        <v>3</v>
      </c>
    </row>
    <row r="95" spans="1:74" x14ac:dyDescent="0.3">
      <c r="A95" s="3" t="s">
        <v>17</v>
      </c>
      <c r="B95" s="3">
        <v>311</v>
      </c>
      <c r="C95" s="3" t="s">
        <v>163</v>
      </c>
      <c r="D95" s="3">
        <v>8</v>
      </c>
      <c r="E95" s="3" t="s">
        <v>19</v>
      </c>
      <c r="F95" s="3" t="s">
        <v>20</v>
      </c>
      <c r="G95" s="3" t="s">
        <v>19</v>
      </c>
      <c r="H95" s="3" t="s">
        <v>21</v>
      </c>
      <c r="I95" s="3">
        <v>8.18</v>
      </c>
      <c r="J95" s="3" t="s">
        <v>91</v>
      </c>
      <c r="K95" s="3" t="s">
        <v>164</v>
      </c>
      <c r="L95" s="3" t="s">
        <v>24</v>
      </c>
      <c r="M95" s="3">
        <v>11</v>
      </c>
      <c r="N95" s="6"/>
      <c r="O95" s="3">
        <v>3</v>
      </c>
      <c r="P95" s="3">
        <v>3</v>
      </c>
      <c r="Q95" s="3">
        <v>0</v>
      </c>
      <c r="R95" s="3">
        <v>0</v>
      </c>
      <c r="S95" s="3">
        <v>0</v>
      </c>
      <c r="T95" s="3">
        <v>3</v>
      </c>
      <c r="U95" s="3">
        <v>0</v>
      </c>
      <c r="V95" s="3">
        <f t="shared" si="17"/>
        <v>3</v>
      </c>
      <c r="W95" s="3">
        <v>0</v>
      </c>
      <c r="X95" s="3">
        <v>0</v>
      </c>
      <c r="Y95" s="3">
        <v>0</v>
      </c>
      <c r="Z95" s="3">
        <v>3</v>
      </c>
      <c r="AA95" s="3">
        <v>0</v>
      </c>
      <c r="AB95" s="3">
        <f t="shared" si="18"/>
        <v>3</v>
      </c>
      <c r="AC95" s="6">
        <f t="shared" si="26"/>
        <v>0</v>
      </c>
      <c r="AD95" s="6">
        <f t="shared" si="27"/>
        <v>0</v>
      </c>
      <c r="AE95" s="6">
        <f t="shared" si="28"/>
        <v>0</v>
      </c>
      <c r="AF95" s="6">
        <f t="shared" si="29"/>
        <v>0</v>
      </c>
      <c r="AG95" s="6">
        <f t="shared" si="30"/>
        <v>0</v>
      </c>
      <c r="AH95" s="6">
        <f t="shared" si="19"/>
        <v>0</v>
      </c>
      <c r="AI95" s="3"/>
      <c r="AJ95" s="3" t="e">
        <f>_xlfn.XLOOKUP(K95,工作表1!A:A,工作表1!C:C)</f>
        <v>#N/A</v>
      </c>
      <c r="AK95" s="3"/>
      <c r="AL95" s="6">
        <f t="shared" si="20"/>
        <v>0</v>
      </c>
      <c r="AM95" s="6">
        <f t="shared" si="21"/>
        <v>0</v>
      </c>
      <c r="AN95" s="6">
        <f t="shared" si="22"/>
        <v>0</v>
      </c>
      <c r="AO95" s="6">
        <f t="shared" si="23"/>
        <v>3</v>
      </c>
      <c r="AP95" s="6">
        <f t="shared" si="24"/>
        <v>0</v>
      </c>
      <c r="AQ95" s="6">
        <f t="shared" si="25"/>
        <v>3</v>
      </c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  <c r="BC95" s="6"/>
      <c r="BD95" s="6"/>
      <c r="BE95" s="6"/>
      <c r="BF95" s="6"/>
      <c r="BG95" s="6"/>
      <c r="BH95" s="6">
        <v>3</v>
      </c>
      <c r="BI95" s="6"/>
      <c r="BJ95" s="6"/>
      <c r="BK95" s="6"/>
      <c r="BL95" s="6"/>
      <c r="BM95" s="6"/>
      <c r="BN95" s="6"/>
      <c r="BO95" s="6"/>
      <c r="BP95" s="3">
        <v>3</v>
      </c>
      <c r="BQ95" s="6">
        <f t="shared" si="16"/>
        <v>3</v>
      </c>
      <c r="BV95">
        <v>3</v>
      </c>
    </row>
    <row r="96" spans="1:74" x14ac:dyDescent="0.3">
      <c r="A96" s="3" t="s">
        <v>17</v>
      </c>
      <c r="B96" s="3">
        <v>311</v>
      </c>
      <c r="C96" s="3" t="s">
        <v>163</v>
      </c>
      <c r="D96" s="3">
        <v>6</v>
      </c>
      <c r="E96" s="3" t="s">
        <v>19</v>
      </c>
      <c r="F96" s="3" t="s">
        <v>20</v>
      </c>
      <c r="G96" s="3" t="s">
        <v>19</v>
      </c>
      <c r="H96" s="3" t="s">
        <v>28</v>
      </c>
      <c r="I96" s="3">
        <v>7.11</v>
      </c>
      <c r="J96" s="3" t="s">
        <v>91</v>
      </c>
      <c r="K96" s="3" t="s">
        <v>165</v>
      </c>
      <c r="L96" s="3" t="s">
        <v>24</v>
      </c>
      <c r="M96" s="3">
        <v>15</v>
      </c>
      <c r="N96" s="6"/>
      <c r="O96" s="3">
        <v>2</v>
      </c>
      <c r="P96" s="3">
        <v>2</v>
      </c>
      <c r="Q96" s="3">
        <v>0</v>
      </c>
      <c r="R96" s="3">
        <v>0</v>
      </c>
      <c r="S96" s="3">
        <v>0</v>
      </c>
      <c r="T96" s="3">
        <v>2</v>
      </c>
      <c r="U96" s="3">
        <v>0</v>
      </c>
      <c r="V96" s="3">
        <f t="shared" si="17"/>
        <v>2</v>
      </c>
      <c r="W96" s="3">
        <v>0</v>
      </c>
      <c r="X96" s="3">
        <v>0</v>
      </c>
      <c r="Y96" s="3">
        <v>0</v>
      </c>
      <c r="Z96" s="3">
        <v>2</v>
      </c>
      <c r="AA96" s="3">
        <v>0</v>
      </c>
      <c r="AB96" s="3">
        <f t="shared" si="18"/>
        <v>2</v>
      </c>
      <c r="AC96" s="6">
        <f t="shared" si="26"/>
        <v>0</v>
      </c>
      <c r="AD96" s="6">
        <f t="shared" si="27"/>
        <v>0</v>
      </c>
      <c r="AE96" s="6">
        <f t="shared" si="28"/>
        <v>0</v>
      </c>
      <c r="AF96" s="6">
        <f t="shared" si="29"/>
        <v>0</v>
      </c>
      <c r="AG96" s="6">
        <f t="shared" si="30"/>
        <v>0</v>
      </c>
      <c r="AH96" s="6">
        <f t="shared" si="19"/>
        <v>0</v>
      </c>
      <c r="AI96" s="3"/>
      <c r="AJ96" s="3" t="e">
        <f>_xlfn.XLOOKUP(K96,工作表1!A:A,工作表1!C:C)</f>
        <v>#N/A</v>
      </c>
      <c r="AK96" s="3"/>
      <c r="AL96" s="6">
        <f t="shared" si="20"/>
        <v>0</v>
      </c>
      <c r="AM96" s="6">
        <f t="shared" si="21"/>
        <v>0</v>
      </c>
      <c r="AN96" s="6">
        <f t="shared" si="22"/>
        <v>0</v>
      </c>
      <c r="AO96" s="6">
        <f t="shared" si="23"/>
        <v>2</v>
      </c>
      <c r="AP96" s="6">
        <f t="shared" si="24"/>
        <v>0</v>
      </c>
      <c r="AQ96" s="6">
        <f t="shared" si="25"/>
        <v>2</v>
      </c>
      <c r="AR96" s="6"/>
      <c r="AS96" s="6"/>
      <c r="AT96" s="6"/>
      <c r="AU96" s="6"/>
      <c r="AV96" s="6"/>
      <c r="AW96" s="6"/>
      <c r="AX96" s="21"/>
      <c r="AY96" s="6"/>
      <c r="AZ96" s="6"/>
      <c r="BA96" s="6"/>
      <c r="BB96" s="6"/>
      <c r="BC96" s="6"/>
      <c r="BD96" s="6"/>
      <c r="BE96" s="6"/>
      <c r="BF96" s="6"/>
      <c r="BG96" s="21">
        <v>2</v>
      </c>
      <c r="BH96" s="6"/>
      <c r="BI96" s="6"/>
      <c r="BJ96" s="6"/>
      <c r="BK96" s="6"/>
      <c r="BL96" s="6"/>
      <c r="BM96" s="6"/>
      <c r="BN96" s="6"/>
      <c r="BO96" s="6"/>
      <c r="BP96" s="3">
        <v>2</v>
      </c>
      <c r="BQ96" s="6">
        <f t="shared" si="16"/>
        <v>2</v>
      </c>
      <c r="BT96">
        <v>2</v>
      </c>
    </row>
    <row r="97" spans="1:74" x14ac:dyDescent="0.3">
      <c r="A97" s="3" t="s">
        <v>17</v>
      </c>
      <c r="B97" s="3">
        <v>311</v>
      </c>
      <c r="C97" s="3" t="s">
        <v>163</v>
      </c>
      <c r="D97" s="3">
        <v>4</v>
      </c>
      <c r="E97" s="3" t="s">
        <v>19</v>
      </c>
      <c r="F97" s="3" t="s">
        <v>20</v>
      </c>
      <c r="G97" s="3" t="s">
        <v>19</v>
      </c>
      <c r="H97" s="3" t="s">
        <v>30</v>
      </c>
      <c r="I97" s="3">
        <v>6.02</v>
      </c>
      <c r="J97" s="3" t="s">
        <v>91</v>
      </c>
      <c r="K97" s="3" t="s">
        <v>166</v>
      </c>
      <c r="L97" s="3" t="s">
        <v>24</v>
      </c>
      <c r="M97" s="3">
        <v>11</v>
      </c>
      <c r="N97" s="6"/>
      <c r="O97" s="3">
        <v>5</v>
      </c>
      <c r="P97" s="3">
        <v>5</v>
      </c>
      <c r="Q97" s="3">
        <v>0</v>
      </c>
      <c r="R97" s="3">
        <v>2</v>
      </c>
      <c r="S97" s="3">
        <v>0</v>
      </c>
      <c r="T97" s="3">
        <v>3</v>
      </c>
      <c r="U97" s="3">
        <v>0</v>
      </c>
      <c r="V97" s="3">
        <f t="shared" si="17"/>
        <v>5</v>
      </c>
      <c r="W97" s="3">
        <v>0</v>
      </c>
      <c r="X97" s="3">
        <v>2</v>
      </c>
      <c r="Y97" s="3">
        <v>0</v>
      </c>
      <c r="Z97" s="3">
        <v>3</v>
      </c>
      <c r="AA97" s="3">
        <v>0</v>
      </c>
      <c r="AB97" s="3">
        <f t="shared" si="18"/>
        <v>5</v>
      </c>
      <c r="AC97" s="6">
        <f t="shared" si="26"/>
        <v>0</v>
      </c>
      <c r="AD97" s="6">
        <f t="shared" si="27"/>
        <v>0</v>
      </c>
      <c r="AE97" s="6">
        <f t="shared" si="28"/>
        <v>0</v>
      </c>
      <c r="AF97" s="6">
        <f t="shared" si="29"/>
        <v>0</v>
      </c>
      <c r="AG97" s="6">
        <f t="shared" si="30"/>
        <v>0</v>
      </c>
      <c r="AH97" s="6">
        <f t="shared" si="19"/>
        <v>0</v>
      </c>
      <c r="AI97" s="3"/>
      <c r="AJ97" s="3">
        <f>_xlfn.XLOOKUP(K97,工作表1!A:A,工作表1!C:C)</f>
        <v>10</v>
      </c>
      <c r="AK97" s="3">
        <v>5</v>
      </c>
      <c r="AL97" s="6">
        <f t="shared" si="20"/>
        <v>0</v>
      </c>
      <c r="AM97" s="6">
        <f t="shared" si="21"/>
        <v>2</v>
      </c>
      <c r="AN97" s="6">
        <f t="shared" si="22"/>
        <v>0</v>
      </c>
      <c r="AO97" s="6">
        <f t="shared" si="23"/>
        <v>3</v>
      </c>
      <c r="AP97" s="6">
        <f t="shared" si="24"/>
        <v>0</v>
      </c>
      <c r="AQ97" s="6">
        <f t="shared" si="25"/>
        <v>5</v>
      </c>
      <c r="AR97" s="6"/>
      <c r="AS97" s="6"/>
      <c r="AT97" s="6"/>
      <c r="AU97" s="6"/>
      <c r="AV97" s="6"/>
      <c r="AW97" s="6"/>
      <c r="AX97" s="6"/>
      <c r="AY97" s="6">
        <v>2</v>
      </c>
      <c r="AZ97" s="6"/>
      <c r="BA97" s="6"/>
      <c r="BB97" s="6"/>
      <c r="BC97" s="6"/>
      <c r="BD97" s="6"/>
      <c r="BE97" s="6"/>
      <c r="BF97" s="6"/>
      <c r="BG97" s="6"/>
      <c r="BH97" s="6">
        <v>3</v>
      </c>
      <c r="BI97" s="6"/>
      <c r="BJ97" s="6"/>
      <c r="BK97" s="6"/>
      <c r="BL97" s="6"/>
      <c r="BM97" s="6"/>
      <c r="BN97" s="6"/>
      <c r="BO97" s="6"/>
      <c r="BP97" s="3">
        <v>5</v>
      </c>
      <c r="BQ97" s="6">
        <f t="shared" si="16"/>
        <v>5</v>
      </c>
      <c r="BV97">
        <v>5</v>
      </c>
    </row>
    <row r="98" spans="1:74" x14ac:dyDescent="0.3">
      <c r="A98" s="3" t="s">
        <v>17</v>
      </c>
      <c r="B98" s="3">
        <v>311</v>
      </c>
      <c r="C98" s="3" t="s">
        <v>163</v>
      </c>
      <c r="D98" s="3">
        <v>3</v>
      </c>
      <c r="E98" s="3" t="s">
        <v>19</v>
      </c>
      <c r="F98" s="3" t="s">
        <v>20</v>
      </c>
      <c r="G98" s="3" t="s">
        <v>19</v>
      </c>
      <c r="H98" s="3" t="s">
        <v>32</v>
      </c>
      <c r="I98" s="3">
        <v>5.49</v>
      </c>
      <c r="J98" s="3" t="s">
        <v>91</v>
      </c>
      <c r="K98" s="3" t="s">
        <v>167</v>
      </c>
      <c r="L98" s="3" t="s">
        <v>24</v>
      </c>
      <c r="M98" s="3">
        <v>15</v>
      </c>
      <c r="N98" s="6"/>
      <c r="O98" s="3">
        <v>12</v>
      </c>
      <c r="P98" s="3">
        <v>12</v>
      </c>
      <c r="Q98" s="3">
        <v>0</v>
      </c>
      <c r="R98" s="3">
        <v>5</v>
      </c>
      <c r="S98" s="3">
        <v>1</v>
      </c>
      <c r="T98" s="3">
        <v>6</v>
      </c>
      <c r="U98" s="3">
        <v>0</v>
      </c>
      <c r="V98" s="3">
        <f t="shared" si="17"/>
        <v>12</v>
      </c>
      <c r="W98" s="3">
        <v>0</v>
      </c>
      <c r="X98" s="3">
        <v>5</v>
      </c>
      <c r="Y98" s="3">
        <v>1</v>
      </c>
      <c r="Z98" s="3">
        <v>6</v>
      </c>
      <c r="AA98" s="3">
        <v>0</v>
      </c>
      <c r="AB98" s="3">
        <f t="shared" si="18"/>
        <v>12</v>
      </c>
      <c r="AC98" s="6">
        <f t="shared" si="26"/>
        <v>0</v>
      </c>
      <c r="AD98" s="6">
        <f t="shared" si="27"/>
        <v>-5</v>
      </c>
      <c r="AE98" s="6">
        <f t="shared" si="28"/>
        <v>-1</v>
      </c>
      <c r="AF98" s="6">
        <f t="shared" si="29"/>
        <v>-3</v>
      </c>
      <c r="AG98" s="6">
        <f t="shared" si="30"/>
        <v>0</v>
      </c>
      <c r="AH98" s="6">
        <f t="shared" si="19"/>
        <v>-9</v>
      </c>
      <c r="AI98" s="3"/>
      <c r="AJ98" s="3">
        <f>_xlfn.XLOOKUP(K98,工作表1!A:A,工作表1!C:C)</f>
        <v>3</v>
      </c>
      <c r="AK98" s="3" t="s">
        <v>1483</v>
      </c>
      <c r="AL98" s="6">
        <f t="shared" si="20"/>
        <v>0</v>
      </c>
      <c r="AM98" s="6">
        <f t="shared" si="21"/>
        <v>0</v>
      </c>
      <c r="AN98" s="6">
        <f t="shared" si="22"/>
        <v>0</v>
      </c>
      <c r="AO98" s="6">
        <f t="shared" si="23"/>
        <v>3</v>
      </c>
      <c r="AP98" s="6">
        <f t="shared" si="24"/>
        <v>0</v>
      </c>
      <c r="AQ98" s="6">
        <f t="shared" si="25"/>
        <v>3</v>
      </c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  <c r="BC98" s="6"/>
      <c r="BD98" s="6"/>
      <c r="BE98" s="6"/>
      <c r="BF98" s="6"/>
      <c r="BG98" s="6"/>
      <c r="BH98" s="6">
        <v>3</v>
      </c>
      <c r="BI98" s="6"/>
      <c r="BJ98" s="6"/>
      <c r="BK98" s="6"/>
      <c r="BL98" s="6"/>
      <c r="BM98" s="6"/>
      <c r="BN98" s="6"/>
      <c r="BO98" s="6"/>
      <c r="BP98" s="3">
        <v>12</v>
      </c>
      <c r="BQ98" s="6">
        <f t="shared" si="16"/>
        <v>3</v>
      </c>
      <c r="BV98">
        <v>3</v>
      </c>
    </row>
    <row r="99" spans="1:74" x14ac:dyDescent="0.3">
      <c r="A99" s="3" t="s">
        <v>17</v>
      </c>
      <c r="B99" s="3">
        <v>311</v>
      </c>
      <c r="C99" s="3" t="s">
        <v>163</v>
      </c>
      <c r="D99" s="3">
        <v>2</v>
      </c>
      <c r="E99" s="3" t="s">
        <v>19</v>
      </c>
      <c r="F99" s="3" t="s">
        <v>25</v>
      </c>
      <c r="G99" s="3" t="s">
        <v>19</v>
      </c>
      <c r="H99" s="3" t="s">
        <v>34</v>
      </c>
      <c r="I99" s="3">
        <v>5.54</v>
      </c>
      <c r="J99" s="3" t="s">
        <v>91</v>
      </c>
      <c r="K99" s="3" t="s">
        <v>168</v>
      </c>
      <c r="L99" s="3" t="s">
        <v>24</v>
      </c>
      <c r="M99" s="3">
        <v>55</v>
      </c>
      <c r="N99" s="6"/>
      <c r="O99" s="3">
        <v>14</v>
      </c>
      <c r="P99" s="3">
        <v>14</v>
      </c>
      <c r="Q99" s="3">
        <v>0</v>
      </c>
      <c r="R99" s="3">
        <v>11</v>
      </c>
      <c r="S99" s="3">
        <v>0</v>
      </c>
      <c r="T99" s="3">
        <v>3</v>
      </c>
      <c r="U99" s="3">
        <v>0</v>
      </c>
      <c r="V99" s="3">
        <f t="shared" si="17"/>
        <v>14</v>
      </c>
      <c r="W99" s="3">
        <v>0</v>
      </c>
      <c r="X99" s="3">
        <v>11</v>
      </c>
      <c r="Y99" s="3">
        <v>0</v>
      </c>
      <c r="Z99" s="3">
        <v>3</v>
      </c>
      <c r="AA99" s="3">
        <v>0</v>
      </c>
      <c r="AB99" s="3">
        <f t="shared" si="18"/>
        <v>14</v>
      </c>
      <c r="AC99" s="6">
        <f t="shared" si="26"/>
        <v>0</v>
      </c>
      <c r="AD99" s="6">
        <f t="shared" si="27"/>
        <v>0</v>
      </c>
      <c r="AE99" s="6">
        <f t="shared" si="28"/>
        <v>0</v>
      </c>
      <c r="AF99" s="6">
        <f t="shared" si="29"/>
        <v>0</v>
      </c>
      <c r="AG99" s="6">
        <f t="shared" si="30"/>
        <v>0</v>
      </c>
      <c r="AH99" s="6">
        <f t="shared" si="19"/>
        <v>0</v>
      </c>
      <c r="AI99" s="3"/>
      <c r="AJ99" s="3" t="e">
        <f>_xlfn.XLOOKUP(K99,工作表1!A:A,工作表1!C:C)</f>
        <v>#N/A</v>
      </c>
      <c r="AK99" s="3"/>
      <c r="AL99" s="6">
        <f t="shared" si="20"/>
        <v>0</v>
      </c>
      <c r="AM99" s="6">
        <f t="shared" si="21"/>
        <v>11</v>
      </c>
      <c r="AN99" s="6">
        <f t="shared" si="22"/>
        <v>0</v>
      </c>
      <c r="AO99" s="6">
        <f t="shared" si="23"/>
        <v>3</v>
      </c>
      <c r="AP99" s="6">
        <f t="shared" si="24"/>
        <v>0</v>
      </c>
      <c r="AQ99" s="6">
        <f t="shared" si="25"/>
        <v>14</v>
      </c>
      <c r="AR99" s="6"/>
      <c r="AS99" s="6"/>
      <c r="AT99" s="6"/>
      <c r="AU99" s="6"/>
      <c r="AV99" s="6"/>
      <c r="AW99" s="21">
        <v>11</v>
      </c>
      <c r="AX99" s="6"/>
      <c r="AY99" s="6"/>
      <c r="AZ99" s="6"/>
      <c r="BA99" s="6"/>
      <c r="BB99" s="6"/>
      <c r="BC99" s="6"/>
      <c r="BD99" s="6"/>
      <c r="BE99" s="6"/>
      <c r="BF99" s="6"/>
      <c r="BG99" s="21">
        <v>3</v>
      </c>
      <c r="BH99" s="6"/>
      <c r="BI99" s="6"/>
      <c r="BJ99" s="6"/>
      <c r="BK99" s="6"/>
      <c r="BL99" s="6"/>
      <c r="BM99" s="6"/>
      <c r="BN99" s="6"/>
      <c r="BO99" s="6"/>
      <c r="BP99" s="3">
        <v>14</v>
      </c>
      <c r="BQ99" s="6">
        <f t="shared" si="16"/>
        <v>14</v>
      </c>
      <c r="BR99">
        <v>14</v>
      </c>
    </row>
    <row r="100" spans="1:74" x14ac:dyDescent="0.3">
      <c r="A100" s="3" t="s">
        <v>17</v>
      </c>
      <c r="B100" s="3">
        <v>311</v>
      </c>
      <c r="C100" s="3" t="s">
        <v>169</v>
      </c>
      <c r="D100" s="3">
        <v>2</v>
      </c>
      <c r="E100" s="3" t="s">
        <v>19</v>
      </c>
      <c r="F100" s="3" t="s">
        <v>41</v>
      </c>
      <c r="G100" s="3" t="s">
        <v>19</v>
      </c>
      <c r="H100" s="3" t="s">
        <v>54</v>
      </c>
      <c r="I100" s="3">
        <v>8.74</v>
      </c>
      <c r="J100" s="3" t="s">
        <v>91</v>
      </c>
      <c r="K100" s="3" t="s">
        <v>170</v>
      </c>
      <c r="L100" s="3" t="s">
        <v>24</v>
      </c>
      <c r="M100" s="3">
        <v>8</v>
      </c>
      <c r="N100" s="6"/>
      <c r="O100" s="3">
        <v>4</v>
      </c>
      <c r="P100" s="3">
        <v>4</v>
      </c>
      <c r="Q100" s="3">
        <v>0</v>
      </c>
      <c r="R100" s="3">
        <v>0</v>
      </c>
      <c r="S100" s="3">
        <v>4</v>
      </c>
      <c r="T100" s="3">
        <v>0</v>
      </c>
      <c r="U100" s="3">
        <v>0</v>
      </c>
      <c r="V100" s="3">
        <f t="shared" si="17"/>
        <v>4</v>
      </c>
      <c r="W100" s="3">
        <v>0</v>
      </c>
      <c r="X100" s="3">
        <v>0</v>
      </c>
      <c r="Y100" s="3">
        <v>4</v>
      </c>
      <c r="Z100" s="3">
        <v>0</v>
      </c>
      <c r="AA100" s="3">
        <v>0</v>
      </c>
      <c r="AB100" s="3">
        <f t="shared" si="18"/>
        <v>4</v>
      </c>
      <c r="AC100" s="6">
        <f t="shared" si="26"/>
        <v>0</v>
      </c>
      <c r="AD100" s="6">
        <f t="shared" si="27"/>
        <v>0</v>
      </c>
      <c r="AE100" s="6">
        <f t="shared" si="28"/>
        <v>0</v>
      </c>
      <c r="AF100" s="6">
        <f t="shared" si="29"/>
        <v>0</v>
      </c>
      <c r="AG100" s="6">
        <f t="shared" si="30"/>
        <v>0</v>
      </c>
      <c r="AH100" s="6">
        <f t="shared" si="19"/>
        <v>0</v>
      </c>
      <c r="AI100" s="3"/>
      <c r="AJ100" s="3" t="e">
        <f>_xlfn.XLOOKUP(K100,工作表1!A:A,工作表1!C:C)</f>
        <v>#N/A</v>
      </c>
      <c r="AK100" s="3"/>
      <c r="AL100" s="6">
        <f t="shared" si="20"/>
        <v>0</v>
      </c>
      <c r="AM100" s="6">
        <f t="shared" si="21"/>
        <v>0</v>
      </c>
      <c r="AN100" s="6">
        <f t="shared" si="22"/>
        <v>4</v>
      </c>
      <c r="AO100" s="6">
        <f t="shared" si="23"/>
        <v>0</v>
      </c>
      <c r="AP100" s="6">
        <f t="shared" si="24"/>
        <v>0</v>
      </c>
      <c r="AQ100" s="6">
        <f t="shared" si="25"/>
        <v>4</v>
      </c>
      <c r="AR100" s="6"/>
      <c r="AS100" s="6"/>
      <c r="AT100" s="6"/>
      <c r="AU100" s="6"/>
      <c r="AV100" s="6"/>
      <c r="AW100" s="21"/>
      <c r="AX100" s="6"/>
      <c r="AY100" s="6"/>
      <c r="AZ100" s="6"/>
      <c r="BA100" s="21">
        <v>4</v>
      </c>
      <c r="BB100" s="6"/>
      <c r="BC100" s="6"/>
      <c r="BD100" s="6"/>
      <c r="BE100" s="6"/>
      <c r="BF100" s="6"/>
      <c r="BG100" s="6"/>
      <c r="BH100" s="6"/>
      <c r="BI100" s="6"/>
      <c r="BJ100" s="6"/>
      <c r="BK100" s="6"/>
      <c r="BL100" s="6"/>
      <c r="BM100" s="6"/>
      <c r="BN100" s="6"/>
      <c r="BO100" s="6"/>
      <c r="BP100" s="3">
        <v>4</v>
      </c>
      <c r="BQ100" s="6">
        <f t="shared" si="16"/>
        <v>4</v>
      </c>
      <c r="BR100">
        <v>4</v>
      </c>
    </row>
    <row r="101" spans="1:74" x14ac:dyDescent="0.3">
      <c r="A101" s="3" t="s">
        <v>17</v>
      </c>
      <c r="B101" s="3">
        <v>311</v>
      </c>
      <c r="C101" s="3" t="s">
        <v>169</v>
      </c>
      <c r="D101" s="3">
        <v>2</v>
      </c>
      <c r="E101" s="3" t="s">
        <v>19</v>
      </c>
      <c r="F101" s="3" t="s">
        <v>25</v>
      </c>
      <c r="G101" s="3" t="s">
        <v>19</v>
      </c>
      <c r="H101" s="3" t="s">
        <v>34</v>
      </c>
      <c r="I101" s="3">
        <v>5.54</v>
      </c>
      <c r="J101" s="3" t="s">
        <v>91</v>
      </c>
      <c r="K101" s="3" t="s">
        <v>171</v>
      </c>
      <c r="L101" s="3" t="s">
        <v>24</v>
      </c>
      <c r="M101" s="3">
        <v>7</v>
      </c>
      <c r="N101" s="6"/>
      <c r="O101" s="3">
        <v>3</v>
      </c>
      <c r="P101" s="3">
        <v>3</v>
      </c>
      <c r="Q101" s="3">
        <v>0</v>
      </c>
      <c r="R101" s="3">
        <v>0</v>
      </c>
      <c r="S101" s="3">
        <v>3</v>
      </c>
      <c r="T101" s="3">
        <v>0</v>
      </c>
      <c r="U101" s="3">
        <v>0</v>
      </c>
      <c r="V101" s="3">
        <f t="shared" si="17"/>
        <v>3</v>
      </c>
      <c r="W101" s="3">
        <v>0</v>
      </c>
      <c r="X101" s="3">
        <v>0</v>
      </c>
      <c r="Y101" s="3">
        <v>3</v>
      </c>
      <c r="Z101" s="3">
        <v>0</v>
      </c>
      <c r="AA101" s="3">
        <v>0</v>
      </c>
      <c r="AB101" s="3">
        <f t="shared" si="18"/>
        <v>3</v>
      </c>
      <c r="AC101" s="6">
        <f t="shared" si="26"/>
        <v>0</v>
      </c>
      <c r="AD101" s="6">
        <f t="shared" si="27"/>
        <v>0</v>
      </c>
      <c r="AE101" s="6">
        <f t="shared" si="28"/>
        <v>0</v>
      </c>
      <c r="AF101" s="6">
        <f t="shared" si="29"/>
        <v>0</v>
      </c>
      <c r="AG101" s="6">
        <f t="shared" si="30"/>
        <v>0</v>
      </c>
      <c r="AH101" s="6">
        <f t="shared" si="19"/>
        <v>0</v>
      </c>
      <c r="AI101" s="3"/>
      <c r="AJ101" s="3" t="e">
        <f>_xlfn.XLOOKUP(K101,工作表1!A:A,工作表1!C:C)</f>
        <v>#N/A</v>
      </c>
      <c r="AK101" s="3"/>
      <c r="AL101" s="6">
        <f t="shared" si="20"/>
        <v>0</v>
      </c>
      <c r="AM101" s="6">
        <f t="shared" si="21"/>
        <v>0</v>
      </c>
      <c r="AN101" s="6">
        <f t="shared" si="22"/>
        <v>3</v>
      </c>
      <c r="AO101" s="6">
        <f t="shared" si="23"/>
        <v>0</v>
      </c>
      <c r="AP101" s="6">
        <f t="shared" si="24"/>
        <v>0</v>
      </c>
      <c r="AQ101" s="6">
        <f t="shared" si="25"/>
        <v>3</v>
      </c>
      <c r="AR101" s="6"/>
      <c r="AS101" s="6"/>
      <c r="AT101" s="6"/>
      <c r="AU101" s="6"/>
      <c r="AV101" s="6"/>
      <c r="AW101" s="21"/>
      <c r="AX101" s="6"/>
      <c r="AY101" s="6"/>
      <c r="AZ101" s="6"/>
      <c r="BA101" s="21">
        <v>3</v>
      </c>
      <c r="BB101" s="6"/>
      <c r="BC101" s="6"/>
      <c r="BD101" s="6"/>
      <c r="BE101" s="6"/>
      <c r="BF101" s="6"/>
      <c r="BG101" s="6"/>
      <c r="BH101" s="6"/>
      <c r="BI101" s="6"/>
      <c r="BJ101" s="6"/>
      <c r="BK101" s="6"/>
      <c r="BL101" s="6"/>
      <c r="BM101" s="6"/>
      <c r="BN101" s="6"/>
      <c r="BO101" s="6"/>
      <c r="BP101" s="3">
        <v>3</v>
      </c>
      <c r="BQ101" s="6">
        <f t="shared" si="16"/>
        <v>3</v>
      </c>
      <c r="BR101">
        <v>3</v>
      </c>
    </row>
    <row r="102" spans="1:74" x14ac:dyDescent="0.3">
      <c r="A102" s="3" t="s">
        <v>17</v>
      </c>
      <c r="B102" s="3">
        <v>311</v>
      </c>
      <c r="C102" s="3" t="s">
        <v>169</v>
      </c>
      <c r="D102" s="3">
        <v>1</v>
      </c>
      <c r="E102" s="3" t="s">
        <v>19</v>
      </c>
      <c r="F102" s="3" t="s">
        <v>41</v>
      </c>
      <c r="G102" s="3" t="s">
        <v>19</v>
      </c>
      <c r="H102" s="3" t="s">
        <v>59</v>
      </c>
      <c r="I102" s="3">
        <v>6.35</v>
      </c>
      <c r="J102" s="3" t="s">
        <v>91</v>
      </c>
      <c r="K102" s="3" t="s">
        <v>172</v>
      </c>
      <c r="L102" s="3" t="s">
        <v>24</v>
      </c>
      <c r="M102" s="3">
        <v>22</v>
      </c>
      <c r="N102" s="6"/>
      <c r="O102" s="3">
        <v>21</v>
      </c>
      <c r="P102" s="3">
        <v>21</v>
      </c>
      <c r="Q102" s="3">
        <v>0</v>
      </c>
      <c r="R102" s="3">
        <v>0</v>
      </c>
      <c r="S102" s="3">
        <v>0</v>
      </c>
      <c r="T102" s="3">
        <v>21</v>
      </c>
      <c r="U102" s="3">
        <v>0</v>
      </c>
      <c r="V102" s="3">
        <f t="shared" si="17"/>
        <v>21</v>
      </c>
      <c r="W102" s="3">
        <v>0</v>
      </c>
      <c r="X102" s="3">
        <v>0</v>
      </c>
      <c r="Y102" s="3">
        <v>0</v>
      </c>
      <c r="Z102" s="3">
        <v>21</v>
      </c>
      <c r="AA102" s="3">
        <v>0</v>
      </c>
      <c r="AB102" s="3">
        <f t="shared" si="18"/>
        <v>21</v>
      </c>
      <c r="AC102" s="6">
        <f t="shared" si="26"/>
        <v>0</v>
      </c>
      <c r="AD102" s="6">
        <f t="shared" si="27"/>
        <v>0</v>
      </c>
      <c r="AE102" s="6">
        <f t="shared" si="28"/>
        <v>0</v>
      </c>
      <c r="AF102" s="6">
        <f t="shared" si="29"/>
        <v>-21</v>
      </c>
      <c r="AG102" s="6">
        <f t="shared" si="30"/>
        <v>0</v>
      </c>
      <c r="AH102" s="6">
        <f t="shared" si="19"/>
        <v>-21</v>
      </c>
      <c r="AI102" s="3"/>
      <c r="AJ102" s="3" t="e">
        <f>_xlfn.XLOOKUP(K102,工作表1!A:A,工作表1!C:C)</f>
        <v>#N/A</v>
      </c>
      <c r="AK102" s="3"/>
      <c r="AL102" s="6">
        <f t="shared" si="20"/>
        <v>0</v>
      </c>
      <c r="AM102" s="6">
        <f t="shared" si="21"/>
        <v>0</v>
      </c>
      <c r="AN102" s="6">
        <f t="shared" si="22"/>
        <v>0</v>
      </c>
      <c r="AO102" s="6">
        <f t="shared" si="23"/>
        <v>0</v>
      </c>
      <c r="AP102" s="6">
        <f t="shared" si="24"/>
        <v>0</v>
      </c>
      <c r="AQ102" s="6">
        <f t="shared" si="25"/>
        <v>0</v>
      </c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  <c r="BC102" s="6"/>
      <c r="BD102" s="6"/>
      <c r="BE102" s="6"/>
      <c r="BF102" s="6"/>
      <c r="BG102" s="6"/>
      <c r="BH102" s="6"/>
      <c r="BI102" s="6"/>
      <c r="BJ102" s="6"/>
      <c r="BK102" s="6"/>
      <c r="BL102" s="6"/>
      <c r="BM102" s="6"/>
      <c r="BN102" s="6"/>
      <c r="BO102" s="6"/>
      <c r="BP102" s="3">
        <v>21</v>
      </c>
      <c r="BQ102" s="6">
        <f t="shared" si="16"/>
        <v>0</v>
      </c>
    </row>
    <row r="103" spans="1:74" x14ac:dyDescent="0.3">
      <c r="A103" s="3" t="s">
        <v>17</v>
      </c>
      <c r="B103" s="3">
        <v>311</v>
      </c>
      <c r="C103" s="3" t="s">
        <v>169</v>
      </c>
      <c r="D103" s="3">
        <v>0.75</v>
      </c>
      <c r="E103" s="3" t="s">
        <v>19</v>
      </c>
      <c r="F103" s="3" t="s">
        <v>63</v>
      </c>
      <c r="G103" s="3" t="s">
        <v>19</v>
      </c>
      <c r="H103" s="3" t="s">
        <v>64</v>
      </c>
      <c r="I103" s="3">
        <v>7.82</v>
      </c>
      <c r="J103" s="3" t="s">
        <v>91</v>
      </c>
      <c r="K103" s="3" t="s">
        <v>173</v>
      </c>
      <c r="L103" s="3" t="s">
        <v>24</v>
      </c>
      <c r="M103" s="3">
        <v>14</v>
      </c>
      <c r="N103" s="6"/>
      <c r="O103" s="3">
        <v>1</v>
      </c>
      <c r="P103" s="3">
        <v>1</v>
      </c>
      <c r="Q103" s="3">
        <v>0</v>
      </c>
      <c r="R103" s="3">
        <v>0</v>
      </c>
      <c r="S103" s="3">
        <v>1</v>
      </c>
      <c r="T103" s="3">
        <v>0</v>
      </c>
      <c r="U103" s="3">
        <v>0</v>
      </c>
      <c r="V103" s="3">
        <f t="shared" si="17"/>
        <v>1</v>
      </c>
      <c r="W103" s="3">
        <v>0</v>
      </c>
      <c r="X103" s="3">
        <v>0</v>
      </c>
      <c r="Y103" s="3">
        <v>1</v>
      </c>
      <c r="Z103" s="3">
        <v>0</v>
      </c>
      <c r="AA103" s="3">
        <v>0</v>
      </c>
      <c r="AB103" s="3">
        <f t="shared" si="18"/>
        <v>1</v>
      </c>
      <c r="AC103" s="6">
        <f t="shared" si="26"/>
        <v>0</v>
      </c>
      <c r="AD103" s="6">
        <f t="shared" si="27"/>
        <v>0</v>
      </c>
      <c r="AE103" s="6">
        <f t="shared" si="28"/>
        <v>0</v>
      </c>
      <c r="AF103" s="6">
        <f t="shared" si="29"/>
        <v>0</v>
      </c>
      <c r="AG103" s="6">
        <f t="shared" si="30"/>
        <v>0</v>
      </c>
      <c r="AH103" s="6">
        <f t="shared" si="19"/>
        <v>0</v>
      </c>
      <c r="AI103" s="3"/>
      <c r="AJ103" s="3" t="e">
        <f>_xlfn.XLOOKUP(K103,工作表1!A:A,工作表1!C:C)</f>
        <v>#N/A</v>
      </c>
      <c r="AK103" s="3"/>
      <c r="AL103" s="6">
        <f t="shared" si="20"/>
        <v>0</v>
      </c>
      <c r="AM103" s="6">
        <f t="shared" si="21"/>
        <v>0</v>
      </c>
      <c r="AN103" s="6">
        <f t="shared" si="22"/>
        <v>1</v>
      </c>
      <c r="AO103" s="6">
        <f t="shared" si="23"/>
        <v>0</v>
      </c>
      <c r="AP103" s="6">
        <f t="shared" si="24"/>
        <v>0</v>
      </c>
      <c r="AQ103" s="6">
        <f t="shared" si="25"/>
        <v>1</v>
      </c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  <c r="BC103" s="6"/>
      <c r="BD103" s="6">
        <v>1</v>
      </c>
      <c r="BE103" s="6"/>
      <c r="BF103" s="6"/>
      <c r="BG103" s="6"/>
      <c r="BH103" s="6"/>
      <c r="BI103" s="6"/>
      <c r="BJ103" s="6"/>
      <c r="BK103" s="6"/>
      <c r="BL103" s="6"/>
      <c r="BM103" s="6"/>
      <c r="BN103" s="6"/>
      <c r="BO103" s="6"/>
      <c r="BP103" s="3">
        <v>1</v>
      </c>
      <c r="BQ103" s="6">
        <f t="shared" si="16"/>
        <v>1</v>
      </c>
      <c r="BV103">
        <v>1</v>
      </c>
    </row>
    <row r="104" spans="1:74" x14ac:dyDescent="0.3">
      <c r="A104" s="3" t="s">
        <v>17</v>
      </c>
      <c r="B104" s="3">
        <v>312</v>
      </c>
      <c r="C104" s="3" t="s">
        <v>174</v>
      </c>
      <c r="D104" s="3">
        <v>1.5</v>
      </c>
      <c r="E104" s="3">
        <v>0.75</v>
      </c>
      <c r="F104" s="3" t="s">
        <v>19</v>
      </c>
      <c r="G104" s="3" t="s">
        <v>19</v>
      </c>
      <c r="H104" s="3" t="s">
        <v>175</v>
      </c>
      <c r="I104" s="3"/>
      <c r="J104" s="3" t="s">
        <v>91</v>
      </c>
      <c r="K104" s="3" t="s">
        <v>176</v>
      </c>
      <c r="L104" s="3" t="s">
        <v>24</v>
      </c>
      <c r="M104" s="3">
        <v>7</v>
      </c>
      <c r="N104" s="6"/>
      <c r="O104" s="3">
        <v>3</v>
      </c>
      <c r="P104" s="3">
        <v>3</v>
      </c>
      <c r="Q104" s="3">
        <v>0</v>
      </c>
      <c r="R104" s="3">
        <v>3</v>
      </c>
      <c r="S104" s="3">
        <v>0</v>
      </c>
      <c r="T104" s="3">
        <v>0</v>
      </c>
      <c r="U104" s="3">
        <v>0</v>
      </c>
      <c r="V104" s="3">
        <f t="shared" si="17"/>
        <v>3</v>
      </c>
      <c r="W104" s="3">
        <v>0</v>
      </c>
      <c r="X104" s="3">
        <v>3</v>
      </c>
      <c r="Y104" s="3">
        <v>0</v>
      </c>
      <c r="Z104" s="3">
        <v>0</v>
      </c>
      <c r="AA104" s="3">
        <v>0</v>
      </c>
      <c r="AB104" s="3">
        <f t="shared" si="18"/>
        <v>3</v>
      </c>
      <c r="AC104" s="6">
        <f t="shared" si="26"/>
        <v>0</v>
      </c>
      <c r="AD104" s="6">
        <f t="shared" si="27"/>
        <v>0</v>
      </c>
      <c r="AE104" s="6">
        <f t="shared" si="28"/>
        <v>0</v>
      </c>
      <c r="AF104" s="6">
        <f t="shared" si="29"/>
        <v>0</v>
      </c>
      <c r="AG104" s="6">
        <f t="shared" si="30"/>
        <v>0</v>
      </c>
      <c r="AH104" s="6">
        <f t="shared" si="19"/>
        <v>0</v>
      </c>
      <c r="AI104" s="3"/>
      <c r="AJ104" s="3" t="e">
        <f>_xlfn.XLOOKUP(K104,工作表1!A:A,工作表1!C:C)</f>
        <v>#N/A</v>
      </c>
      <c r="AK104" s="3"/>
      <c r="AL104" s="6">
        <f t="shared" si="20"/>
        <v>0</v>
      </c>
      <c r="AM104" s="6">
        <f t="shared" si="21"/>
        <v>3</v>
      </c>
      <c r="AN104" s="6">
        <f t="shared" si="22"/>
        <v>0</v>
      </c>
      <c r="AO104" s="6">
        <f t="shared" si="23"/>
        <v>0</v>
      </c>
      <c r="AP104" s="6">
        <f t="shared" si="24"/>
        <v>0</v>
      </c>
      <c r="AQ104" s="6">
        <f t="shared" si="25"/>
        <v>3</v>
      </c>
      <c r="AR104" s="6"/>
      <c r="AS104" s="6"/>
      <c r="AT104" s="6"/>
      <c r="AU104" s="6"/>
      <c r="AV104" s="6"/>
      <c r="AW104" s="6">
        <v>3</v>
      </c>
      <c r="AX104" s="6"/>
      <c r="AY104" s="6"/>
      <c r="AZ104" s="6"/>
      <c r="BA104" s="6"/>
      <c r="BB104" s="6"/>
      <c r="BC104" s="6"/>
      <c r="BD104" s="6"/>
      <c r="BE104" s="6"/>
      <c r="BF104" s="6"/>
      <c r="BG104" s="6"/>
      <c r="BH104" s="6"/>
      <c r="BI104" s="6"/>
      <c r="BJ104" s="6"/>
      <c r="BK104" s="6"/>
      <c r="BL104" s="6"/>
      <c r="BM104" s="6"/>
      <c r="BN104" s="6"/>
      <c r="BO104" s="6"/>
      <c r="BP104" s="3">
        <v>3</v>
      </c>
      <c r="BQ104" s="6">
        <f t="shared" si="16"/>
        <v>3</v>
      </c>
      <c r="BR104">
        <v>3</v>
      </c>
    </row>
    <row r="105" spans="1:74" x14ac:dyDescent="0.3">
      <c r="A105" s="3" t="s">
        <v>17</v>
      </c>
      <c r="B105" s="3">
        <v>312</v>
      </c>
      <c r="C105" s="3" t="s">
        <v>174</v>
      </c>
      <c r="D105" s="3">
        <v>1.5</v>
      </c>
      <c r="E105" s="3">
        <v>1</v>
      </c>
      <c r="F105" s="3" t="s">
        <v>19</v>
      </c>
      <c r="G105" s="3" t="s">
        <v>19</v>
      </c>
      <c r="H105" s="3" t="s">
        <v>177</v>
      </c>
      <c r="I105" s="3"/>
      <c r="J105" s="3" t="s">
        <v>91</v>
      </c>
      <c r="K105" s="3" t="s">
        <v>178</v>
      </c>
      <c r="L105" s="3" t="s">
        <v>24</v>
      </c>
      <c r="M105" s="3">
        <v>9</v>
      </c>
      <c r="N105" s="6"/>
      <c r="O105" s="3">
        <v>8</v>
      </c>
      <c r="P105" s="3">
        <v>8</v>
      </c>
      <c r="Q105" s="3">
        <v>0</v>
      </c>
      <c r="R105" s="3">
        <v>8</v>
      </c>
      <c r="S105" s="3">
        <v>0</v>
      </c>
      <c r="T105" s="3">
        <v>0</v>
      </c>
      <c r="U105" s="3">
        <v>0</v>
      </c>
      <c r="V105" s="3">
        <f t="shared" si="17"/>
        <v>8</v>
      </c>
      <c r="W105" s="3">
        <v>0</v>
      </c>
      <c r="X105" s="3">
        <v>8</v>
      </c>
      <c r="Y105" s="3">
        <v>0</v>
      </c>
      <c r="Z105" s="3">
        <v>0</v>
      </c>
      <c r="AA105" s="3">
        <v>0</v>
      </c>
      <c r="AB105" s="3">
        <f t="shared" si="18"/>
        <v>8</v>
      </c>
      <c r="AC105" s="6">
        <f t="shared" si="26"/>
        <v>0</v>
      </c>
      <c r="AD105" s="6">
        <f t="shared" si="27"/>
        <v>-7</v>
      </c>
      <c r="AE105" s="6">
        <f t="shared" si="28"/>
        <v>0</v>
      </c>
      <c r="AF105" s="6">
        <f t="shared" si="29"/>
        <v>0</v>
      </c>
      <c r="AG105" s="6">
        <f t="shared" si="30"/>
        <v>0</v>
      </c>
      <c r="AH105" s="6">
        <f t="shared" si="19"/>
        <v>-7</v>
      </c>
      <c r="AI105" s="3"/>
      <c r="AJ105" s="3" t="e">
        <f>_xlfn.XLOOKUP(K105,工作表1!A:A,工作表1!C:C)</f>
        <v>#N/A</v>
      </c>
      <c r="AK105" s="3"/>
      <c r="AL105" s="6">
        <f t="shared" si="20"/>
        <v>0</v>
      </c>
      <c r="AM105" s="6">
        <f t="shared" si="21"/>
        <v>1</v>
      </c>
      <c r="AN105" s="6">
        <f t="shared" si="22"/>
        <v>0</v>
      </c>
      <c r="AO105" s="6">
        <f t="shared" si="23"/>
        <v>0</v>
      </c>
      <c r="AP105" s="6">
        <f t="shared" si="24"/>
        <v>0</v>
      </c>
      <c r="AQ105" s="6">
        <f t="shared" si="25"/>
        <v>1</v>
      </c>
      <c r="AR105" s="6"/>
      <c r="AS105" s="6"/>
      <c r="AT105" s="6"/>
      <c r="AU105" s="6"/>
      <c r="AV105" s="6"/>
      <c r="AW105" s="6">
        <v>1</v>
      </c>
      <c r="AX105" s="6"/>
      <c r="AY105" s="6"/>
      <c r="AZ105" s="6"/>
      <c r="BA105" s="6"/>
      <c r="BB105" s="6"/>
      <c r="BC105" s="6"/>
      <c r="BD105" s="6"/>
      <c r="BE105" s="6"/>
      <c r="BF105" s="6"/>
      <c r="BG105" s="6"/>
      <c r="BH105" s="6"/>
      <c r="BI105" s="6"/>
      <c r="BJ105" s="6"/>
      <c r="BK105" s="6"/>
      <c r="BL105" s="6"/>
      <c r="BM105" s="6"/>
      <c r="BN105" s="6"/>
      <c r="BO105" s="6"/>
      <c r="BP105" s="3">
        <v>8</v>
      </c>
      <c r="BQ105" s="6">
        <f t="shared" si="16"/>
        <v>1</v>
      </c>
      <c r="BR105">
        <v>1</v>
      </c>
    </row>
    <row r="106" spans="1:74" x14ac:dyDescent="0.3">
      <c r="A106" s="3" t="s">
        <v>17</v>
      </c>
      <c r="B106" s="3">
        <v>312</v>
      </c>
      <c r="C106" s="3" t="s">
        <v>174</v>
      </c>
      <c r="D106" s="3">
        <v>1</v>
      </c>
      <c r="E106" s="3">
        <v>0.75</v>
      </c>
      <c r="F106" s="3" t="s">
        <v>19</v>
      </c>
      <c r="G106" s="3" t="s">
        <v>19</v>
      </c>
      <c r="H106" s="3" t="s">
        <v>179</v>
      </c>
      <c r="I106" s="3"/>
      <c r="J106" s="3" t="s">
        <v>91</v>
      </c>
      <c r="K106" s="3" t="s">
        <v>180</v>
      </c>
      <c r="L106" s="3" t="s">
        <v>24</v>
      </c>
      <c r="M106" s="3">
        <v>32</v>
      </c>
      <c r="N106" s="6"/>
      <c r="O106" s="3">
        <v>9</v>
      </c>
      <c r="P106" s="3">
        <v>8</v>
      </c>
      <c r="Q106" s="3">
        <v>0</v>
      </c>
      <c r="R106" s="3">
        <v>0</v>
      </c>
      <c r="S106" s="3">
        <v>6</v>
      </c>
      <c r="T106" s="3">
        <v>2</v>
      </c>
      <c r="U106" s="3">
        <v>0</v>
      </c>
      <c r="V106" s="3">
        <f t="shared" si="17"/>
        <v>8</v>
      </c>
      <c r="W106" s="3">
        <v>0</v>
      </c>
      <c r="X106" s="3">
        <v>0</v>
      </c>
      <c r="Y106" s="3">
        <v>6</v>
      </c>
      <c r="Z106" s="3">
        <v>2</v>
      </c>
      <c r="AA106" s="3">
        <v>0</v>
      </c>
      <c r="AB106" s="3">
        <f t="shared" si="18"/>
        <v>8</v>
      </c>
      <c r="AC106" s="6">
        <f t="shared" si="26"/>
        <v>0</v>
      </c>
      <c r="AD106" s="6">
        <f t="shared" si="27"/>
        <v>9</v>
      </c>
      <c r="AE106" s="6">
        <f t="shared" si="28"/>
        <v>-6</v>
      </c>
      <c r="AF106" s="6">
        <f t="shared" si="29"/>
        <v>-2</v>
      </c>
      <c r="AG106" s="6">
        <f t="shared" si="30"/>
        <v>0</v>
      </c>
      <c r="AH106" s="6">
        <f t="shared" si="19"/>
        <v>1</v>
      </c>
      <c r="AI106" s="3"/>
      <c r="AJ106" s="3" t="e">
        <f>_xlfn.XLOOKUP(K106,工作表1!A:A,工作表1!C:C)</f>
        <v>#N/A</v>
      </c>
      <c r="AK106" s="3"/>
      <c r="AL106" s="6">
        <f t="shared" si="20"/>
        <v>0</v>
      </c>
      <c r="AM106" s="6">
        <f t="shared" si="21"/>
        <v>9</v>
      </c>
      <c r="AN106" s="6">
        <f t="shared" si="22"/>
        <v>0</v>
      </c>
      <c r="AO106" s="6">
        <f t="shared" si="23"/>
        <v>0</v>
      </c>
      <c r="AP106" s="6">
        <f t="shared" si="24"/>
        <v>0</v>
      </c>
      <c r="AQ106" s="6">
        <f t="shared" si="25"/>
        <v>9</v>
      </c>
      <c r="AR106" s="6"/>
      <c r="AS106" s="6"/>
      <c r="AT106" s="6"/>
      <c r="AU106" s="6"/>
      <c r="AV106" s="6"/>
      <c r="AW106" s="6">
        <v>9</v>
      </c>
      <c r="AX106" s="6"/>
      <c r="AY106" s="6"/>
      <c r="AZ106" s="6"/>
      <c r="BA106" s="6"/>
      <c r="BB106" s="6"/>
      <c r="BC106" s="6"/>
      <c r="BD106" s="6"/>
      <c r="BE106" s="6"/>
      <c r="BF106" s="6"/>
      <c r="BG106" s="6"/>
      <c r="BH106" s="6"/>
      <c r="BI106" s="6"/>
      <c r="BJ106" s="6"/>
      <c r="BK106" s="6"/>
      <c r="BL106" s="6"/>
      <c r="BM106" s="6"/>
      <c r="BN106" s="6"/>
      <c r="BO106" s="6"/>
      <c r="BP106" s="3">
        <v>8</v>
      </c>
      <c r="BQ106" s="6">
        <f t="shared" si="16"/>
        <v>9</v>
      </c>
      <c r="BR106">
        <v>9</v>
      </c>
    </row>
    <row r="107" spans="1:74" x14ac:dyDescent="0.3">
      <c r="A107" s="3" t="s">
        <v>17</v>
      </c>
      <c r="B107" s="3">
        <v>312</v>
      </c>
      <c r="C107" s="3" t="s">
        <v>181</v>
      </c>
      <c r="D107" s="3">
        <v>1.5</v>
      </c>
      <c r="E107" s="3">
        <v>0.75</v>
      </c>
      <c r="F107" s="3" t="s">
        <v>19</v>
      </c>
      <c r="G107" s="3" t="s">
        <v>19</v>
      </c>
      <c r="H107" s="3" t="s">
        <v>175</v>
      </c>
      <c r="I107" s="3"/>
      <c r="J107" s="3" t="s">
        <v>91</v>
      </c>
      <c r="K107" s="3" t="s">
        <v>182</v>
      </c>
      <c r="L107" s="3" t="s">
        <v>24</v>
      </c>
      <c r="M107" s="3">
        <v>5</v>
      </c>
      <c r="N107" s="6"/>
      <c r="O107" s="3">
        <v>4</v>
      </c>
      <c r="P107" s="3">
        <v>4</v>
      </c>
      <c r="Q107" s="3">
        <v>0</v>
      </c>
      <c r="R107" s="3">
        <v>0</v>
      </c>
      <c r="S107" s="3">
        <v>4</v>
      </c>
      <c r="T107" s="3">
        <v>0</v>
      </c>
      <c r="U107" s="3">
        <v>0</v>
      </c>
      <c r="V107" s="3">
        <f t="shared" si="17"/>
        <v>4</v>
      </c>
      <c r="W107" s="3">
        <v>0</v>
      </c>
      <c r="X107" s="3">
        <v>0</v>
      </c>
      <c r="Y107" s="3">
        <v>4</v>
      </c>
      <c r="Z107" s="3">
        <v>0</v>
      </c>
      <c r="AA107" s="3">
        <v>0</v>
      </c>
      <c r="AB107" s="3">
        <f t="shared" si="18"/>
        <v>4</v>
      </c>
      <c r="AC107" s="6">
        <f t="shared" si="26"/>
        <v>0</v>
      </c>
      <c r="AD107" s="6">
        <f t="shared" si="27"/>
        <v>0</v>
      </c>
      <c r="AE107" s="6">
        <f t="shared" si="28"/>
        <v>0</v>
      </c>
      <c r="AF107" s="6">
        <f t="shared" si="29"/>
        <v>0</v>
      </c>
      <c r="AG107" s="6">
        <f t="shared" si="30"/>
        <v>0</v>
      </c>
      <c r="AH107" s="6">
        <f t="shared" si="19"/>
        <v>0</v>
      </c>
      <c r="AI107" s="3"/>
      <c r="AJ107" s="3" t="e">
        <f>_xlfn.XLOOKUP(K107,工作表1!A:A,工作表1!C:C)</f>
        <v>#N/A</v>
      </c>
      <c r="AK107" s="3"/>
      <c r="AL107" s="6">
        <f t="shared" si="20"/>
        <v>0</v>
      </c>
      <c r="AM107" s="6">
        <f t="shared" si="21"/>
        <v>0</v>
      </c>
      <c r="AN107" s="6">
        <f t="shared" si="22"/>
        <v>4</v>
      </c>
      <c r="AO107" s="6">
        <f t="shared" si="23"/>
        <v>0</v>
      </c>
      <c r="AP107" s="6">
        <f t="shared" si="24"/>
        <v>0</v>
      </c>
      <c r="AQ107" s="6">
        <f t="shared" si="25"/>
        <v>4</v>
      </c>
      <c r="AR107" s="6"/>
      <c r="AS107" s="6"/>
      <c r="AT107" s="6"/>
      <c r="AU107" s="6"/>
      <c r="AV107" s="6"/>
      <c r="AW107" s="21"/>
      <c r="AX107" s="6"/>
      <c r="AY107" s="6"/>
      <c r="AZ107" s="6"/>
      <c r="BA107" s="21">
        <v>4</v>
      </c>
      <c r="BB107" s="6"/>
      <c r="BC107" s="6"/>
      <c r="BD107" s="6"/>
      <c r="BE107" s="6"/>
      <c r="BF107" s="6"/>
      <c r="BG107" s="6"/>
      <c r="BH107" s="6"/>
      <c r="BI107" s="6"/>
      <c r="BJ107" s="6"/>
      <c r="BK107" s="6"/>
      <c r="BL107" s="6"/>
      <c r="BM107" s="6"/>
      <c r="BN107" s="6"/>
      <c r="BO107" s="6"/>
      <c r="BP107" s="3">
        <v>4</v>
      </c>
      <c r="BQ107" s="6">
        <f t="shared" si="16"/>
        <v>4</v>
      </c>
      <c r="BR107">
        <v>4</v>
      </c>
    </row>
    <row r="108" spans="1:74" x14ac:dyDescent="0.3">
      <c r="A108" s="3" t="s">
        <v>17</v>
      </c>
      <c r="B108" s="3">
        <v>312</v>
      </c>
      <c r="C108" s="3" t="s">
        <v>183</v>
      </c>
      <c r="D108" s="3">
        <v>8</v>
      </c>
      <c r="E108" s="3">
        <v>4</v>
      </c>
      <c r="F108" s="3" t="s">
        <v>20</v>
      </c>
      <c r="G108" s="3" t="s">
        <v>20</v>
      </c>
      <c r="H108" s="3" t="s">
        <v>184</v>
      </c>
      <c r="I108" s="3"/>
      <c r="J108" s="3" t="s">
        <v>91</v>
      </c>
      <c r="K108" s="3" t="s">
        <v>185</v>
      </c>
      <c r="L108" s="3" t="s">
        <v>24</v>
      </c>
      <c r="M108" s="3">
        <v>7</v>
      </c>
      <c r="N108" s="6"/>
      <c r="O108" s="3">
        <v>4</v>
      </c>
      <c r="P108" s="3">
        <v>4</v>
      </c>
      <c r="Q108" s="3">
        <v>0</v>
      </c>
      <c r="R108" s="3">
        <v>0</v>
      </c>
      <c r="S108" s="3">
        <v>0</v>
      </c>
      <c r="T108" s="3">
        <v>4</v>
      </c>
      <c r="U108" s="3">
        <v>0</v>
      </c>
      <c r="V108" s="3">
        <f t="shared" si="17"/>
        <v>4</v>
      </c>
      <c r="W108" s="3">
        <v>0</v>
      </c>
      <c r="X108" s="3">
        <v>0</v>
      </c>
      <c r="Y108" s="3">
        <v>0</v>
      </c>
      <c r="Z108" s="3">
        <v>4</v>
      </c>
      <c r="AA108" s="3">
        <v>0</v>
      </c>
      <c r="AB108" s="3">
        <f t="shared" si="18"/>
        <v>4</v>
      </c>
      <c r="AC108" s="6">
        <f t="shared" si="26"/>
        <v>0</v>
      </c>
      <c r="AD108" s="6">
        <f t="shared" si="27"/>
        <v>0</v>
      </c>
      <c r="AE108" s="6">
        <f t="shared" si="28"/>
        <v>0</v>
      </c>
      <c r="AF108" s="6">
        <f t="shared" si="29"/>
        <v>0</v>
      </c>
      <c r="AG108" s="6">
        <f t="shared" si="30"/>
        <v>0</v>
      </c>
      <c r="AH108" s="6">
        <f t="shared" si="19"/>
        <v>0</v>
      </c>
      <c r="AI108" s="3"/>
      <c r="AJ108" s="3" t="e">
        <f>_xlfn.XLOOKUP(K108,工作表1!A:A,工作表1!C:C)</f>
        <v>#N/A</v>
      </c>
      <c r="AK108" s="3"/>
      <c r="AL108" s="6">
        <f t="shared" si="20"/>
        <v>0</v>
      </c>
      <c r="AM108" s="6">
        <f t="shared" si="21"/>
        <v>0</v>
      </c>
      <c r="AN108" s="6">
        <f t="shared" si="22"/>
        <v>0</v>
      </c>
      <c r="AO108" s="6">
        <f t="shared" si="23"/>
        <v>4</v>
      </c>
      <c r="AP108" s="6">
        <f t="shared" si="24"/>
        <v>0</v>
      </c>
      <c r="AQ108" s="6">
        <f t="shared" si="25"/>
        <v>4</v>
      </c>
      <c r="AR108" s="6"/>
      <c r="AS108" s="6"/>
      <c r="AT108" s="6"/>
      <c r="AU108" s="6"/>
      <c r="AV108" s="6"/>
      <c r="AW108" s="6"/>
      <c r="AX108" s="21"/>
      <c r="AY108" s="6"/>
      <c r="AZ108" s="6"/>
      <c r="BA108" s="6"/>
      <c r="BB108" s="6"/>
      <c r="BC108" s="6"/>
      <c r="BD108" s="6"/>
      <c r="BE108" s="6"/>
      <c r="BF108" s="6"/>
      <c r="BG108" s="21">
        <v>2</v>
      </c>
      <c r="BH108" s="6">
        <v>2</v>
      </c>
      <c r="BI108" s="6"/>
      <c r="BJ108" s="6"/>
      <c r="BK108" s="6"/>
      <c r="BL108" s="6"/>
      <c r="BM108" s="6"/>
      <c r="BN108" s="6"/>
      <c r="BO108" s="6"/>
      <c r="BP108" s="3">
        <v>4</v>
      </c>
      <c r="BQ108" s="6">
        <f t="shared" si="16"/>
        <v>4</v>
      </c>
      <c r="BT108">
        <v>2</v>
      </c>
      <c r="BV108">
        <v>2</v>
      </c>
    </row>
    <row r="109" spans="1:74" x14ac:dyDescent="0.3">
      <c r="A109" s="3" t="s">
        <v>17</v>
      </c>
      <c r="B109" s="3">
        <v>312</v>
      </c>
      <c r="C109" s="3" t="s">
        <v>183</v>
      </c>
      <c r="D109" s="3">
        <v>6</v>
      </c>
      <c r="E109" s="3">
        <v>4</v>
      </c>
      <c r="F109" s="3" t="s">
        <v>20</v>
      </c>
      <c r="G109" s="3" t="s">
        <v>20</v>
      </c>
      <c r="H109" s="3" t="s">
        <v>186</v>
      </c>
      <c r="I109" s="3"/>
      <c r="J109" s="3" t="s">
        <v>91</v>
      </c>
      <c r="K109" s="3" t="s">
        <v>187</v>
      </c>
      <c r="L109" s="3" t="s">
        <v>24</v>
      </c>
      <c r="M109" s="3">
        <v>11</v>
      </c>
      <c r="N109" s="6"/>
      <c r="O109" s="3">
        <v>1</v>
      </c>
      <c r="P109" s="3">
        <v>1</v>
      </c>
      <c r="Q109" s="3">
        <v>0</v>
      </c>
      <c r="R109" s="3">
        <v>1</v>
      </c>
      <c r="S109" s="3">
        <v>0</v>
      </c>
      <c r="T109" s="3">
        <v>0</v>
      </c>
      <c r="U109" s="3">
        <v>0</v>
      </c>
      <c r="V109" s="3">
        <f t="shared" si="17"/>
        <v>1</v>
      </c>
      <c r="W109" s="3">
        <v>0</v>
      </c>
      <c r="X109" s="3">
        <v>1</v>
      </c>
      <c r="Y109" s="3">
        <v>0</v>
      </c>
      <c r="Z109" s="3">
        <v>0</v>
      </c>
      <c r="AA109" s="3">
        <v>0</v>
      </c>
      <c r="AB109" s="3">
        <f t="shared" si="18"/>
        <v>1</v>
      </c>
      <c r="AC109" s="6">
        <f t="shared" si="26"/>
        <v>0</v>
      </c>
      <c r="AD109" s="6">
        <f t="shared" si="27"/>
        <v>0</v>
      </c>
      <c r="AE109" s="6">
        <f t="shared" si="28"/>
        <v>0</v>
      </c>
      <c r="AF109" s="6">
        <f t="shared" si="29"/>
        <v>0</v>
      </c>
      <c r="AG109" s="6">
        <f t="shared" si="30"/>
        <v>0</v>
      </c>
      <c r="AH109" s="6">
        <f t="shared" si="19"/>
        <v>0</v>
      </c>
      <c r="AI109" s="3"/>
      <c r="AJ109" s="3" t="e">
        <f>_xlfn.XLOOKUP(K109,工作表1!A:A,工作表1!C:C)</f>
        <v>#N/A</v>
      </c>
      <c r="AK109" s="3"/>
      <c r="AL109" s="6">
        <f t="shared" si="20"/>
        <v>0</v>
      </c>
      <c r="AM109" s="6">
        <f t="shared" si="21"/>
        <v>1</v>
      </c>
      <c r="AN109" s="6">
        <f t="shared" si="22"/>
        <v>0</v>
      </c>
      <c r="AO109" s="6">
        <f t="shared" si="23"/>
        <v>0</v>
      </c>
      <c r="AP109" s="6">
        <f t="shared" si="24"/>
        <v>0</v>
      </c>
      <c r="AQ109" s="6">
        <f t="shared" si="25"/>
        <v>1</v>
      </c>
      <c r="AR109" s="6"/>
      <c r="AS109" s="6"/>
      <c r="AT109" s="6"/>
      <c r="AU109" s="6"/>
      <c r="AV109" s="6"/>
      <c r="AW109" s="6"/>
      <c r="AX109" s="6">
        <v>1</v>
      </c>
      <c r="AY109" s="6"/>
      <c r="AZ109" s="6"/>
      <c r="BA109" s="6"/>
      <c r="BB109" s="6"/>
      <c r="BC109" s="6"/>
      <c r="BD109" s="6"/>
      <c r="BE109" s="6"/>
      <c r="BF109" s="6"/>
      <c r="BG109" s="6"/>
      <c r="BH109" s="6"/>
      <c r="BI109" s="6"/>
      <c r="BJ109" s="6"/>
      <c r="BK109" s="6"/>
      <c r="BL109" s="6"/>
      <c r="BM109" s="6"/>
      <c r="BN109" s="6"/>
      <c r="BO109" s="6"/>
      <c r="BP109" s="3">
        <v>1</v>
      </c>
      <c r="BQ109" s="6">
        <f t="shared" si="16"/>
        <v>1</v>
      </c>
      <c r="BT109">
        <v>1</v>
      </c>
    </row>
    <row r="110" spans="1:74" x14ac:dyDescent="0.3">
      <c r="A110" s="3" t="s">
        <v>17</v>
      </c>
      <c r="B110" s="3">
        <v>312</v>
      </c>
      <c r="C110" s="3" t="s">
        <v>183</v>
      </c>
      <c r="D110" s="3">
        <v>4</v>
      </c>
      <c r="E110" s="3">
        <v>2</v>
      </c>
      <c r="F110" s="3" t="s">
        <v>20</v>
      </c>
      <c r="G110" s="3" t="s">
        <v>25</v>
      </c>
      <c r="H110" s="3" t="s">
        <v>188</v>
      </c>
      <c r="I110" s="3"/>
      <c r="J110" s="3" t="s">
        <v>91</v>
      </c>
      <c r="K110" s="3" t="s">
        <v>189</v>
      </c>
      <c r="L110" s="3" t="s">
        <v>24</v>
      </c>
      <c r="M110" s="3">
        <v>19</v>
      </c>
      <c r="N110" s="6"/>
      <c r="O110" s="3">
        <v>17</v>
      </c>
      <c r="P110" s="3">
        <v>17</v>
      </c>
      <c r="Q110" s="3">
        <v>0</v>
      </c>
      <c r="R110" s="3">
        <v>16</v>
      </c>
      <c r="S110" s="3">
        <v>0</v>
      </c>
      <c r="T110" s="3">
        <v>1</v>
      </c>
      <c r="U110" s="3">
        <v>0</v>
      </c>
      <c r="V110" s="3">
        <f t="shared" si="17"/>
        <v>17</v>
      </c>
      <c r="W110" s="3">
        <v>0</v>
      </c>
      <c r="X110" s="3">
        <v>16</v>
      </c>
      <c r="Y110" s="3">
        <v>0</v>
      </c>
      <c r="Z110" s="3">
        <v>1</v>
      </c>
      <c r="AA110" s="3">
        <v>0</v>
      </c>
      <c r="AB110" s="3">
        <f t="shared" si="18"/>
        <v>17</v>
      </c>
      <c r="AC110" s="6">
        <f t="shared" si="26"/>
        <v>0</v>
      </c>
      <c r="AD110" s="6">
        <f t="shared" si="27"/>
        <v>0</v>
      </c>
      <c r="AE110" s="6">
        <f t="shared" si="28"/>
        <v>0</v>
      </c>
      <c r="AF110" s="6">
        <f t="shared" si="29"/>
        <v>0</v>
      </c>
      <c r="AG110" s="6">
        <f t="shared" si="30"/>
        <v>0</v>
      </c>
      <c r="AH110" s="6">
        <f t="shared" si="19"/>
        <v>0</v>
      </c>
      <c r="AI110" s="3"/>
      <c r="AJ110" s="3" t="e">
        <f>_xlfn.XLOOKUP(K110,工作表1!A:A,工作表1!C:C)</f>
        <v>#N/A</v>
      </c>
      <c r="AK110" s="3"/>
      <c r="AL110" s="6">
        <f t="shared" si="20"/>
        <v>0</v>
      </c>
      <c r="AM110" s="6">
        <f t="shared" si="21"/>
        <v>16</v>
      </c>
      <c r="AN110" s="6">
        <f t="shared" si="22"/>
        <v>0</v>
      </c>
      <c r="AO110" s="6">
        <f t="shared" si="23"/>
        <v>1</v>
      </c>
      <c r="AP110" s="6">
        <f t="shared" si="24"/>
        <v>0</v>
      </c>
      <c r="AQ110" s="6">
        <f t="shared" si="25"/>
        <v>17</v>
      </c>
      <c r="AR110" s="6"/>
      <c r="AS110" s="6"/>
      <c r="AT110" s="6"/>
      <c r="AU110" s="6"/>
      <c r="AV110" s="6"/>
      <c r="AW110" s="6"/>
      <c r="AX110" s="21">
        <v>16</v>
      </c>
      <c r="AY110" s="6"/>
      <c r="AZ110" s="6"/>
      <c r="BA110" s="6"/>
      <c r="BB110" s="6"/>
      <c r="BC110" s="6"/>
      <c r="BD110" s="6"/>
      <c r="BE110" s="6"/>
      <c r="BF110" s="6"/>
      <c r="BG110" s="21">
        <v>1</v>
      </c>
      <c r="BH110" s="6"/>
      <c r="BI110" s="6"/>
      <c r="BJ110" s="6"/>
      <c r="BK110" s="6"/>
      <c r="BL110" s="6"/>
      <c r="BM110" s="6"/>
      <c r="BN110" s="6"/>
      <c r="BO110" s="6"/>
      <c r="BP110" s="3">
        <v>17</v>
      </c>
      <c r="BQ110" s="6">
        <f t="shared" si="16"/>
        <v>17</v>
      </c>
      <c r="BT110">
        <v>17</v>
      </c>
    </row>
    <row r="111" spans="1:74" x14ac:dyDescent="0.3">
      <c r="A111" s="3" t="s">
        <v>17</v>
      </c>
      <c r="B111" s="3">
        <v>312</v>
      </c>
      <c r="C111" s="3" t="s">
        <v>183</v>
      </c>
      <c r="D111" s="3">
        <v>3</v>
      </c>
      <c r="E111" s="3">
        <v>1.5</v>
      </c>
      <c r="F111" s="3" t="s">
        <v>20</v>
      </c>
      <c r="G111" s="3" t="s">
        <v>25</v>
      </c>
      <c r="H111" s="3" t="s">
        <v>190</v>
      </c>
      <c r="I111" s="3"/>
      <c r="J111" s="3" t="s">
        <v>91</v>
      </c>
      <c r="K111" s="3" t="s">
        <v>191</v>
      </c>
      <c r="L111" s="3" t="s">
        <v>24</v>
      </c>
      <c r="M111" s="3">
        <v>11</v>
      </c>
      <c r="N111" s="6"/>
      <c r="O111" s="3">
        <v>1</v>
      </c>
      <c r="P111" s="3">
        <v>1</v>
      </c>
      <c r="Q111" s="3">
        <v>0</v>
      </c>
      <c r="R111" s="3">
        <v>1</v>
      </c>
      <c r="S111" s="3">
        <v>0</v>
      </c>
      <c r="T111" s="3">
        <v>0</v>
      </c>
      <c r="U111" s="3">
        <v>0</v>
      </c>
      <c r="V111" s="3">
        <f t="shared" si="17"/>
        <v>1</v>
      </c>
      <c r="W111" s="3">
        <v>0</v>
      </c>
      <c r="X111" s="3">
        <v>1</v>
      </c>
      <c r="Y111" s="3">
        <v>0</v>
      </c>
      <c r="Z111" s="3">
        <v>0</v>
      </c>
      <c r="AA111" s="3">
        <v>0</v>
      </c>
      <c r="AB111" s="3">
        <f t="shared" si="18"/>
        <v>1</v>
      </c>
      <c r="AC111" s="6">
        <f t="shared" si="26"/>
        <v>0</v>
      </c>
      <c r="AD111" s="6">
        <f t="shared" si="27"/>
        <v>-1</v>
      </c>
      <c r="AE111" s="6">
        <f t="shared" si="28"/>
        <v>0</v>
      </c>
      <c r="AF111" s="6">
        <f t="shared" si="29"/>
        <v>0</v>
      </c>
      <c r="AG111" s="6">
        <f t="shared" si="30"/>
        <v>0</v>
      </c>
      <c r="AH111" s="6">
        <f t="shared" si="19"/>
        <v>-1</v>
      </c>
      <c r="AI111" s="3"/>
      <c r="AJ111" s="3" t="e">
        <f>_xlfn.XLOOKUP(K111,工作表1!A:A,工作表1!C:C)</f>
        <v>#N/A</v>
      </c>
      <c r="AK111" s="3"/>
      <c r="AL111" s="6">
        <f t="shared" si="20"/>
        <v>0</v>
      </c>
      <c r="AM111" s="6">
        <f t="shared" si="21"/>
        <v>0</v>
      </c>
      <c r="AN111" s="6">
        <f t="shared" si="22"/>
        <v>0</v>
      </c>
      <c r="AO111" s="6">
        <f t="shared" si="23"/>
        <v>0</v>
      </c>
      <c r="AP111" s="6">
        <f t="shared" si="24"/>
        <v>0</v>
      </c>
      <c r="AQ111" s="6">
        <f t="shared" si="25"/>
        <v>0</v>
      </c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  <c r="BC111" s="6"/>
      <c r="BD111" s="6"/>
      <c r="BE111" s="6"/>
      <c r="BF111" s="6"/>
      <c r="BG111" s="6"/>
      <c r="BH111" s="6"/>
      <c r="BI111" s="6"/>
      <c r="BJ111" s="6"/>
      <c r="BK111" s="6"/>
      <c r="BL111" s="6"/>
      <c r="BM111" s="6"/>
      <c r="BN111" s="6"/>
      <c r="BO111" s="6"/>
      <c r="BP111" s="3">
        <v>1</v>
      </c>
      <c r="BQ111" s="6">
        <f t="shared" si="16"/>
        <v>0</v>
      </c>
    </row>
    <row r="112" spans="1:74" x14ac:dyDescent="0.3">
      <c r="A112" s="3" t="s">
        <v>17</v>
      </c>
      <c r="B112" s="3">
        <v>312</v>
      </c>
      <c r="C112" s="3" t="s">
        <v>183</v>
      </c>
      <c r="D112" s="3">
        <v>2</v>
      </c>
      <c r="E112" s="3">
        <v>1.5</v>
      </c>
      <c r="F112" s="3" t="s">
        <v>25</v>
      </c>
      <c r="G112" s="3" t="s">
        <v>25</v>
      </c>
      <c r="H112" s="3" t="s">
        <v>192</v>
      </c>
      <c r="I112" s="3"/>
      <c r="J112" s="3" t="s">
        <v>91</v>
      </c>
      <c r="K112" s="3" t="s">
        <v>193</v>
      </c>
      <c r="L112" s="3" t="s">
        <v>24</v>
      </c>
      <c r="M112" s="3">
        <v>2</v>
      </c>
      <c r="N112" s="6"/>
      <c r="O112" s="3">
        <v>1</v>
      </c>
      <c r="P112" s="3">
        <v>1</v>
      </c>
      <c r="Q112" s="3">
        <v>0</v>
      </c>
      <c r="R112" s="3">
        <v>0</v>
      </c>
      <c r="S112" s="3">
        <v>0</v>
      </c>
      <c r="T112" s="3">
        <v>1</v>
      </c>
      <c r="U112" s="3">
        <v>0</v>
      </c>
      <c r="V112" s="3">
        <f t="shared" si="17"/>
        <v>1</v>
      </c>
      <c r="W112" s="3">
        <v>0</v>
      </c>
      <c r="X112" s="3">
        <v>0</v>
      </c>
      <c r="Y112" s="3">
        <v>0</v>
      </c>
      <c r="Z112" s="3">
        <v>1</v>
      </c>
      <c r="AA112" s="3">
        <v>0</v>
      </c>
      <c r="AB112" s="3">
        <f t="shared" si="18"/>
        <v>1</v>
      </c>
      <c r="AC112" s="6">
        <f t="shared" si="26"/>
        <v>0</v>
      </c>
      <c r="AD112" s="6">
        <f t="shared" si="27"/>
        <v>0</v>
      </c>
      <c r="AE112" s="6">
        <f t="shared" si="28"/>
        <v>0</v>
      </c>
      <c r="AF112" s="6">
        <f t="shared" si="29"/>
        <v>0</v>
      </c>
      <c r="AG112" s="6">
        <f t="shared" si="30"/>
        <v>0</v>
      </c>
      <c r="AH112" s="6">
        <f t="shared" si="19"/>
        <v>0</v>
      </c>
      <c r="AI112" s="3"/>
      <c r="AJ112" s="3" t="e">
        <f>_xlfn.XLOOKUP(K112,工作表1!A:A,工作表1!C:C)</f>
        <v>#N/A</v>
      </c>
      <c r="AK112" s="3"/>
      <c r="AL112" s="6">
        <f t="shared" si="20"/>
        <v>0</v>
      </c>
      <c r="AM112" s="6">
        <f t="shared" si="21"/>
        <v>0</v>
      </c>
      <c r="AN112" s="6">
        <f t="shared" si="22"/>
        <v>0</v>
      </c>
      <c r="AO112" s="6">
        <f t="shared" si="23"/>
        <v>1</v>
      </c>
      <c r="AP112" s="6">
        <f t="shared" si="24"/>
        <v>0</v>
      </c>
      <c r="AQ112" s="6">
        <f t="shared" si="25"/>
        <v>1</v>
      </c>
      <c r="AR112" s="6"/>
      <c r="AS112" s="6"/>
      <c r="AT112" s="6"/>
      <c r="AU112" s="6"/>
      <c r="AV112" s="6"/>
      <c r="AW112" s="21"/>
      <c r="AX112" s="6"/>
      <c r="AY112" s="6"/>
      <c r="AZ112" s="6"/>
      <c r="BA112" s="6"/>
      <c r="BB112" s="6"/>
      <c r="BC112" s="6"/>
      <c r="BD112" s="6"/>
      <c r="BE112" s="6"/>
      <c r="BF112" s="21">
        <v>1</v>
      </c>
      <c r="BG112" s="6"/>
      <c r="BH112" s="6"/>
      <c r="BI112" s="6"/>
      <c r="BJ112" s="6"/>
      <c r="BK112" s="6"/>
      <c r="BL112" s="6"/>
      <c r="BM112" s="6"/>
      <c r="BN112" s="6"/>
      <c r="BO112" s="6"/>
      <c r="BP112" s="3">
        <v>1</v>
      </c>
      <c r="BQ112" s="6">
        <f t="shared" si="16"/>
        <v>1</v>
      </c>
      <c r="BR112">
        <v>1</v>
      </c>
    </row>
    <row r="113" spans="1:74" x14ac:dyDescent="0.3">
      <c r="A113" s="3" t="s">
        <v>17</v>
      </c>
      <c r="B113" s="3">
        <v>312</v>
      </c>
      <c r="C113" s="3" t="s">
        <v>183</v>
      </c>
      <c r="D113" s="3">
        <v>2</v>
      </c>
      <c r="E113" s="3">
        <v>1</v>
      </c>
      <c r="F113" s="3" t="s">
        <v>25</v>
      </c>
      <c r="G113" s="3" t="s">
        <v>25</v>
      </c>
      <c r="H113" s="3" t="s">
        <v>194</v>
      </c>
      <c r="I113" s="3"/>
      <c r="J113" s="3" t="s">
        <v>91</v>
      </c>
      <c r="K113" s="3" t="s">
        <v>195</v>
      </c>
      <c r="L113" s="3" t="s">
        <v>24</v>
      </c>
      <c r="M113" s="3">
        <v>10</v>
      </c>
      <c r="N113" s="6"/>
      <c r="O113" s="3">
        <v>2</v>
      </c>
      <c r="P113" s="3">
        <v>2</v>
      </c>
      <c r="Q113" s="3">
        <v>0</v>
      </c>
      <c r="R113" s="3">
        <v>2</v>
      </c>
      <c r="S113" s="3">
        <v>0</v>
      </c>
      <c r="T113" s="3">
        <v>0</v>
      </c>
      <c r="U113" s="3">
        <v>0</v>
      </c>
      <c r="V113" s="3">
        <f t="shared" si="17"/>
        <v>2</v>
      </c>
      <c r="W113" s="3">
        <v>0</v>
      </c>
      <c r="X113" s="3">
        <v>2</v>
      </c>
      <c r="Y113" s="3">
        <v>0</v>
      </c>
      <c r="Z113" s="3">
        <v>0</v>
      </c>
      <c r="AA113" s="3">
        <v>0</v>
      </c>
      <c r="AB113" s="3">
        <f t="shared" si="18"/>
        <v>2</v>
      </c>
      <c r="AC113" s="6">
        <f t="shared" si="26"/>
        <v>0</v>
      </c>
      <c r="AD113" s="6">
        <f t="shared" si="27"/>
        <v>0</v>
      </c>
      <c r="AE113" s="6">
        <f t="shared" si="28"/>
        <v>0</v>
      </c>
      <c r="AF113" s="6">
        <f t="shared" si="29"/>
        <v>0</v>
      </c>
      <c r="AG113" s="6">
        <f t="shared" si="30"/>
        <v>0</v>
      </c>
      <c r="AH113" s="6">
        <f t="shared" si="19"/>
        <v>0</v>
      </c>
      <c r="AI113" s="3"/>
      <c r="AJ113" s="3" t="e">
        <f>_xlfn.XLOOKUP(K113,工作表1!A:A,工作表1!C:C)</f>
        <v>#N/A</v>
      </c>
      <c r="AK113" s="3"/>
      <c r="AL113" s="6">
        <f t="shared" si="20"/>
        <v>0</v>
      </c>
      <c r="AM113" s="6">
        <f t="shared" si="21"/>
        <v>2</v>
      </c>
      <c r="AN113" s="6">
        <f t="shared" si="22"/>
        <v>0</v>
      </c>
      <c r="AO113" s="6">
        <f t="shared" si="23"/>
        <v>0</v>
      </c>
      <c r="AP113" s="6">
        <f t="shared" si="24"/>
        <v>0</v>
      </c>
      <c r="AQ113" s="6">
        <f t="shared" si="25"/>
        <v>2</v>
      </c>
      <c r="AR113" s="6"/>
      <c r="AS113" s="6"/>
      <c r="AT113" s="6"/>
      <c r="AU113" s="6"/>
      <c r="AV113" s="6"/>
      <c r="AW113" s="6">
        <v>2</v>
      </c>
      <c r="AX113" s="6"/>
      <c r="AY113" s="6"/>
      <c r="AZ113" s="6"/>
      <c r="BA113" s="6"/>
      <c r="BB113" s="6"/>
      <c r="BC113" s="6"/>
      <c r="BD113" s="6"/>
      <c r="BE113" s="6"/>
      <c r="BF113" s="6"/>
      <c r="BG113" s="6"/>
      <c r="BH113" s="6"/>
      <c r="BI113" s="6"/>
      <c r="BJ113" s="6"/>
      <c r="BK113" s="6"/>
      <c r="BL113" s="6"/>
      <c r="BM113" s="6"/>
      <c r="BN113" s="6"/>
      <c r="BO113" s="6"/>
      <c r="BP113" s="3">
        <v>2</v>
      </c>
      <c r="BQ113" s="6">
        <f t="shared" si="16"/>
        <v>2</v>
      </c>
      <c r="BR113">
        <v>2</v>
      </c>
    </row>
    <row r="114" spans="1:74" x14ac:dyDescent="0.3">
      <c r="A114" s="3" t="s">
        <v>17</v>
      </c>
      <c r="B114" s="3">
        <v>312</v>
      </c>
      <c r="C114" s="3" t="s">
        <v>196</v>
      </c>
      <c r="D114" s="3">
        <v>6</v>
      </c>
      <c r="E114" s="3">
        <v>4</v>
      </c>
      <c r="F114" s="3" t="s">
        <v>41</v>
      </c>
      <c r="G114" s="3" t="s">
        <v>45</v>
      </c>
      <c r="H114" s="3" t="s">
        <v>197</v>
      </c>
      <c r="I114" s="3"/>
      <c r="J114" s="3" t="s">
        <v>91</v>
      </c>
      <c r="K114" s="3" t="s">
        <v>198</v>
      </c>
      <c r="L114" s="3" t="s">
        <v>24</v>
      </c>
      <c r="M114" s="3">
        <v>1</v>
      </c>
      <c r="N114" s="6"/>
      <c r="O114" s="3">
        <v>1</v>
      </c>
      <c r="P114" s="3">
        <v>1</v>
      </c>
      <c r="Q114" s="3">
        <v>0</v>
      </c>
      <c r="R114" s="3">
        <v>0</v>
      </c>
      <c r="S114" s="3">
        <v>1</v>
      </c>
      <c r="T114" s="3">
        <v>0</v>
      </c>
      <c r="U114" s="3">
        <v>0</v>
      </c>
      <c r="V114" s="3">
        <f t="shared" si="17"/>
        <v>1</v>
      </c>
      <c r="W114" s="3">
        <v>0</v>
      </c>
      <c r="X114" s="3">
        <v>0</v>
      </c>
      <c r="Y114" s="3">
        <v>1</v>
      </c>
      <c r="Z114" s="3">
        <v>0</v>
      </c>
      <c r="AA114" s="3">
        <v>0</v>
      </c>
      <c r="AB114" s="3">
        <f t="shared" si="18"/>
        <v>1</v>
      </c>
      <c r="AC114" s="6">
        <f t="shared" si="26"/>
        <v>0</v>
      </c>
      <c r="AD114" s="6">
        <f t="shared" si="27"/>
        <v>0</v>
      </c>
      <c r="AE114" s="6">
        <f t="shared" si="28"/>
        <v>-1</v>
      </c>
      <c r="AF114" s="6">
        <f t="shared" si="29"/>
        <v>0</v>
      </c>
      <c r="AG114" s="6">
        <f t="shared" si="30"/>
        <v>0</v>
      </c>
      <c r="AH114" s="6">
        <f t="shared" si="19"/>
        <v>-1</v>
      </c>
      <c r="AI114" s="3"/>
      <c r="AJ114" s="3" t="e">
        <f>_xlfn.XLOOKUP(K114,工作表1!A:A,工作表1!C:C)</f>
        <v>#N/A</v>
      </c>
      <c r="AK114" s="3"/>
      <c r="AL114" s="6">
        <f t="shared" si="20"/>
        <v>0</v>
      </c>
      <c r="AM114" s="6">
        <f t="shared" si="21"/>
        <v>0</v>
      </c>
      <c r="AN114" s="6">
        <f t="shared" si="22"/>
        <v>0</v>
      </c>
      <c r="AO114" s="6">
        <f t="shared" si="23"/>
        <v>0</v>
      </c>
      <c r="AP114" s="6">
        <f t="shared" si="24"/>
        <v>0</v>
      </c>
      <c r="AQ114" s="6">
        <f t="shared" si="25"/>
        <v>0</v>
      </c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  <c r="BC114" s="6"/>
      <c r="BD114" s="6"/>
      <c r="BE114" s="6"/>
      <c r="BF114" s="6"/>
      <c r="BG114" s="6"/>
      <c r="BH114" s="6"/>
      <c r="BI114" s="6"/>
      <c r="BJ114" s="6"/>
      <c r="BK114" s="6"/>
      <c r="BL114" s="6"/>
      <c r="BM114" s="6"/>
      <c r="BN114" s="6"/>
      <c r="BO114" s="6"/>
      <c r="BP114" s="3">
        <v>1</v>
      </c>
      <c r="BQ114" s="6">
        <f t="shared" si="16"/>
        <v>0</v>
      </c>
    </row>
    <row r="115" spans="1:74" x14ac:dyDescent="0.3">
      <c r="A115" s="3" t="s">
        <v>17</v>
      </c>
      <c r="B115" s="3">
        <v>312</v>
      </c>
      <c r="C115" s="3" t="s">
        <v>196</v>
      </c>
      <c r="D115" s="3">
        <v>1</v>
      </c>
      <c r="E115" s="3">
        <v>0.75</v>
      </c>
      <c r="F115" s="3" t="s">
        <v>41</v>
      </c>
      <c r="G115" s="3" t="s">
        <v>41</v>
      </c>
      <c r="H115" s="3" t="s">
        <v>199</v>
      </c>
      <c r="I115" s="3"/>
      <c r="J115" s="3" t="s">
        <v>91</v>
      </c>
      <c r="K115" s="3" t="s">
        <v>200</v>
      </c>
      <c r="L115" s="3" t="s">
        <v>24</v>
      </c>
      <c r="M115" s="3">
        <v>3</v>
      </c>
      <c r="N115" s="6"/>
      <c r="O115" s="3">
        <v>3</v>
      </c>
      <c r="P115" s="3">
        <v>3</v>
      </c>
      <c r="Q115" s="3">
        <v>0</v>
      </c>
      <c r="R115" s="3">
        <v>0</v>
      </c>
      <c r="S115" s="3">
        <v>0</v>
      </c>
      <c r="T115" s="3">
        <v>3</v>
      </c>
      <c r="U115" s="3">
        <v>0</v>
      </c>
      <c r="V115" s="3">
        <f t="shared" si="17"/>
        <v>3</v>
      </c>
      <c r="W115" s="3">
        <v>0</v>
      </c>
      <c r="X115" s="3">
        <v>0</v>
      </c>
      <c r="Y115" s="3">
        <v>0</v>
      </c>
      <c r="Z115" s="3">
        <v>3</v>
      </c>
      <c r="AA115" s="3">
        <v>0</v>
      </c>
      <c r="AB115" s="3">
        <f t="shared" si="18"/>
        <v>3</v>
      </c>
      <c r="AC115" s="6">
        <f t="shared" si="26"/>
        <v>0</v>
      </c>
      <c r="AD115" s="6">
        <f t="shared" si="27"/>
        <v>0</v>
      </c>
      <c r="AE115" s="6">
        <f t="shared" si="28"/>
        <v>0</v>
      </c>
      <c r="AF115" s="6">
        <f t="shared" si="29"/>
        <v>0</v>
      </c>
      <c r="AG115" s="6">
        <f t="shared" si="30"/>
        <v>0</v>
      </c>
      <c r="AH115" s="6">
        <f t="shared" si="19"/>
        <v>0</v>
      </c>
      <c r="AI115" s="3"/>
      <c r="AJ115" s="3" t="e">
        <f>_xlfn.XLOOKUP(K115,工作表1!A:A,工作表1!C:C)</f>
        <v>#N/A</v>
      </c>
      <c r="AK115" s="3"/>
      <c r="AL115" s="6">
        <f t="shared" si="20"/>
        <v>0</v>
      </c>
      <c r="AM115" s="6">
        <f t="shared" si="21"/>
        <v>0</v>
      </c>
      <c r="AN115" s="6">
        <f t="shared" si="22"/>
        <v>0</v>
      </c>
      <c r="AO115" s="6">
        <f t="shared" si="23"/>
        <v>3</v>
      </c>
      <c r="AP115" s="6">
        <f t="shared" si="24"/>
        <v>0</v>
      </c>
      <c r="AQ115" s="6">
        <f t="shared" si="25"/>
        <v>3</v>
      </c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  <c r="BC115" s="6"/>
      <c r="BD115" s="6"/>
      <c r="BE115" s="6"/>
      <c r="BF115" s="6"/>
      <c r="BG115" s="6"/>
      <c r="BH115" s="6"/>
      <c r="BI115" s="6">
        <v>3</v>
      </c>
      <c r="BJ115" s="6"/>
      <c r="BK115" s="6"/>
      <c r="BL115" s="6"/>
      <c r="BM115" s="6"/>
      <c r="BN115" s="6"/>
      <c r="BO115" s="6"/>
      <c r="BP115" s="3">
        <v>3</v>
      </c>
      <c r="BQ115" s="6">
        <f t="shared" si="16"/>
        <v>3</v>
      </c>
      <c r="BV115">
        <v>3</v>
      </c>
    </row>
    <row r="116" spans="1:74" x14ac:dyDescent="0.3">
      <c r="A116" s="3" t="s">
        <v>17</v>
      </c>
      <c r="B116" s="3">
        <v>312</v>
      </c>
      <c r="C116" s="3" t="s">
        <v>201</v>
      </c>
      <c r="D116" s="3">
        <v>8</v>
      </c>
      <c r="E116" s="3">
        <v>4</v>
      </c>
      <c r="F116" s="3" t="s">
        <v>69</v>
      </c>
      <c r="G116" s="3" t="s">
        <v>45</v>
      </c>
      <c r="H116" s="3" t="s">
        <v>202</v>
      </c>
      <c r="I116" s="3"/>
      <c r="J116" s="3" t="s">
        <v>91</v>
      </c>
      <c r="K116" s="3" t="s">
        <v>203</v>
      </c>
      <c r="L116" s="3" t="s">
        <v>24</v>
      </c>
      <c r="M116" s="3">
        <v>1</v>
      </c>
      <c r="N116" s="6"/>
      <c r="O116" s="3">
        <v>1</v>
      </c>
      <c r="P116" s="3">
        <v>1</v>
      </c>
      <c r="Q116" s="3">
        <v>0</v>
      </c>
      <c r="R116" s="3">
        <v>0</v>
      </c>
      <c r="S116" s="3">
        <v>1</v>
      </c>
      <c r="T116" s="3">
        <v>0</v>
      </c>
      <c r="U116" s="3">
        <v>0</v>
      </c>
      <c r="V116" s="3">
        <f t="shared" si="17"/>
        <v>1</v>
      </c>
      <c r="W116" s="3">
        <v>0</v>
      </c>
      <c r="X116" s="3">
        <v>0</v>
      </c>
      <c r="Y116" s="3">
        <v>1</v>
      </c>
      <c r="Z116" s="3">
        <v>0</v>
      </c>
      <c r="AA116" s="3">
        <v>0</v>
      </c>
      <c r="AB116" s="3">
        <f t="shared" si="18"/>
        <v>1</v>
      </c>
      <c r="AC116" s="6">
        <f t="shared" si="26"/>
        <v>0</v>
      </c>
      <c r="AD116" s="6">
        <f t="shared" si="27"/>
        <v>0</v>
      </c>
      <c r="AE116" s="6">
        <f t="shared" si="28"/>
        <v>-1</v>
      </c>
      <c r="AF116" s="6">
        <f t="shared" si="29"/>
        <v>0</v>
      </c>
      <c r="AG116" s="6">
        <f t="shared" si="30"/>
        <v>0</v>
      </c>
      <c r="AH116" s="6">
        <f t="shared" si="19"/>
        <v>-1</v>
      </c>
      <c r="AI116" s="3"/>
      <c r="AJ116" s="3" t="e">
        <f>_xlfn.XLOOKUP(K116,工作表1!A:A,工作表1!C:C)</f>
        <v>#N/A</v>
      </c>
      <c r="AK116" s="3"/>
      <c r="AL116" s="6">
        <f t="shared" si="20"/>
        <v>0</v>
      </c>
      <c r="AM116" s="6">
        <f t="shared" si="21"/>
        <v>0</v>
      </c>
      <c r="AN116" s="6">
        <f t="shared" si="22"/>
        <v>0</v>
      </c>
      <c r="AO116" s="6">
        <f t="shared" si="23"/>
        <v>0</v>
      </c>
      <c r="AP116" s="6">
        <f t="shared" si="24"/>
        <v>0</v>
      </c>
      <c r="AQ116" s="6">
        <f t="shared" si="25"/>
        <v>0</v>
      </c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  <c r="BC116" s="6"/>
      <c r="BD116" s="6"/>
      <c r="BE116" s="6"/>
      <c r="BF116" s="6"/>
      <c r="BG116" s="6"/>
      <c r="BH116" s="6"/>
      <c r="BI116" s="6"/>
      <c r="BJ116" s="6"/>
      <c r="BK116" s="6"/>
      <c r="BL116" s="6"/>
      <c r="BM116" s="6"/>
      <c r="BN116" s="6"/>
      <c r="BO116" s="6"/>
      <c r="BP116" s="3">
        <v>1</v>
      </c>
      <c r="BQ116" s="6">
        <f t="shared" si="16"/>
        <v>0</v>
      </c>
    </row>
    <row r="117" spans="1:74" x14ac:dyDescent="0.3">
      <c r="A117" s="3" t="s">
        <v>17</v>
      </c>
      <c r="B117" s="3">
        <v>312</v>
      </c>
      <c r="C117" s="3" t="s">
        <v>201</v>
      </c>
      <c r="D117" s="3">
        <v>8</v>
      </c>
      <c r="E117" s="3">
        <v>6</v>
      </c>
      <c r="F117" s="3" t="s">
        <v>69</v>
      </c>
      <c r="G117" s="3" t="s">
        <v>41</v>
      </c>
      <c r="H117" s="3" t="s">
        <v>204</v>
      </c>
      <c r="I117" s="3"/>
      <c r="J117" s="3" t="s">
        <v>91</v>
      </c>
      <c r="K117" s="3" t="s">
        <v>205</v>
      </c>
      <c r="L117" s="3" t="s">
        <v>24</v>
      </c>
      <c r="M117" s="3">
        <v>1</v>
      </c>
      <c r="N117" s="6"/>
      <c r="O117" s="3">
        <v>1</v>
      </c>
      <c r="P117" s="3">
        <v>1</v>
      </c>
      <c r="Q117" s="3">
        <v>0</v>
      </c>
      <c r="R117" s="3">
        <v>0</v>
      </c>
      <c r="S117" s="3">
        <v>1</v>
      </c>
      <c r="T117" s="3">
        <v>0</v>
      </c>
      <c r="U117" s="3">
        <v>0</v>
      </c>
      <c r="V117" s="3">
        <f t="shared" si="17"/>
        <v>1</v>
      </c>
      <c r="W117" s="3">
        <v>0</v>
      </c>
      <c r="X117" s="3">
        <v>0</v>
      </c>
      <c r="Y117" s="3">
        <v>1</v>
      </c>
      <c r="Z117" s="3">
        <v>0</v>
      </c>
      <c r="AA117" s="3">
        <v>0</v>
      </c>
      <c r="AB117" s="3">
        <f t="shared" si="18"/>
        <v>1</v>
      </c>
      <c r="AC117" s="6">
        <f t="shared" si="26"/>
        <v>0</v>
      </c>
      <c r="AD117" s="6">
        <f t="shared" si="27"/>
        <v>0</v>
      </c>
      <c r="AE117" s="6">
        <f t="shared" si="28"/>
        <v>-1</v>
      </c>
      <c r="AF117" s="6">
        <f t="shared" si="29"/>
        <v>0</v>
      </c>
      <c r="AG117" s="6">
        <f t="shared" si="30"/>
        <v>0</v>
      </c>
      <c r="AH117" s="6">
        <f t="shared" si="19"/>
        <v>-1</v>
      </c>
      <c r="AI117" s="3"/>
      <c r="AJ117" s="3" t="e">
        <f>_xlfn.XLOOKUP(K117,工作表1!A:A,工作表1!C:C)</f>
        <v>#N/A</v>
      </c>
      <c r="AK117" s="3"/>
      <c r="AL117" s="6">
        <f t="shared" si="20"/>
        <v>0</v>
      </c>
      <c r="AM117" s="6">
        <f t="shared" si="21"/>
        <v>0</v>
      </c>
      <c r="AN117" s="6">
        <f t="shared" si="22"/>
        <v>0</v>
      </c>
      <c r="AO117" s="6">
        <f t="shared" si="23"/>
        <v>0</v>
      </c>
      <c r="AP117" s="6">
        <f t="shared" si="24"/>
        <v>0</v>
      </c>
      <c r="AQ117" s="6">
        <f t="shared" si="25"/>
        <v>0</v>
      </c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  <c r="BC117" s="6"/>
      <c r="BD117" s="6"/>
      <c r="BE117" s="6"/>
      <c r="BF117" s="6"/>
      <c r="BG117" s="6"/>
      <c r="BH117" s="6"/>
      <c r="BI117" s="6"/>
      <c r="BJ117" s="6"/>
      <c r="BK117" s="6"/>
      <c r="BL117" s="6"/>
      <c r="BM117" s="6"/>
      <c r="BN117" s="6"/>
      <c r="BO117" s="6"/>
      <c r="BP117" s="3">
        <v>1</v>
      </c>
      <c r="BQ117" s="6">
        <f t="shared" si="16"/>
        <v>0</v>
      </c>
    </row>
    <row r="118" spans="1:74" x14ac:dyDescent="0.3">
      <c r="A118" s="3" t="s">
        <v>17</v>
      </c>
      <c r="B118" s="3">
        <v>321</v>
      </c>
      <c r="C118" s="3" t="s">
        <v>206</v>
      </c>
      <c r="D118" s="3">
        <v>0.5</v>
      </c>
      <c r="E118" s="3" t="s">
        <v>19</v>
      </c>
      <c r="F118" s="3" t="s">
        <v>19</v>
      </c>
      <c r="G118" s="3" t="s">
        <v>19</v>
      </c>
      <c r="H118" s="3" t="s">
        <v>105</v>
      </c>
      <c r="I118" s="3"/>
      <c r="J118" s="3" t="s">
        <v>91</v>
      </c>
      <c r="K118" s="3" t="s">
        <v>207</v>
      </c>
      <c r="L118" s="3" t="s">
        <v>24</v>
      </c>
      <c r="M118" s="3">
        <v>22</v>
      </c>
      <c r="N118" s="6"/>
      <c r="O118" s="3">
        <v>15</v>
      </c>
      <c r="P118" s="3">
        <v>15</v>
      </c>
      <c r="Q118" s="3">
        <v>0</v>
      </c>
      <c r="R118" s="3">
        <v>0</v>
      </c>
      <c r="S118" s="3">
        <v>9</v>
      </c>
      <c r="T118" s="3">
        <v>6</v>
      </c>
      <c r="U118" s="3">
        <v>0</v>
      </c>
      <c r="V118" s="3">
        <f t="shared" si="17"/>
        <v>15</v>
      </c>
      <c r="W118" s="3">
        <v>0</v>
      </c>
      <c r="X118" s="3">
        <v>0</v>
      </c>
      <c r="Y118" s="3">
        <v>9</v>
      </c>
      <c r="Z118" s="3">
        <v>6</v>
      </c>
      <c r="AA118" s="3">
        <v>0</v>
      </c>
      <c r="AB118" s="3">
        <f t="shared" si="18"/>
        <v>15</v>
      </c>
      <c r="AC118" s="6">
        <f t="shared" si="26"/>
        <v>0</v>
      </c>
      <c r="AD118" s="6">
        <f t="shared" si="27"/>
        <v>0</v>
      </c>
      <c r="AE118" s="6">
        <f t="shared" si="28"/>
        <v>0</v>
      </c>
      <c r="AF118" s="6">
        <f t="shared" si="29"/>
        <v>0</v>
      </c>
      <c r="AG118" s="6">
        <f t="shared" si="30"/>
        <v>0</v>
      </c>
      <c r="AH118" s="6">
        <f t="shared" si="19"/>
        <v>0</v>
      </c>
      <c r="AI118" s="3"/>
      <c r="AJ118" s="3" t="e">
        <f>_xlfn.XLOOKUP(K118,工作表1!A:A,工作表1!C:C)</f>
        <v>#N/A</v>
      </c>
      <c r="AK118" s="3"/>
      <c r="AL118" s="6">
        <f t="shared" si="20"/>
        <v>0</v>
      </c>
      <c r="AM118" s="6">
        <f t="shared" si="21"/>
        <v>0</v>
      </c>
      <c r="AN118" s="6">
        <f t="shared" si="22"/>
        <v>9</v>
      </c>
      <c r="AO118" s="6">
        <f t="shared" si="23"/>
        <v>6</v>
      </c>
      <c r="AP118" s="6">
        <f t="shared" si="24"/>
        <v>0</v>
      </c>
      <c r="AQ118" s="6">
        <f t="shared" si="25"/>
        <v>15</v>
      </c>
      <c r="AR118" s="6"/>
      <c r="AS118" s="6"/>
      <c r="AT118" s="6"/>
      <c r="AU118" s="6"/>
      <c r="AV118" s="6"/>
      <c r="AW118" s="21"/>
      <c r="AX118" s="6"/>
      <c r="AY118" s="6"/>
      <c r="AZ118" s="6"/>
      <c r="BA118" s="21">
        <v>9</v>
      </c>
      <c r="BB118" s="6"/>
      <c r="BC118" s="6"/>
      <c r="BD118" s="6"/>
      <c r="BE118" s="6"/>
      <c r="BF118" s="21">
        <v>6</v>
      </c>
      <c r="BG118" s="6"/>
      <c r="BH118" s="6"/>
      <c r="BI118" s="6"/>
      <c r="BJ118" s="6"/>
      <c r="BK118" s="6"/>
      <c r="BL118" s="6"/>
      <c r="BM118" s="6"/>
      <c r="BN118" s="6"/>
      <c r="BO118" s="6"/>
      <c r="BP118" s="3">
        <v>15</v>
      </c>
      <c r="BQ118" s="6">
        <f t="shared" si="16"/>
        <v>15</v>
      </c>
      <c r="BR118">
        <v>15</v>
      </c>
    </row>
    <row r="119" spans="1:74" x14ac:dyDescent="0.3">
      <c r="A119" s="3" t="s">
        <v>17</v>
      </c>
      <c r="B119" s="3">
        <v>331</v>
      </c>
      <c r="C119" s="3" t="s">
        <v>208</v>
      </c>
      <c r="D119" s="3">
        <v>8</v>
      </c>
      <c r="E119" s="3">
        <v>0.75</v>
      </c>
      <c r="F119" s="3" t="s">
        <v>19</v>
      </c>
      <c r="G119" s="3" t="s">
        <v>19</v>
      </c>
      <c r="H119" s="3" t="s">
        <v>209</v>
      </c>
      <c r="I119" s="3"/>
      <c r="J119" s="3" t="s">
        <v>91</v>
      </c>
      <c r="K119" s="3" t="s">
        <v>210</v>
      </c>
      <c r="L119" s="3" t="s">
        <v>24</v>
      </c>
      <c r="M119" s="3">
        <v>17</v>
      </c>
      <c r="N119" s="6"/>
      <c r="O119" s="3">
        <v>8</v>
      </c>
      <c r="P119" s="3">
        <v>8</v>
      </c>
      <c r="Q119" s="3">
        <v>0</v>
      </c>
      <c r="R119" s="3">
        <v>0</v>
      </c>
      <c r="S119" s="3">
        <v>0</v>
      </c>
      <c r="T119" s="3">
        <v>8</v>
      </c>
      <c r="U119" s="3">
        <v>0</v>
      </c>
      <c r="V119" s="3">
        <f t="shared" si="17"/>
        <v>8</v>
      </c>
      <c r="W119" s="3">
        <v>0</v>
      </c>
      <c r="X119" s="3">
        <v>0</v>
      </c>
      <c r="Y119" s="3">
        <v>0</v>
      </c>
      <c r="Z119" s="3">
        <v>8</v>
      </c>
      <c r="AA119" s="3">
        <v>0</v>
      </c>
      <c r="AB119" s="3">
        <f t="shared" si="18"/>
        <v>8</v>
      </c>
      <c r="AC119" s="6">
        <f t="shared" si="26"/>
        <v>0</v>
      </c>
      <c r="AD119" s="6">
        <f t="shared" si="27"/>
        <v>0</v>
      </c>
      <c r="AE119" s="6">
        <f t="shared" si="28"/>
        <v>0</v>
      </c>
      <c r="AF119" s="6">
        <f t="shared" si="29"/>
        <v>0</v>
      </c>
      <c r="AG119" s="6">
        <f t="shared" si="30"/>
        <v>0</v>
      </c>
      <c r="AH119" s="6">
        <f t="shared" si="19"/>
        <v>0</v>
      </c>
      <c r="AI119" s="3"/>
      <c r="AJ119" s="3" t="e">
        <f>_xlfn.XLOOKUP(K119,工作表1!A:A,工作表1!C:C)</f>
        <v>#N/A</v>
      </c>
      <c r="AK119" s="3"/>
      <c r="AL119" s="6">
        <f t="shared" si="20"/>
        <v>0</v>
      </c>
      <c r="AM119" s="6">
        <f t="shared" si="21"/>
        <v>0</v>
      </c>
      <c r="AN119" s="6">
        <f t="shared" si="22"/>
        <v>0</v>
      </c>
      <c r="AO119" s="6">
        <f t="shared" si="23"/>
        <v>8</v>
      </c>
      <c r="AP119" s="6">
        <f t="shared" si="24"/>
        <v>0</v>
      </c>
      <c r="AQ119" s="6">
        <f t="shared" si="25"/>
        <v>8</v>
      </c>
      <c r="AR119" s="6"/>
      <c r="AS119" s="6"/>
      <c r="AT119" s="6"/>
      <c r="AU119" s="6"/>
      <c r="AV119" s="6"/>
      <c r="AW119" s="21"/>
      <c r="AX119" s="6"/>
      <c r="AY119" s="6"/>
      <c r="AZ119" s="6"/>
      <c r="BA119" s="6"/>
      <c r="BB119" s="6"/>
      <c r="BC119" s="6"/>
      <c r="BD119" s="6"/>
      <c r="BE119" s="6"/>
      <c r="BF119" s="21">
        <v>8</v>
      </c>
      <c r="BG119" s="6"/>
      <c r="BH119" s="6"/>
      <c r="BI119" s="6"/>
      <c r="BJ119" s="6"/>
      <c r="BK119" s="6"/>
      <c r="BL119" s="6"/>
      <c r="BM119" s="6"/>
      <c r="BN119" s="6"/>
      <c r="BO119" s="6"/>
      <c r="BP119" s="3">
        <v>8</v>
      </c>
      <c r="BQ119" s="6">
        <f t="shared" si="16"/>
        <v>8</v>
      </c>
      <c r="BR119" s="8">
        <v>8</v>
      </c>
    </row>
    <row r="120" spans="1:74" x14ac:dyDescent="0.3">
      <c r="A120" s="3" t="s">
        <v>17</v>
      </c>
      <c r="B120" s="3">
        <v>331</v>
      </c>
      <c r="C120" s="3" t="s">
        <v>208</v>
      </c>
      <c r="D120" s="3">
        <v>8</v>
      </c>
      <c r="E120" s="3">
        <v>1.5</v>
      </c>
      <c r="F120" s="3" t="s">
        <v>19</v>
      </c>
      <c r="G120" s="3" t="s">
        <v>19</v>
      </c>
      <c r="H120" s="3" t="s">
        <v>211</v>
      </c>
      <c r="I120" s="3"/>
      <c r="J120" s="3" t="s">
        <v>91</v>
      </c>
      <c r="K120" s="3" t="s">
        <v>212</v>
      </c>
      <c r="L120" s="3" t="s">
        <v>24</v>
      </c>
      <c r="M120" s="3">
        <v>4</v>
      </c>
      <c r="N120" s="6"/>
      <c r="O120" s="3">
        <v>2</v>
      </c>
      <c r="P120" s="3">
        <v>2</v>
      </c>
      <c r="Q120" s="3">
        <v>0</v>
      </c>
      <c r="R120" s="3">
        <v>0</v>
      </c>
      <c r="S120" s="3">
        <v>0</v>
      </c>
      <c r="T120" s="3">
        <v>2</v>
      </c>
      <c r="U120" s="3">
        <v>0</v>
      </c>
      <c r="V120" s="3">
        <f t="shared" si="17"/>
        <v>2</v>
      </c>
      <c r="W120" s="3">
        <v>0</v>
      </c>
      <c r="X120" s="3">
        <v>0</v>
      </c>
      <c r="Y120" s="3">
        <v>0</v>
      </c>
      <c r="Z120" s="3">
        <v>2</v>
      </c>
      <c r="AA120" s="3">
        <v>0</v>
      </c>
      <c r="AB120" s="3">
        <f t="shared" si="18"/>
        <v>2</v>
      </c>
      <c r="AC120" s="6">
        <f t="shared" si="26"/>
        <v>0</v>
      </c>
      <c r="AD120" s="6">
        <f t="shared" si="27"/>
        <v>0</v>
      </c>
      <c r="AE120" s="6">
        <f t="shared" si="28"/>
        <v>0</v>
      </c>
      <c r="AF120" s="6">
        <f t="shared" si="29"/>
        <v>-2</v>
      </c>
      <c r="AG120" s="6">
        <f t="shared" si="30"/>
        <v>0</v>
      </c>
      <c r="AH120" s="6">
        <f t="shared" si="19"/>
        <v>-2</v>
      </c>
      <c r="AI120" s="3"/>
      <c r="AJ120" s="3" t="e">
        <f>_xlfn.XLOOKUP(K120,工作表1!A:A,工作表1!C:C)</f>
        <v>#N/A</v>
      </c>
      <c r="AK120" s="3"/>
      <c r="AL120" s="6">
        <f t="shared" si="20"/>
        <v>0</v>
      </c>
      <c r="AM120" s="6">
        <f t="shared" si="21"/>
        <v>0</v>
      </c>
      <c r="AN120" s="6">
        <f t="shared" si="22"/>
        <v>0</v>
      </c>
      <c r="AO120" s="6">
        <f t="shared" si="23"/>
        <v>0</v>
      </c>
      <c r="AP120" s="6">
        <f t="shared" si="24"/>
        <v>0</v>
      </c>
      <c r="AQ120" s="6">
        <f t="shared" si="25"/>
        <v>0</v>
      </c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  <c r="BC120" s="6"/>
      <c r="BD120" s="6"/>
      <c r="BE120" s="6"/>
      <c r="BF120" s="6"/>
      <c r="BG120" s="6"/>
      <c r="BH120" s="6"/>
      <c r="BI120" s="6"/>
      <c r="BJ120" s="6"/>
      <c r="BK120" s="6"/>
      <c r="BL120" s="6"/>
      <c r="BM120" s="6"/>
      <c r="BN120" s="6"/>
      <c r="BO120" s="6"/>
      <c r="BP120" s="3">
        <v>2</v>
      </c>
      <c r="BQ120" s="6">
        <f t="shared" si="16"/>
        <v>0</v>
      </c>
    </row>
    <row r="121" spans="1:74" x14ac:dyDescent="0.3">
      <c r="A121" s="3" t="s">
        <v>17</v>
      </c>
      <c r="B121" s="3">
        <v>331</v>
      </c>
      <c r="C121" s="3" t="s">
        <v>208</v>
      </c>
      <c r="D121" s="3">
        <v>8</v>
      </c>
      <c r="E121" s="3">
        <v>1</v>
      </c>
      <c r="F121" s="3" t="s">
        <v>19</v>
      </c>
      <c r="G121" s="3" t="s">
        <v>19</v>
      </c>
      <c r="H121" s="3" t="s">
        <v>213</v>
      </c>
      <c r="I121" s="3"/>
      <c r="J121" s="3" t="s">
        <v>91</v>
      </c>
      <c r="K121" s="3" t="s">
        <v>214</v>
      </c>
      <c r="L121" s="3" t="s">
        <v>24</v>
      </c>
      <c r="M121" s="3">
        <v>17</v>
      </c>
      <c r="N121" s="6"/>
      <c r="O121" s="3">
        <v>6</v>
      </c>
      <c r="P121" s="3">
        <v>6</v>
      </c>
      <c r="Q121" s="3">
        <v>0</v>
      </c>
      <c r="R121" s="3">
        <v>0</v>
      </c>
      <c r="S121" s="3">
        <v>0</v>
      </c>
      <c r="T121" s="3">
        <v>6</v>
      </c>
      <c r="U121" s="3">
        <v>0</v>
      </c>
      <c r="V121" s="3">
        <f t="shared" si="17"/>
        <v>6</v>
      </c>
      <c r="W121" s="3">
        <v>0</v>
      </c>
      <c r="X121" s="3">
        <v>0</v>
      </c>
      <c r="Y121" s="3">
        <v>0</v>
      </c>
      <c r="Z121" s="3">
        <v>6</v>
      </c>
      <c r="AA121" s="3">
        <v>0</v>
      </c>
      <c r="AB121" s="3">
        <f t="shared" si="18"/>
        <v>6</v>
      </c>
      <c r="AC121" s="6">
        <f t="shared" si="26"/>
        <v>0</v>
      </c>
      <c r="AD121" s="6">
        <f t="shared" si="27"/>
        <v>0</v>
      </c>
      <c r="AE121" s="6">
        <f t="shared" si="28"/>
        <v>0</v>
      </c>
      <c r="AF121" s="6">
        <f t="shared" si="29"/>
        <v>-6</v>
      </c>
      <c r="AG121" s="6">
        <f t="shared" si="30"/>
        <v>0</v>
      </c>
      <c r="AH121" s="6">
        <f t="shared" si="19"/>
        <v>-6</v>
      </c>
      <c r="AI121" s="3"/>
      <c r="AJ121" s="3" t="e">
        <f>_xlfn.XLOOKUP(K121,工作表1!A:A,工作表1!C:C)</f>
        <v>#N/A</v>
      </c>
      <c r="AK121" s="3"/>
      <c r="AL121" s="6">
        <f t="shared" si="20"/>
        <v>0</v>
      </c>
      <c r="AM121" s="6">
        <f t="shared" si="21"/>
        <v>0</v>
      </c>
      <c r="AN121" s="6">
        <f t="shared" si="22"/>
        <v>0</v>
      </c>
      <c r="AO121" s="6">
        <f t="shared" si="23"/>
        <v>0</v>
      </c>
      <c r="AP121" s="6">
        <f t="shared" si="24"/>
        <v>0</v>
      </c>
      <c r="AQ121" s="6">
        <f t="shared" si="25"/>
        <v>0</v>
      </c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  <c r="BC121" s="6"/>
      <c r="BD121" s="6"/>
      <c r="BE121" s="6"/>
      <c r="BF121" s="6"/>
      <c r="BG121" s="6"/>
      <c r="BH121" s="6"/>
      <c r="BI121" s="6"/>
      <c r="BJ121" s="6"/>
      <c r="BK121" s="6"/>
      <c r="BL121" s="6"/>
      <c r="BM121" s="6"/>
      <c r="BN121" s="6"/>
      <c r="BO121" s="6"/>
      <c r="BP121" s="3">
        <v>6</v>
      </c>
      <c r="BQ121" s="6">
        <f t="shared" si="16"/>
        <v>0</v>
      </c>
    </row>
    <row r="122" spans="1:74" x14ac:dyDescent="0.3">
      <c r="A122" s="3" t="s">
        <v>17</v>
      </c>
      <c r="B122" s="3">
        <v>331</v>
      </c>
      <c r="C122" s="3" t="s">
        <v>208</v>
      </c>
      <c r="D122" s="3">
        <v>6</v>
      </c>
      <c r="E122" s="3">
        <v>0.75</v>
      </c>
      <c r="F122" s="3" t="s">
        <v>19</v>
      </c>
      <c r="G122" s="3" t="s">
        <v>19</v>
      </c>
      <c r="H122" s="3" t="s">
        <v>215</v>
      </c>
      <c r="I122" s="3"/>
      <c r="J122" s="3" t="s">
        <v>91</v>
      </c>
      <c r="K122" s="3" t="s">
        <v>216</v>
      </c>
      <c r="L122" s="3" t="s">
        <v>24</v>
      </c>
      <c r="M122" s="3">
        <v>22</v>
      </c>
      <c r="N122" s="6"/>
      <c r="O122" s="3">
        <v>8</v>
      </c>
      <c r="P122" s="3">
        <v>8</v>
      </c>
      <c r="Q122" s="3">
        <v>0</v>
      </c>
      <c r="R122" s="3">
        <v>0</v>
      </c>
      <c r="S122" s="3">
        <v>0</v>
      </c>
      <c r="T122" s="3">
        <v>8</v>
      </c>
      <c r="U122" s="3">
        <v>0</v>
      </c>
      <c r="V122" s="3">
        <f t="shared" si="17"/>
        <v>8</v>
      </c>
      <c r="W122" s="3">
        <v>0</v>
      </c>
      <c r="X122" s="3">
        <v>0</v>
      </c>
      <c r="Y122" s="3">
        <v>0</v>
      </c>
      <c r="Z122" s="3">
        <v>8</v>
      </c>
      <c r="AA122" s="3">
        <v>0</v>
      </c>
      <c r="AB122" s="3">
        <f t="shared" si="18"/>
        <v>8</v>
      </c>
      <c r="AC122" s="6">
        <f t="shared" si="26"/>
        <v>0</v>
      </c>
      <c r="AD122" s="6">
        <f t="shared" si="27"/>
        <v>0</v>
      </c>
      <c r="AE122" s="6">
        <f t="shared" si="28"/>
        <v>0</v>
      </c>
      <c r="AF122" s="6">
        <f t="shared" si="29"/>
        <v>0</v>
      </c>
      <c r="AG122" s="6">
        <f t="shared" si="30"/>
        <v>0</v>
      </c>
      <c r="AH122" s="6">
        <f t="shared" si="19"/>
        <v>0</v>
      </c>
      <c r="AI122" s="3"/>
      <c r="AJ122" s="3" t="e">
        <f>_xlfn.XLOOKUP(K122,工作表1!A:A,工作表1!C:C)</f>
        <v>#N/A</v>
      </c>
      <c r="AK122" s="3"/>
      <c r="AL122" s="6">
        <f t="shared" si="20"/>
        <v>0</v>
      </c>
      <c r="AM122" s="6">
        <f t="shared" si="21"/>
        <v>0</v>
      </c>
      <c r="AN122" s="6">
        <f t="shared" si="22"/>
        <v>0</v>
      </c>
      <c r="AO122" s="6">
        <f t="shared" si="23"/>
        <v>8</v>
      </c>
      <c r="AP122" s="6">
        <f t="shared" si="24"/>
        <v>0</v>
      </c>
      <c r="AQ122" s="6">
        <f t="shared" si="25"/>
        <v>8</v>
      </c>
      <c r="AR122" s="6"/>
      <c r="AS122" s="6"/>
      <c r="AT122" s="6"/>
      <c r="AU122" s="6"/>
      <c r="AV122" s="6"/>
      <c r="AW122" s="21"/>
      <c r="AX122" s="6"/>
      <c r="AY122" s="6"/>
      <c r="AZ122" s="6"/>
      <c r="BA122" s="6"/>
      <c r="BB122" s="6"/>
      <c r="BC122" s="6"/>
      <c r="BD122" s="6"/>
      <c r="BE122" s="6"/>
      <c r="BF122" s="21">
        <v>8</v>
      </c>
      <c r="BG122" s="6"/>
      <c r="BH122" s="6"/>
      <c r="BI122" s="6"/>
      <c r="BJ122" s="6"/>
      <c r="BK122" s="6"/>
      <c r="BL122" s="6"/>
      <c r="BM122" s="6"/>
      <c r="BN122" s="6"/>
      <c r="BO122" s="6"/>
      <c r="BP122" s="3">
        <v>8</v>
      </c>
      <c r="BQ122" s="6">
        <f t="shared" si="16"/>
        <v>8</v>
      </c>
      <c r="BR122" s="8">
        <v>8</v>
      </c>
    </row>
    <row r="123" spans="1:74" x14ac:dyDescent="0.3">
      <c r="A123" s="3" t="s">
        <v>17</v>
      </c>
      <c r="B123" s="3">
        <v>331</v>
      </c>
      <c r="C123" s="3" t="s">
        <v>208</v>
      </c>
      <c r="D123" s="3">
        <v>6</v>
      </c>
      <c r="E123" s="3">
        <v>1.5</v>
      </c>
      <c r="F123" s="3" t="s">
        <v>19</v>
      </c>
      <c r="G123" s="3" t="s">
        <v>19</v>
      </c>
      <c r="H123" s="3" t="s">
        <v>217</v>
      </c>
      <c r="I123" s="3"/>
      <c r="J123" s="3" t="s">
        <v>91</v>
      </c>
      <c r="K123" s="3" t="s">
        <v>218</v>
      </c>
      <c r="L123" s="3" t="s">
        <v>24</v>
      </c>
      <c r="M123" s="3">
        <v>11</v>
      </c>
      <c r="N123" s="6"/>
      <c r="O123" s="3">
        <v>1</v>
      </c>
      <c r="P123" s="3">
        <v>1</v>
      </c>
      <c r="Q123" s="3">
        <v>0</v>
      </c>
      <c r="R123" s="3">
        <v>0</v>
      </c>
      <c r="S123" s="3">
        <v>0</v>
      </c>
      <c r="T123" s="3">
        <v>1</v>
      </c>
      <c r="U123" s="3">
        <v>0</v>
      </c>
      <c r="V123" s="3">
        <f t="shared" si="17"/>
        <v>1</v>
      </c>
      <c r="W123" s="3">
        <v>0</v>
      </c>
      <c r="X123" s="3">
        <v>0</v>
      </c>
      <c r="Y123" s="3">
        <v>0</v>
      </c>
      <c r="Z123" s="3">
        <v>1</v>
      </c>
      <c r="AA123" s="3">
        <v>0</v>
      </c>
      <c r="AB123" s="3">
        <f t="shared" si="18"/>
        <v>1</v>
      </c>
      <c r="AC123" s="6">
        <f t="shared" si="26"/>
        <v>0</v>
      </c>
      <c r="AD123" s="6">
        <f t="shared" si="27"/>
        <v>0</v>
      </c>
      <c r="AE123" s="6">
        <f t="shared" si="28"/>
        <v>0</v>
      </c>
      <c r="AF123" s="6">
        <f t="shared" si="29"/>
        <v>0</v>
      </c>
      <c r="AG123" s="6">
        <f t="shared" si="30"/>
        <v>0</v>
      </c>
      <c r="AH123" s="6">
        <f t="shared" si="19"/>
        <v>0</v>
      </c>
      <c r="AI123" s="3"/>
      <c r="AJ123" s="3" t="e">
        <f>_xlfn.XLOOKUP(K123,工作表1!A:A,工作表1!C:C)</f>
        <v>#N/A</v>
      </c>
      <c r="AK123" s="3"/>
      <c r="AL123" s="6">
        <f t="shared" si="20"/>
        <v>0</v>
      </c>
      <c r="AM123" s="6">
        <f t="shared" si="21"/>
        <v>0</v>
      </c>
      <c r="AN123" s="6">
        <f t="shared" si="22"/>
        <v>0</v>
      </c>
      <c r="AO123" s="6">
        <f t="shared" si="23"/>
        <v>1</v>
      </c>
      <c r="AP123" s="6">
        <f t="shared" si="24"/>
        <v>0</v>
      </c>
      <c r="AQ123" s="6">
        <f t="shared" si="25"/>
        <v>1</v>
      </c>
      <c r="AR123" s="6"/>
      <c r="AS123" s="6"/>
      <c r="AT123" s="6"/>
      <c r="AU123" s="6"/>
      <c r="AV123" s="6"/>
      <c r="AW123" s="21"/>
      <c r="AX123" s="6"/>
      <c r="AY123" s="6"/>
      <c r="AZ123" s="6"/>
      <c r="BA123" s="6"/>
      <c r="BB123" s="6"/>
      <c r="BC123" s="6"/>
      <c r="BD123" s="6"/>
      <c r="BE123" s="6"/>
      <c r="BF123" s="21">
        <v>1</v>
      </c>
      <c r="BG123" s="6"/>
      <c r="BH123" s="6"/>
      <c r="BI123" s="6"/>
      <c r="BJ123" s="6"/>
      <c r="BK123" s="6"/>
      <c r="BL123" s="6"/>
      <c r="BM123" s="6"/>
      <c r="BN123" s="6"/>
      <c r="BO123" s="6"/>
      <c r="BP123" s="3">
        <v>1</v>
      </c>
      <c r="BQ123" s="6">
        <f t="shared" si="16"/>
        <v>1</v>
      </c>
      <c r="BR123" s="8">
        <v>1</v>
      </c>
    </row>
    <row r="124" spans="1:74" x14ac:dyDescent="0.3">
      <c r="A124" s="3" t="s">
        <v>17</v>
      </c>
      <c r="B124" s="3">
        <v>331</v>
      </c>
      <c r="C124" s="3" t="s">
        <v>208</v>
      </c>
      <c r="D124" s="3">
        <v>6</v>
      </c>
      <c r="E124" s="3">
        <v>1</v>
      </c>
      <c r="F124" s="3" t="s">
        <v>19</v>
      </c>
      <c r="G124" s="3" t="s">
        <v>19</v>
      </c>
      <c r="H124" s="3" t="s">
        <v>219</v>
      </c>
      <c r="I124" s="3"/>
      <c r="J124" s="3" t="s">
        <v>91</v>
      </c>
      <c r="K124" s="3" t="s">
        <v>220</v>
      </c>
      <c r="L124" s="3" t="s">
        <v>24</v>
      </c>
      <c r="M124" s="3">
        <v>23</v>
      </c>
      <c r="N124" s="6"/>
      <c r="O124" s="3">
        <v>4</v>
      </c>
      <c r="P124" s="3">
        <v>4</v>
      </c>
      <c r="Q124" s="3">
        <v>0</v>
      </c>
      <c r="R124" s="3">
        <v>0</v>
      </c>
      <c r="S124" s="3">
        <v>0</v>
      </c>
      <c r="T124" s="3">
        <v>4</v>
      </c>
      <c r="U124" s="3">
        <v>0</v>
      </c>
      <c r="V124" s="3">
        <f t="shared" si="17"/>
        <v>4</v>
      </c>
      <c r="W124" s="3">
        <v>0</v>
      </c>
      <c r="X124" s="3">
        <v>0</v>
      </c>
      <c r="Y124" s="3">
        <v>0</v>
      </c>
      <c r="Z124" s="3">
        <v>4</v>
      </c>
      <c r="AA124" s="3">
        <v>0</v>
      </c>
      <c r="AB124" s="3">
        <f t="shared" si="18"/>
        <v>4</v>
      </c>
      <c r="AC124" s="6">
        <f t="shared" si="26"/>
        <v>0</v>
      </c>
      <c r="AD124" s="6">
        <f t="shared" si="27"/>
        <v>0</v>
      </c>
      <c r="AE124" s="6">
        <f t="shared" si="28"/>
        <v>0</v>
      </c>
      <c r="AF124" s="6">
        <f t="shared" si="29"/>
        <v>0</v>
      </c>
      <c r="AG124" s="6">
        <f t="shared" si="30"/>
        <v>0</v>
      </c>
      <c r="AH124" s="6">
        <f t="shared" si="19"/>
        <v>0</v>
      </c>
      <c r="AI124" s="3"/>
      <c r="AJ124" s="3" t="e">
        <f>_xlfn.XLOOKUP(K124,工作表1!A:A,工作表1!C:C)</f>
        <v>#N/A</v>
      </c>
      <c r="AK124" s="3"/>
      <c r="AL124" s="6">
        <f t="shared" si="20"/>
        <v>0</v>
      </c>
      <c r="AM124" s="6">
        <f t="shared" si="21"/>
        <v>0</v>
      </c>
      <c r="AN124" s="6">
        <f t="shared" si="22"/>
        <v>0</v>
      </c>
      <c r="AO124" s="6">
        <f t="shared" si="23"/>
        <v>4</v>
      </c>
      <c r="AP124" s="6">
        <f t="shared" si="24"/>
        <v>0</v>
      </c>
      <c r="AQ124" s="6">
        <f t="shared" si="25"/>
        <v>4</v>
      </c>
      <c r="AR124" s="6"/>
      <c r="AS124" s="6"/>
      <c r="AT124" s="6"/>
      <c r="AU124" s="6"/>
      <c r="AV124" s="6"/>
      <c r="AW124" s="21"/>
      <c r="AX124" s="6"/>
      <c r="AY124" s="6"/>
      <c r="AZ124" s="6"/>
      <c r="BA124" s="6"/>
      <c r="BB124" s="6"/>
      <c r="BC124" s="6"/>
      <c r="BD124" s="6"/>
      <c r="BE124" s="6"/>
      <c r="BF124" s="21">
        <v>4</v>
      </c>
      <c r="BG124" s="6"/>
      <c r="BH124" s="6"/>
      <c r="BI124" s="6"/>
      <c r="BJ124" s="6"/>
      <c r="BK124" s="6"/>
      <c r="BL124" s="6"/>
      <c r="BM124" s="6"/>
      <c r="BN124" s="6"/>
      <c r="BO124" s="6"/>
      <c r="BP124" s="3">
        <v>4</v>
      </c>
      <c r="BQ124" s="6">
        <f t="shared" si="16"/>
        <v>4</v>
      </c>
      <c r="BR124" s="8">
        <v>4</v>
      </c>
    </row>
    <row r="125" spans="1:74" x14ac:dyDescent="0.3">
      <c r="A125" s="3" t="s">
        <v>17</v>
      </c>
      <c r="B125" s="3">
        <v>331</v>
      </c>
      <c r="C125" s="3" t="s">
        <v>208</v>
      </c>
      <c r="D125" s="3">
        <v>4</v>
      </c>
      <c r="E125" s="3">
        <v>0.75</v>
      </c>
      <c r="F125" s="3" t="s">
        <v>19</v>
      </c>
      <c r="G125" s="3" t="s">
        <v>19</v>
      </c>
      <c r="H125" s="3" t="s">
        <v>221</v>
      </c>
      <c r="I125" s="3"/>
      <c r="J125" s="3" t="s">
        <v>91</v>
      </c>
      <c r="K125" s="3" t="s">
        <v>222</v>
      </c>
      <c r="L125" s="3" t="s">
        <v>24</v>
      </c>
      <c r="M125" s="3">
        <v>14</v>
      </c>
      <c r="N125" s="6"/>
      <c r="O125" s="3">
        <v>7</v>
      </c>
      <c r="P125" s="3">
        <v>7</v>
      </c>
      <c r="Q125" s="3">
        <v>0</v>
      </c>
      <c r="R125" s="3">
        <v>2</v>
      </c>
      <c r="S125" s="3">
        <v>0</v>
      </c>
      <c r="T125" s="3">
        <v>5</v>
      </c>
      <c r="U125" s="3">
        <v>0</v>
      </c>
      <c r="V125" s="3">
        <f t="shared" si="17"/>
        <v>7</v>
      </c>
      <c r="W125" s="3">
        <v>0</v>
      </c>
      <c r="X125" s="3">
        <v>2</v>
      </c>
      <c r="Y125" s="3">
        <v>0</v>
      </c>
      <c r="Z125" s="3">
        <v>5</v>
      </c>
      <c r="AA125" s="3">
        <v>0</v>
      </c>
      <c r="AB125" s="3">
        <f t="shared" si="18"/>
        <v>7</v>
      </c>
      <c r="AC125" s="6">
        <f t="shared" si="26"/>
        <v>0</v>
      </c>
      <c r="AD125" s="6">
        <f t="shared" si="27"/>
        <v>0</v>
      </c>
      <c r="AE125" s="6">
        <f t="shared" si="28"/>
        <v>0</v>
      </c>
      <c r="AF125" s="6">
        <f t="shared" si="29"/>
        <v>0</v>
      </c>
      <c r="AG125" s="6">
        <f t="shared" si="30"/>
        <v>0</v>
      </c>
      <c r="AH125" s="6">
        <f t="shared" si="19"/>
        <v>0</v>
      </c>
      <c r="AI125" s="3"/>
      <c r="AJ125" s="3" t="e">
        <f>_xlfn.XLOOKUP(K125,工作表1!A:A,工作表1!C:C)</f>
        <v>#N/A</v>
      </c>
      <c r="AK125" s="3"/>
      <c r="AL125" s="6">
        <f t="shared" si="20"/>
        <v>0</v>
      </c>
      <c r="AM125" s="6">
        <f t="shared" si="21"/>
        <v>2</v>
      </c>
      <c r="AN125" s="6">
        <f t="shared" si="22"/>
        <v>0</v>
      </c>
      <c r="AO125" s="6">
        <f t="shared" si="23"/>
        <v>5</v>
      </c>
      <c r="AP125" s="6">
        <f t="shared" si="24"/>
        <v>0</v>
      </c>
      <c r="AQ125" s="6">
        <f t="shared" si="25"/>
        <v>7</v>
      </c>
      <c r="AR125" s="6"/>
      <c r="AS125" s="6"/>
      <c r="AT125" s="6"/>
      <c r="AU125" s="6"/>
      <c r="AV125" s="6"/>
      <c r="AW125" s="21">
        <v>2</v>
      </c>
      <c r="AX125" s="6"/>
      <c r="AY125" s="6"/>
      <c r="AZ125" s="6"/>
      <c r="BA125" s="6"/>
      <c r="BB125" s="6"/>
      <c r="BC125" s="6"/>
      <c r="BD125" s="6"/>
      <c r="BE125" s="6"/>
      <c r="BF125" s="21">
        <v>5</v>
      </c>
      <c r="BG125" s="6"/>
      <c r="BH125" s="6"/>
      <c r="BI125" s="6"/>
      <c r="BJ125" s="6"/>
      <c r="BK125" s="6"/>
      <c r="BL125" s="6"/>
      <c r="BM125" s="6"/>
      <c r="BN125" s="6"/>
      <c r="BO125" s="6"/>
      <c r="BP125" s="3">
        <v>7</v>
      </c>
      <c r="BQ125" s="6">
        <f t="shared" si="16"/>
        <v>7</v>
      </c>
      <c r="BR125" s="8">
        <v>7</v>
      </c>
    </row>
    <row r="126" spans="1:74" x14ac:dyDescent="0.3">
      <c r="A126" s="3" t="s">
        <v>17</v>
      </c>
      <c r="B126" s="3">
        <v>331</v>
      </c>
      <c r="C126" s="3" t="s">
        <v>208</v>
      </c>
      <c r="D126" s="3">
        <v>4</v>
      </c>
      <c r="E126" s="3">
        <v>1.5</v>
      </c>
      <c r="F126" s="3" t="s">
        <v>19</v>
      </c>
      <c r="G126" s="3" t="s">
        <v>19</v>
      </c>
      <c r="H126" s="3" t="s">
        <v>223</v>
      </c>
      <c r="I126" s="3"/>
      <c r="J126" s="3" t="s">
        <v>91</v>
      </c>
      <c r="K126" s="3" t="s">
        <v>224</v>
      </c>
      <c r="L126" s="3" t="s">
        <v>24</v>
      </c>
      <c r="M126" s="3">
        <v>5</v>
      </c>
      <c r="N126" s="6"/>
      <c r="O126" s="3">
        <v>3</v>
      </c>
      <c r="P126" s="3">
        <v>3</v>
      </c>
      <c r="Q126" s="3">
        <v>0</v>
      </c>
      <c r="R126" s="3">
        <v>2</v>
      </c>
      <c r="S126" s="3">
        <v>0</v>
      </c>
      <c r="T126" s="3">
        <v>1</v>
      </c>
      <c r="U126" s="3">
        <v>0</v>
      </c>
      <c r="V126" s="3">
        <f t="shared" si="17"/>
        <v>3</v>
      </c>
      <c r="W126" s="3">
        <v>0</v>
      </c>
      <c r="X126" s="3">
        <v>2</v>
      </c>
      <c r="Y126" s="3">
        <v>0</v>
      </c>
      <c r="Z126" s="3">
        <v>1</v>
      </c>
      <c r="AA126" s="3">
        <v>0</v>
      </c>
      <c r="AB126" s="3">
        <f t="shared" si="18"/>
        <v>3</v>
      </c>
      <c r="AC126" s="6">
        <f t="shared" si="26"/>
        <v>0</v>
      </c>
      <c r="AD126" s="6">
        <f t="shared" si="27"/>
        <v>0</v>
      </c>
      <c r="AE126" s="6">
        <f t="shared" si="28"/>
        <v>0</v>
      </c>
      <c r="AF126" s="6">
        <f t="shared" si="29"/>
        <v>0</v>
      </c>
      <c r="AG126" s="6">
        <f t="shared" si="30"/>
        <v>0</v>
      </c>
      <c r="AH126" s="6">
        <f t="shared" si="19"/>
        <v>0</v>
      </c>
      <c r="AI126" s="3"/>
      <c r="AJ126" s="3" t="e">
        <f>_xlfn.XLOOKUP(K126,工作表1!A:A,工作表1!C:C)</f>
        <v>#N/A</v>
      </c>
      <c r="AK126" s="3"/>
      <c r="AL126" s="6">
        <f t="shared" si="20"/>
        <v>0</v>
      </c>
      <c r="AM126" s="6">
        <f t="shared" si="21"/>
        <v>2</v>
      </c>
      <c r="AN126" s="6">
        <f t="shared" si="22"/>
        <v>0</v>
      </c>
      <c r="AO126" s="6">
        <f t="shared" si="23"/>
        <v>1</v>
      </c>
      <c r="AP126" s="6">
        <f t="shared" si="24"/>
        <v>0</v>
      </c>
      <c r="AQ126" s="6">
        <f t="shared" si="25"/>
        <v>3</v>
      </c>
      <c r="AR126" s="6"/>
      <c r="AS126" s="6"/>
      <c r="AT126" s="6"/>
      <c r="AU126" s="6"/>
      <c r="AV126" s="6"/>
      <c r="AW126" s="21">
        <v>2</v>
      </c>
      <c r="AX126" s="6"/>
      <c r="AY126" s="6"/>
      <c r="AZ126" s="6"/>
      <c r="BA126" s="6"/>
      <c r="BB126" s="6"/>
      <c r="BC126" s="6"/>
      <c r="BD126" s="6"/>
      <c r="BE126" s="6"/>
      <c r="BF126" s="21">
        <v>1</v>
      </c>
      <c r="BG126" s="6"/>
      <c r="BH126" s="6"/>
      <c r="BI126" s="6"/>
      <c r="BJ126" s="6"/>
      <c r="BK126" s="6"/>
      <c r="BL126" s="6"/>
      <c r="BM126" s="6"/>
      <c r="BN126" s="6"/>
      <c r="BO126" s="6"/>
      <c r="BP126" s="3">
        <v>3</v>
      </c>
      <c r="BQ126" s="6">
        <f t="shared" si="16"/>
        <v>3</v>
      </c>
      <c r="BR126" s="8">
        <v>3</v>
      </c>
    </row>
    <row r="127" spans="1:74" x14ac:dyDescent="0.3">
      <c r="A127" s="3" t="s">
        <v>17</v>
      </c>
      <c r="B127" s="3">
        <v>331</v>
      </c>
      <c r="C127" s="3" t="s">
        <v>208</v>
      </c>
      <c r="D127" s="3">
        <v>4</v>
      </c>
      <c r="E127" s="3">
        <v>1</v>
      </c>
      <c r="F127" s="3" t="s">
        <v>19</v>
      </c>
      <c r="G127" s="3" t="s">
        <v>19</v>
      </c>
      <c r="H127" s="3" t="s">
        <v>225</v>
      </c>
      <c r="I127" s="3"/>
      <c r="J127" s="3" t="s">
        <v>91</v>
      </c>
      <c r="K127" s="3" t="s">
        <v>226</v>
      </c>
      <c r="L127" s="3" t="s">
        <v>24</v>
      </c>
      <c r="M127" s="3">
        <v>9</v>
      </c>
      <c r="N127" s="6"/>
      <c r="O127" s="3">
        <v>3</v>
      </c>
      <c r="P127" s="3">
        <v>3</v>
      </c>
      <c r="Q127" s="3">
        <v>0</v>
      </c>
      <c r="R127" s="3">
        <v>0</v>
      </c>
      <c r="S127" s="3">
        <v>0</v>
      </c>
      <c r="T127" s="3">
        <v>3</v>
      </c>
      <c r="U127" s="3">
        <v>0</v>
      </c>
      <c r="V127" s="3">
        <f t="shared" si="17"/>
        <v>3</v>
      </c>
      <c r="W127" s="3">
        <v>0</v>
      </c>
      <c r="X127" s="3">
        <v>0</v>
      </c>
      <c r="Y127" s="3">
        <v>0</v>
      </c>
      <c r="Z127" s="3">
        <v>3</v>
      </c>
      <c r="AA127" s="3">
        <v>0</v>
      </c>
      <c r="AB127" s="3">
        <f t="shared" si="18"/>
        <v>3</v>
      </c>
      <c r="AC127" s="6">
        <f t="shared" si="26"/>
        <v>0</v>
      </c>
      <c r="AD127" s="6">
        <f t="shared" si="27"/>
        <v>0</v>
      </c>
      <c r="AE127" s="6">
        <f t="shared" si="28"/>
        <v>0</v>
      </c>
      <c r="AF127" s="6">
        <f t="shared" si="29"/>
        <v>0</v>
      </c>
      <c r="AG127" s="6">
        <f t="shared" si="30"/>
        <v>0</v>
      </c>
      <c r="AH127" s="6">
        <f t="shared" si="19"/>
        <v>0</v>
      </c>
      <c r="AI127" s="3"/>
      <c r="AJ127" s="3" t="e">
        <f>_xlfn.XLOOKUP(K127,工作表1!A:A,工作表1!C:C)</f>
        <v>#N/A</v>
      </c>
      <c r="AK127" s="3"/>
      <c r="AL127" s="6">
        <f t="shared" si="20"/>
        <v>0</v>
      </c>
      <c r="AM127" s="6">
        <f t="shared" si="21"/>
        <v>0</v>
      </c>
      <c r="AN127" s="6">
        <f t="shared" si="22"/>
        <v>0</v>
      </c>
      <c r="AO127" s="6">
        <f t="shared" si="23"/>
        <v>3</v>
      </c>
      <c r="AP127" s="6">
        <f t="shared" si="24"/>
        <v>0</v>
      </c>
      <c r="AQ127" s="6">
        <f t="shared" si="25"/>
        <v>3</v>
      </c>
      <c r="AR127" s="6"/>
      <c r="AS127" s="6"/>
      <c r="AT127" s="6"/>
      <c r="AU127" s="6"/>
      <c r="AV127" s="6"/>
      <c r="AW127" s="21"/>
      <c r="AX127" s="6"/>
      <c r="AY127" s="6"/>
      <c r="AZ127" s="6"/>
      <c r="BA127" s="6"/>
      <c r="BB127" s="6"/>
      <c r="BC127" s="6"/>
      <c r="BD127" s="6"/>
      <c r="BE127" s="6"/>
      <c r="BF127" s="21">
        <v>3</v>
      </c>
      <c r="BG127" s="6"/>
      <c r="BH127" s="6"/>
      <c r="BI127" s="6"/>
      <c r="BJ127" s="6"/>
      <c r="BK127" s="6"/>
      <c r="BL127" s="6"/>
      <c r="BM127" s="6"/>
      <c r="BN127" s="6"/>
      <c r="BO127" s="6"/>
      <c r="BP127" s="3">
        <v>3</v>
      </c>
      <c r="BQ127" s="6">
        <f t="shared" si="16"/>
        <v>3</v>
      </c>
      <c r="BR127" s="8">
        <v>3</v>
      </c>
    </row>
    <row r="128" spans="1:74" x14ac:dyDescent="0.3">
      <c r="A128" s="3" t="s">
        <v>17</v>
      </c>
      <c r="B128" s="3">
        <v>331</v>
      </c>
      <c r="C128" s="3" t="s">
        <v>208</v>
      </c>
      <c r="D128" s="3">
        <v>3</v>
      </c>
      <c r="E128" s="3">
        <v>0.75</v>
      </c>
      <c r="F128" s="3" t="s">
        <v>19</v>
      </c>
      <c r="G128" s="3" t="s">
        <v>19</v>
      </c>
      <c r="H128" s="3" t="s">
        <v>227</v>
      </c>
      <c r="I128" s="3"/>
      <c r="J128" s="3" t="s">
        <v>91</v>
      </c>
      <c r="K128" s="3" t="s">
        <v>228</v>
      </c>
      <c r="L128" s="3" t="s">
        <v>24</v>
      </c>
      <c r="M128" s="3">
        <v>33</v>
      </c>
      <c r="N128" s="6"/>
      <c r="O128" s="3">
        <v>20</v>
      </c>
      <c r="P128" s="3">
        <v>20</v>
      </c>
      <c r="Q128" s="3">
        <v>0</v>
      </c>
      <c r="R128" s="3">
        <v>9</v>
      </c>
      <c r="S128" s="3">
        <v>0</v>
      </c>
      <c r="T128" s="3">
        <v>11</v>
      </c>
      <c r="U128" s="3">
        <v>0</v>
      </c>
      <c r="V128" s="3">
        <f t="shared" si="17"/>
        <v>20</v>
      </c>
      <c r="W128" s="3">
        <v>0</v>
      </c>
      <c r="X128" s="3">
        <v>9</v>
      </c>
      <c r="Y128" s="3">
        <v>0</v>
      </c>
      <c r="Z128" s="3">
        <v>11</v>
      </c>
      <c r="AA128" s="3">
        <v>0</v>
      </c>
      <c r="AB128" s="3">
        <f t="shared" si="18"/>
        <v>20</v>
      </c>
      <c r="AC128" s="6">
        <f t="shared" si="26"/>
        <v>0</v>
      </c>
      <c r="AD128" s="6">
        <f t="shared" si="27"/>
        <v>0</v>
      </c>
      <c r="AE128" s="6">
        <f t="shared" si="28"/>
        <v>0</v>
      </c>
      <c r="AF128" s="6">
        <f t="shared" si="29"/>
        <v>0</v>
      </c>
      <c r="AG128" s="6">
        <f t="shared" si="30"/>
        <v>0</v>
      </c>
      <c r="AH128" s="6">
        <f t="shared" si="19"/>
        <v>0</v>
      </c>
      <c r="AI128" s="3"/>
      <c r="AJ128" s="3" t="e">
        <f>_xlfn.XLOOKUP(K128,工作表1!A:A,工作表1!C:C)</f>
        <v>#N/A</v>
      </c>
      <c r="AK128" s="3"/>
      <c r="AL128" s="6">
        <f t="shared" si="20"/>
        <v>0</v>
      </c>
      <c r="AM128" s="6">
        <f t="shared" si="21"/>
        <v>9</v>
      </c>
      <c r="AN128" s="6">
        <f t="shared" si="22"/>
        <v>0</v>
      </c>
      <c r="AO128" s="6">
        <f t="shared" si="23"/>
        <v>11</v>
      </c>
      <c r="AP128" s="6">
        <f t="shared" si="24"/>
        <v>0</v>
      </c>
      <c r="AQ128" s="6">
        <f t="shared" si="25"/>
        <v>20</v>
      </c>
      <c r="AR128" s="6"/>
      <c r="AS128" s="6"/>
      <c r="AT128" s="6"/>
      <c r="AU128" s="6"/>
      <c r="AV128" s="6"/>
      <c r="AW128" s="21">
        <v>9</v>
      </c>
      <c r="AX128" s="6"/>
      <c r="AY128" s="6"/>
      <c r="AZ128" s="6"/>
      <c r="BA128" s="6"/>
      <c r="BB128" s="6"/>
      <c r="BC128" s="6"/>
      <c r="BD128" s="6"/>
      <c r="BE128" s="6"/>
      <c r="BF128" s="21">
        <v>11</v>
      </c>
      <c r="BG128" s="6"/>
      <c r="BH128" s="6"/>
      <c r="BI128" s="6"/>
      <c r="BJ128" s="6"/>
      <c r="BK128" s="6"/>
      <c r="BL128" s="6"/>
      <c r="BM128" s="6"/>
      <c r="BN128" s="6"/>
      <c r="BO128" s="6"/>
      <c r="BP128" s="3">
        <v>20</v>
      </c>
      <c r="BQ128" s="6">
        <f t="shared" si="16"/>
        <v>20</v>
      </c>
      <c r="BR128" s="8">
        <v>20</v>
      </c>
    </row>
    <row r="129" spans="1:70" x14ac:dyDescent="0.3">
      <c r="A129" s="3" t="s">
        <v>17</v>
      </c>
      <c r="B129" s="3">
        <v>331</v>
      </c>
      <c r="C129" s="3" t="s">
        <v>208</v>
      </c>
      <c r="D129" s="3">
        <v>3</v>
      </c>
      <c r="E129" s="3">
        <v>1</v>
      </c>
      <c r="F129" s="3" t="s">
        <v>19</v>
      </c>
      <c r="G129" s="3" t="s">
        <v>19</v>
      </c>
      <c r="H129" s="3" t="s">
        <v>229</v>
      </c>
      <c r="I129" s="3"/>
      <c r="J129" s="3" t="s">
        <v>91</v>
      </c>
      <c r="K129" s="3" t="s">
        <v>230</v>
      </c>
      <c r="L129" s="3" t="s">
        <v>24</v>
      </c>
      <c r="M129" s="3">
        <v>20</v>
      </c>
      <c r="N129" s="6"/>
      <c r="O129" s="3">
        <v>6</v>
      </c>
      <c r="P129" s="3">
        <v>6</v>
      </c>
      <c r="Q129" s="3">
        <v>0</v>
      </c>
      <c r="R129" s="3">
        <v>0</v>
      </c>
      <c r="S129" s="3">
        <v>0</v>
      </c>
      <c r="T129" s="3">
        <v>6</v>
      </c>
      <c r="U129" s="3">
        <v>0</v>
      </c>
      <c r="V129" s="3">
        <f t="shared" si="17"/>
        <v>6</v>
      </c>
      <c r="W129" s="3">
        <v>0</v>
      </c>
      <c r="X129" s="3">
        <v>0</v>
      </c>
      <c r="Y129" s="3">
        <v>0</v>
      </c>
      <c r="Z129" s="3">
        <v>6</v>
      </c>
      <c r="AA129" s="3">
        <v>0</v>
      </c>
      <c r="AB129" s="3">
        <f t="shared" si="18"/>
        <v>6</v>
      </c>
      <c r="AC129" s="6">
        <f t="shared" si="26"/>
        <v>0</v>
      </c>
      <c r="AD129" s="6">
        <f t="shared" si="27"/>
        <v>0</v>
      </c>
      <c r="AE129" s="6">
        <f t="shared" si="28"/>
        <v>0</v>
      </c>
      <c r="AF129" s="6">
        <f t="shared" si="29"/>
        <v>0</v>
      </c>
      <c r="AG129" s="6">
        <f t="shared" si="30"/>
        <v>0</v>
      </c>
      <c r="AH129" s="6">
        <f t="shared" si="19"/>
        <v>0</v>
      </c>
      <c r="AI129" s="3"/>
      <c r="AJ129" s="3" t="e">
        <f>_xlfn.XLOOKUP(K129,工作表1!A:A,工作表1!C:C)</f>
        <v>#N/A</v>
      </c>
      <c r="AK129" s="3"/>
      <c r="AL129" s="6">
        <f t="shared" si="20"/>
        <v>0</v>
      </c>
      <c r="AM129" s="6">
        <f t="shared" si="21"/>
        <v>0</v>
      </c>
      <c r="AN129" s="6">
        <f t="shared" si="22"/>
        <v>0</v>
      </c>
      <c r="AO129" s="6">
        <f t="shared" si="23"/>
        <v>6</v>
      </c>
      <c r="AP129" s="6">
        <f t="shared" si="24"/>
        <v>0</v>
      </c>
      <c r="AQ129" s="6">
        <f t="shared" si="25"/>
        <v>6</v>
      </c>
      <c r="AR129" s="6"/>
      <c r="AS129" s="6"/>
      <c r="AT129" s="6"/>
      <c r="AU129" s="6"/>
      <c r="AV129" s="6"/>
      <c r="AW129" s="21"/>
      <c r="AX129" s="6"/>
      <c r="AY129" s="6"/>
      <c r="AZ129" s="6"/>
      <c r="BA129" s="6"/>
      <c r="BB129" s="6"/>
      <c r="BC129" s="6"/>
      <c r="BD129" s="6"/>
      <c r="BE129" s="6"/>
      <c r="BF129" s="21">
        <v>6</v>
      </c>
      <c r="BG129" s="6"/>
      <c r="BH129" s="6"/>
      <c r="BI129" s="6"/>
      <c r="BJ129" s="6"/>
      <c r="BK129" s="6"/>
      <c r="BL129" s="6"/>
      <c r="BM129" s="6"/>
      <c r="BN129" s="6"/>
      <c r="BO129" s="6"/>
      <c r="BP129" s="3">
        <v>6</v>
      </c>
      <c r="BQ129" s="6">
        <f t="shared" si="16"/>
        <v>6</v>
      </c>
      <c r="BR129" s="8">
        <v>6</v>
      </c>
    </row>
    <row r="130" spans="1:70" x14ac:dyDescent="0.3">
      <c r="A130" s="3" t="s">
        <v>17</v>
      </c>
      <c r="B130" s="3">
        <v>331</v>
      </c>
      <c r="C130" s="3" t="s">
        <v>208</v>
      </c>
      <c r="D130" s="3">
        <v>2</v>
      </c>
      <c r="E130" s="3">
        <v>0.75</v>
      </c>
      <c r="F130" s="3" t="s">
        <v>19</v>
      </c>
      <c r="G130" s="3" t="s">
        <v>19</v>
      </c>
      <c r="H130" s="3" t="s">
        <v>231</v>
      </c>
      <c r="I130" s="3"/>
      <c r="J130" s="3" t="s">
        <v>91</v>
      </c>
      <c r="K130" s="3" t="s">
        <v>232</v>
      </c>
      <c r="L130" s="3" t="s">
        <v>24</v>
      </c>
      <c r="M130" s="3">
        <v>30</v>
      </c>
      <c r="N130" s="6"/>
      <c r="O130" s="3">
        <v>3</v>
      </c>
      <c r="P130" s="3">
        <v>3</v>
      </c>
      <c r="Q130" s="3">
        <v>0</v>
      </c>
      <c r="R130" s="3">
        <v>0</v>
      </c>
      <c r="S130" s="3">
        <v>1</v>
      </c>
      <c r="T130" s="3">
        <v>2</v>
      </c>
      <c r="U130" s="3">
        <v>0</v>
      </c>
      <c r="V130" s="3">
        <f t="shared" si="17"/>
        <v>3</v>
      </c>
      <c r="W130" s="3">
        <v>0</v>
      </c>
      <c r="X130" s="3">
        <v>0</v>
      </c>
      <c r="Y130" s="3">
        <v>1</v>
      </c>
      <c r="Z130" s="3">
        <v>2</v>
      </c>
      <c r="AA130" s="3">
        <v>0</v>
      </c>
      <c r="AB130" s="3">
        <f t="shared" si="18"/>
        <v>3</v>
      </c>
      <c r="AC130" s="6">
        <f t="shared" si="26"/>
        <v>0</v>
      </c>
      <c r="AD130" s="6">
        <f t="shared" si="27"/>
        <v>0</v>
      </c>
      <c r="AE130" s="6">
        <f t="shared" si="28"/>
        <v>0</v>
      </c>
      <c r="AF130" s="6">
        <f t="shared" si="29"/>
        <v>0</v>
      </c>
      <c r="AG130" s="6">
        <f t="shared" si="30"/>
        <v>0</v>
      </c>
      <c r="AH130" s="6">
        <f t="shared" si="19"/>
        <v>0</v>
      </c>
      <c r="AI130" s="3"/>
      <c r="AJ130" s="3" t="e">
        <f>_xlfn.XLOOKUP(K130,工作表1!A:A,工作表1!C:C)</f>
        <v>#N/A</v>
      </c>
      <c r="AK130" s="3"/>
      <c r="AL130" s="6">
        <f t="shared" si="20"/>
        <v>0</v>
      </c>
      <c r="AM130" s="6">
        <f t="shared" si="21"/>
        <v>0</v>
      </c>
      <c r="AN130" s="6">
        <f t="shared" si="22"/>
        <v>1</v>
      </c>
      <c r="AO130" s="6">
        <f t="shared" si="23"/>
        <v>2</v>
      </c>
      <c r="AP130" s="6">
        <f t="shared" si="24"/>
        <v>0</v>
      </c>
      <c r="AQ130" s="6">
        <f t="shared" si="25"/>
        <v>3</v>
      </c>
      <c r="AR130" s="6"/>
      <c r="AS130" s="6"/>
      <c r="AT130" s="6"/>
      <c r="AU130" s="6"/>
      <c r="AV130" s="6"/>
      <c r="AW130" s="21"/>
      <c r="AX130" s="6"/>
      <c r="AY130" s="6"/>
      <c r="AZ130" s="6"/>
      <c r="BA130" s="21">
        <v>1</v>
      </c>
      <c r="BB130" s="6"/>
      <c r="BC130" s="6"/>
      <c r="BD130" s="6"/>
      <c r="BE130" s="6"/>
      <c r="BF130" s="21">
        <v>2</v>
      </c>
      <c r="BG130" s="6"/>
      <c r="BH130" s="6"/>
      <c r="BI130" s="6"/>
      <c r="BJ130" s="6"/>
      <c r="BK130" s="6"/>
      <c r="BL130" s="6"/>
      <c r="BM130" s="6"/>
      <c r="BN130" s="6"/>
      <c r="BO130" s="6"/>
      <c r="BP130" s="3">
        <v>3</v>
      </c>
      <c r="BQ130" s="6">
        <f t="shared" si="16"/>
        <v>3</v>
      </c>
      <c r="BR130">
        <v>3</v>
      </c>
    </row>
    <row r="131" spans="1:70" x14ac:dyDescent="0.3">
      <c r="A131" s="3" t="s">
        <v>17</v>
      </c>
      <c r="B131" s="3">
        <v>331</v>
      </c>
      <c r="C131" s="3" t="s">
        <v>233</v>
      </c>
      <c r="D131" s="3">
        <v>2</v>
      </c>
      <c r="E131" s="3">
        <v>0.75</v>
      </c>
      <c r="F131" s="3" t="s">
        <v>19</v>
      </c>
      <c r="G131" s="3" t="s">
        <v>19</v>
      </c>
      <c r="H131" s="3" t="s">
        <v>231</v>
      </c>
      <c r="I131" s="3"/>
      <c r="J131" s="3" t="s">
        <v>91</v>
      </c>
      <c r="K131" s="3" t="s">
        <v>234</v>
      </c>
      <c r="L131" s="3" t="s">
        <v>24</v>
      </c>
      <c r="M131" s="3">
        <v>6</v>
      </c>
      <c r="N131" s="6"/>
      <c r="O131" s="3">
        <v>5</v>
      </c>
      <c r="P131" s="3">
        <v>5</v>
      </c>
      <c r="Q131" s="3">
        <v>0</v>
      </c>
      <c r="R131" s="3">
        <v>0</v>
      </c>
      <c r="S131" s="3">
        <v>5</v>
      </c>
      <c r="T131" s="3">
        <v>0</v>
      </c>
      <c r="U131" s="3">
        <v>0</v>
      </c>
      <c r="V131" s="3">
        <f t="shared" si="17"/>
        <v>5</v>
      </c>
      <c r="W131" s="3">
        <v>0</v>
      </c>
      <c r="X131" s="3">
        <v>0</v>
      </c>
      <c r="Y131" s="3">
        <v>5</v>
      </c>
      <c r="Z131" s="3">
        <v>0</v>
      </c>
      <c r="AA131" s="3">
        <v>0</v>
      </c>
      <c r="AB131" s="3">
        <f t="shared" si="18"/>
        <v>5</v>
      </c>
      <c r="AC131" s="6">
        <f t="shared" si="26"/>
        <v>0</v>
      </c>
      <c r="AD131" s="6">
        <f t="shared" si="27"/>
        <v>0</v>
      </c>
      <c r="AE131" s="6">
        <f t="shared" si="28"/>
        <v>0</v>
      </c>
      <c r="AF131" s="6">
        <f t="shared" si="29"/>
        <v>0</v>
      </c>
      <c r="AG131" s="6">
        <f t="shared" si="30"/>
        <v>0</v>
      </c>
      <c r="AH131" s="6">
        <f t="shared" si="19"/>
        <v>0</v>
      </c>
      <c r="AI131" s="3"/>
      <c r="AJ131" s="3" t="e">
        <f>_xlfn.XLOOKUP(K131,工作表1!A:A,工作表1!C:C)</f>
        <v>#N/A</v>
      </c>
      <c r="AK131" s="3"/>
      <c r="AL131" s="6">
        <f t="shared" si="20"/>
        <v>0</v>
      </c>
      <c r="AM131" s="6">
        <f t="shared" si="21"/>
        <v>0</v>
      </c>
      <c r="AN131" s="6">
        <f t="shared" si="22"/>
        <v>5</v>
      </c>
      <c r="AO131" s="6">
        <f t="shared" si="23"/>
        <v>0</v>
      </c>
      <c r="AP131" s="6">
        <f t="shared" si="24"/>
        <v>0</v>
      </c>
      <c r="AQ131" s="6">
        <f t="shared" si="25"/>
        <v>5</v>
      </c>
      <c r="AR131" s="6"/>
      <c r="AS131" s="6"/>
      <c r="AT131" s="6"/>
      <c r="AU131" s="6"/>
      <c r="AV131" s="6"/>
      <c r="AW131" s="21"/>
      <c r="AX131" s="6"/>
      <c r="AY131" s="6"/>
      <c r="AZ131" s="6"/>
      <c r="BA131" s="21">
        <v>5</v>
      </c>
      <c r="BB131" s="6"/>
      <c r="BC131" s="6"/>
      <c r="BD131" s="6"/>
      <c r="BE131" s="6"/>
      <c r="BF131" s="6"/>
      <c r="BG131" s="6"/>
      <c r="BH131" s="6"/>
      <c r="BI131" s="6"/>
      <c r="BJ131" s="6"/>
      <c r="BK131" s="6"/>
      <c r="BL131" s="6"/>
      <c r="BM131" s="6"/>
      <c r="BN131" s="6"/>
      <c r="BO131" s="6"/>
      <c r="BP131" s="3">
        <v>5</v>
      </c>
      <c r="BQ131" s="6">
        <f t="shared" si="16"/>
        <v>5</v>
      </c>
      <c r="BR131">
        <v>5</v>
      </c>
    </row>
    <row r="132" spans="1:70" x14ac:dyDescent="0.3">
      <c r="A132" s="3" t="s">
        <v>17</v>
      </c>
      <c r="B132" s="3">
        <v>331</v>
      </c>
      <c r="C132" s="3" t="s">
        <v>235</v>
      </c>
      <c r="D132" s="3">
        <v>6</v>
      </c>
      <c r="E132" s="3">
        <v>0.75</v>
      </c>
      <c r="F132" s="3" t="s">
        <v>19</v>
      </c>
      <c r="G132" s="3" t="s">
        <v>19</v>
      </c>
      <c r="H132" s="3" t="s">
        <v>215</v>
      </c>
      <c r="I132" s="3"/>
      <c r="J132" s="3" t="s">
        <v>91</v>
      </c>
      <c r="K132" s="3" t="s">
        <v>236</v>
      </c>
      <c r="L132" s="3" t="s">
        <v>24</v>
      </c>
      <c r="M132" s="3">
        <v>0</v>
      </c>
      <c r="N132" s="6"/>
      <c r="O132" s="3">
        <v>1</v>
      </c>
      <c r="P132" s="3">
        <v>1</v>
      </c>
      <c r="Q132" s="3">
        <v>0</v>
      </c>
      <c r="R132" s="3">
        <v>0</v>
      </c>
      <c r="S132" s="3">
        <v>0</v>
      </c>
      <c r="T132" s="3">
        <v>1</v>
      </c>
      <c r="U132" s="3">
        <v>0</v>
      </c>
      <c r="V132" s="3">
        <f t="shared" si="17"/>
        <v>1</v>
      </c>
      <c r="W132" s="3">
        <v>0</v>
      </c>
      <c r="X132" s="3">
        <v>0</v>
      </c>
      <c r="Y132" s="3">
        <v>0</v>
      </c>
      <c r="Z132" s="3">
        <v>1</v>
      </c>
      <c r="AA132" s="3">
        <v>0</v>
      </c>
      <c r="AB132" s="3">
        <f t="shared" si="18"/>
        <v>1</v>
      </c>
      <c r="AC132" s="6">
        <f t="shared" si="26"/>
        <v>0</v>
      </c>
      <c r="AD132" s="6">
        <f t="shared" si="27"/>
        <v>0</v>
      </c>
      <c r="AE132" s="6">
        <f t="shared" si="28"/>
        <v>0</v>
      </c>
      <c r="AF132" s="6">
        <f t="shared" si="29"/>
        <v>-1</v>
      </c>
      <c r="AG132" s="6">
        <f t="shared" si="30"/>
        <v>0</v>
      </c>
      <c r="AH132" s="6">
        <f t="shared" si="19"/>
        <v>-1</v>
      </c>
      <c r="AI132" s="3"/>
      <c r="AJ132" s="3" t="e">
        <f>_xlfn.XLOOKUP(K132,工作表1!A:A,工作表1!C:C)</f>
        <v>#N/A</v>
      </c>
      <c r="AK132" s="3"/>
      <c r="AL132" s="6">
        <f t="shared" si="20"/>
        <v>0</v>
      </c>
      <c r="AM132" s="6">
        <f t="shared" si="21"/>
        <v>0</v>
      </c>
      <c r="AN132" s="6">
        <f t="shared" si="22"/>
        <v>0</v>
      </c>
      <c r="AO132" s="6">
        <f t="shared" si="23"/>
        <v>0</v>
      </c>
      <c r="AP132" s="6">
        <f t="shared" si="24"/>
        <v>0</v>
      </c>
      <c r="AQ132" s="6">
        <f t="shared" si="25"/>
        <v>0</v>
      </c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  <c r="BC132" s="6"/>
      <c r="BD132" s="6"/>
      <c r="BE132" s="6"/>
      <c r="BF132" s="6"/>
      <c r="BG132" s="6"/>
      <c r="BH132" s="6"/>
      <c r="BI132" s="6"/>
      <c r="BJ132" s="6"/>
      <c r="BK132" s="6"/>
      <c r="BL132" s="6"/>
      <c r="BM132" s="6"/>
      <c r="BN132" s="6"/>
      <c r="BO132" s="6"/>
      <c r="BP132" s="3">
        <v>1</v>
      </c>
      <c r="BQ132" s="6">
        <f t="shared" si="16"/>
        <v>0</v>
      </c>
    </row>
    <row r="133" spans="1:70" x14ac:dyDescent="0.3">
      <c r="A133" s="3" t="s">
        <v>17</v>
      </c>
      <c r="B133" s="3">
        <v>331</v>
      </c>
      <c r="C133" s="3" t="s">
        <v>235</v>
      </c>
      <c r="D133" s="3">
        <v>4</v>
      </c>
      <c r="E133" s="3">
        <v>0.75</v>
      </c>
      <c r="F133" s="3" t="s">
        <v>19</v>
      </c>
      <c r="G133" s="3" t="s">
        <v>19</v>
      </c>
      <c r="H133" s="3" t="s">
        <v>221</v>
      </c>
      <c r="I133" s="3"/>
      <c r="J133" s="3" t="s">
        <v>91</v>
      </c>
      <c r="K133" s="3" t="s">
        <v>237</v>
      </c>
      <c r="L133" s="3" t="s">
        <v>24</v>
      </c>
      <c r="M133" s="3">
        <v>2</v>
      </c>
      <c r="N133" s="6"/>
      <c r="O133" s="3">
        <v>3</v>
      </c>
      <c r="P133" s="3">
        <v>3</v>
      </c>
      <c r="Q133" s="3">
        <v>0</v>
      </c>
      <c r="R133" s="3">
        <v>2</v>
      </c>
      <c r="S133" s="3">
        <v>0</v>
      </c>
      <c r="T133" s="3">
        <v>1</v>
      </c>
      <c r="U133" s="3">
        <v>0</v>
      </c>
      <c r="V133" s="3">
        <f t="shared" si="17"/>
        <v>3</v>
      </c>
      <c r="W133" s="3">
        <v>0</v>
      </c>
      <c r="X133" s="3">
        <v>2</v>
      </c>
      <c r="Y133" s="3">
        <v>0</v>
      </c>
      <c r="Z133" s="3">
        <v>1</v>
      </c>
      <c r="AA133" s="3">
        <v>0</v>
      </c>
      <c r="AB133" s="3">
        <f t="shared" si="18"/>
        <v>3</v>
      </c>
      <c r="AC133" s="6">
        <f t="shared" si="26"/>
        <v>0</v>
      </c>
      <c r="AD133" s="6">
        <f t="shared" si="27"/>
        <v>-2</v>
      </c>
      <c r="AE133" s="6">
        <f t="shared" si="28"/>
        <v>0</v>
      </c>
      <c r="AF133" s="6">
        <f t="shared" si="29"/>
        <v>-1</v>
      </c>
      <c r="AG133" s="6">
        <f t="shared" si="30"/>
        <v>0</v>
      </c>
      <c r="AH133" s="6">
        <f t="shared" si="19"/>
        <v>-3</v>
      </c>
      <c r="AI133" s="3"/>
      <c r="AJ133" s="3" t="e">
        <f>_xlfn.XLOOKUP(K133,工作表1!A:A,工作表1!C:C)</f>
        <v>#N/A</v>
      </c>
      <c r="AK133" s="3"/>
      <c r="AL133" s="6">
        <f t="shared" si="20"/>
        <v>0</v>
      </c>
      <c r="AM133" s="6">
        <f t="shared" si="21"/>
        <v>0</v>
      </c>
      <c r="AN133" s="6">
        <f t="shared" si="22"/>
        <v>0</v>
      </c>
      <c r="AO133" s="6">
        <f t="shared" si="23"/>
        <v>0</v>
      </c>
      <c r="AP133" s="6">
        <f t="shared" si="24"/>
        <v>0</v>
      </c>
      <c r="AQ133" s="6">
        <f t="shared" si="25"/>
        <v>0</v>
      </c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  <c r="BC133" s="6"/>
      <c r="BD133" s="6"/>
      <c r="BE133" s="6"/>
      <c r="BF133" s="6"/>
      <c r="BG133" s="6"/>
      <c r="BH133" s="6"/>
      <c r="BI133" s="6"/>
      <c r="BJ133" s="6"/>
      <c r="BK133" s="6"/>
      <c r="BL133" s="6"/>
      <c r="BM133" s="6"/>
      <c r="BN133" s="6"/>
      <c r="BO133" s="6"/>
      <c r="BP133" s="3">
        <v>3</v>
      </c>
      <c r="BQ133" s="6">
        <f t="shared" si="16"/>
        <v>0</v>
      </c>
    </row>
    <row r="134" spans="1:70" x14ac:dyDescent="0.3">
      <c r="A134" s="3" t="s">
        <v>17</v>
      </c>
      <c r="B134" s="3">
        <v>331</v>
      </c>
      <c r="C134" s="3" t="s">
        <v>235</v>
      </c>
      <c r="D134" s="3">
        <v>3</v>
      </c>
      <c r="E134" s="3">
        <v>0.75</v>
      </c>
      <c r="F134" s="3" t="s">
        <v>19</v>
      </c>
      <c r="G134" s="3" t="s">
        <v>19</v>
      </c>
      <c r="H134" s="3" t="s">
        <v>227</v>
      </c>
      <c r="I134" s="3"/>
      <c r="J134" s="3" t="s">
        <v>91</v>
      </c>
      <c r="K134" s="3" t="s">
        <v>238</v>
      </c>
      <c r="L134" s="3" t="s">
        <v>24</v>
      </c>
      <c r="M134" s="3">
        <v>0</v>
      </c>
      <c r="N134" s="6"/>
      <c r="O134" s="3">
        <v>1</v>
      </c>
      <c r="P134" s="3">
        <v>1</v>
      </c>
      <c r="Q134" s="3">
        <v>0</v>
      </c>
      <c r="R134" s="3">
        <v>0</v>
      </c>
      <c r="S134" s="3">
        <v>0</v>
      </c>
      <c r="T134" s="3">
        <v>1</v>
      </c>
      <c r="U134" s="3">
        <v>0</v>
      </c>
      <c r="V134" s="3">
        <f t="shared" si="17"/>
        <v>1</v>
      </c>
      <c r="W134" s="3">
        <v>0</v>
      </c>
      <c r="X134" s="3">
        <v>0</v>
      </c>
      <c r="Y134" s="3">
        <v>0</v>
      </c>
      <c r="Z134" s="3">
        <v>1</v>
      </c>
      <c r="AA134" s="3">
        <v>0</v>
      </c>
      <c r="AB134" s="3">
        <f t="shared" si="18"/>
        <v>1</v>
      </c>
      <c r="AC134" s="6">
        <f t="shared" si="26"/>
        <v>0</v>
      </c>
      <c r="AD134" s="6">
        <f t="shared" si="27"/>
        <v>0</v>
      </c>
      <c r="AE134" s="6">
        <f t="shared" si="28"/>
        <v>0</v>
      </c>
      <c r="AF134" s="6">
        <f t="shared" si="29"/>
        <v>-1</v>
      </c>
      <c r="AG134" s="6">
        <f t="shared" si="30"/>
        <v>0</v>
      </c>
      <c r="AH134" s="6">
        <f t="shared" si="19"/>
        <v>-1</v>
      </c>
      <c r="AI134" s="3"/>
      <c r="AJ134" s="3" t="e">
        <f>_xlfn.XLOOKUP(K134,工作表1!A:A,工作表1!C:C)</f>
        <v>#N/A</v>
      </c>
      <c r="AK134" s="3"/>
      <c r="AL134" s="6">
        <f t="shared" si="20"/>
        <v>0</v>
      </c>
      <c r="AM134" s="6">
        <f t="shared" si="21"/>
        <v>0</v>
      </c>
      <c r="AN134" s="6">
        <f t="shared" si="22"/>
        <v>0</v>
      </c>
      <c r="AO134" s="6">
        <f t="shared" si="23"/>
        <v>0</v>
      </c>
      <c r="AP134" s="6">
        <f t="shared" si="24"/>
        <v>0</v>
      </c>
      <c r="AQ134" s="6">
        <f t="shared" si="25"/>
        <v>0</v>
      </c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  <c r="BC134" s="6"/>
      <c r="BD134" s="6"/>
      <c r="BE134" s="6"/>
      <c r="BF134" s="6"/>
      <c r="BG134" s="6"/>
      <c r="BH134" s="6"/>
      <c r="BI134" s="6"/>
      <c r="BJ134" s="6"/>
      <c r="BK134" s="6"/>
      <c r="BL134" s="6"/>
      <c r="BM134" s="6"/>
      <c r="BN134" s="6"/>
      <c r="BO134" s="6"/>
      <c r="BP134" s="3">
        <v>1</v>
      </c>
      <c r="BQ134" s="6">
        <f t="shared" si="16"/>
        <v>0</v>
      </c>
    </row>
    <row r="135" spans="1:70" x14ac:dyDescent="0.3">
      <c r="A135" s="3" t="s">
        <v>17</v>
      </c>
      <c r="B135" s="3">
        <v>331</v>
      </c>
      <c r="C135" s="3" t="s">
        <v>235</v>
      </c>
      <c r="D135" s="3">
        <v>2</v>
      </c>
      <c r="E135" s="3">
        <v>0.75</v>
      </c>
      <c r="F135" s="3" t="s">
        <v>19</v>
      </c>
      <c r="G135" s="3" t="s">
        <v>19</v>
      </c>
      <c r="H135" s="3" t="s">
        <v>231</v>
      </c>
      <c r="I135" s="3"/>
      <c r="J135" s="3" t="s">
        <v>91</v>
      </c>
      <c r="K135" s="3" t="s">
        <v>239</v>
      </c>
      <c r="L135" s="3" t="s">
        <v>24</v>
      </c>
      <c r="M135" s="3">
        <v>20</v>
      </c>
      <c r="N135" s="6"/>
      <c r="O135" s="3">
        <v>19</v>
      </c>
      <c r="P135" s="3">
        <v>19</v>
      </c>
      <c r="Q135" s="3">
        <v>0</v>
      </c>
      <c r="R135" s="3">
        <v>18</v>
      </c>
      <c r="S135" s="3">
        <v>0</v>
      </c>
      <c r="T135" s="3">
        <v>1</v>
      </c>
      <c r="U135" s="3">
        <v>0</v>
      </c>
      <c r="V135" s="3">
        <f t="shared" si="17"/>
        <v>19</v>
      </c>
      <c r="W135" s="3">
        <v>0</v>
      </c>
      <c r="X135" s="3">
        <v>18</v>
      </c>
      <c r="Y135" s="3">
        <v>0</v>
      </c>
      <c r="Z135" s="3">
        <v>1</v>
      </c>
      <c r="AA135" s="3">
        <v>0</v>
      </c>
      <c r="AB135" s="3">
        <f t="shared" si="18"/>
        <v>19</v>
      </c>
      <c r="AC135" s="6">
        <f t="shared" si="26"/>
        <v>0</v>
      </c>
      <c r="AD135" s="6">
        <f t="shared" si="27"/>
        <v>-18</v>
      </c>
      <c r="AE135" s="6">
        <f t="shared" si="28"/>
        <v>0</v>
      </c>
      <c r="AF135" s="6">
        <f t="shared" si="29"/>
        <v>-1</v>
      </c>
      <c r="AG135" s="6">
        <f t="shared" si="30"/>
        <v>0</v>
      </c>
      <c r="AH135" s="6">
        <f t="shared" si="19"/>
        <v>-19</v>
      </c>
      <c r="AI135" s="3"/>
      <c r="AJ135" s="3" t="e">
        <f>_xlfn.XLOOKUP(K135,工作表1!A:A,工作表1!C:C)</f>
        <v>#N/A</v>
      </c>
      <c r="AK135" s="3"/>
      <c r="AL135" s="6">
        <f t="shared" si="20"/>
        <v>0</v>
      </c>
      <c r="AM135" s="6">
        <f t="shared" si="21"/>
        <v>0</v>
      </c>
      <c r="AN135" s="6">
        <f t="shared" si="22"/>
        <v>0</v>
      </c>
      <c r="AO135" s="6">
        <f t="shared" si="23"/>
        <v>0</v>
      </c>
      <c r="AP135" s="6">
        <f t="shared" si="24"/>
        <v>0</v>
      </c>
      <c r="AQ135" s="6">
        <f t="shared" si="25"/>
        <v>0</v>
      </c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  <c r="BC135" s="6"/>
      <c r="BD135" s="6"/>
      <c r="BE135" s="6"/>
      <c r="BF135" s="6"/>
      <c r="BG135" s="6"/>
      <c r="BH135" s="6"/>
      <c r="BI135" s="6"/>
      <c r="BJ135" s="6"/>
      <c r="BK135" s="6"/>
      <c r="BL135" s="6"/>
      <c r="BM135" s="6"/>
      <c r="BN135" s="6"/>
      <c r="BO135" s="6"/>
      <c r="BP135" s="3">
        <v>19</v>
      </c>
      <c r="BQ135" s="6">
        <f t="shared" ref="BQ135:BQ198" si="31">SUM(BR135:FN135)</f>
        <v>0</v>
      </c>
    </row>
    <row r="136" spans="1:70" x14ac:dyDescent="0.3">
      <c r="A136" s="3" t="s">
        <v>17</v>
      </c>
      <c r="B136" s="3">
        <v>332</v>
      </c>
      <c r="C136" s="3" t="s">
        <v>240</v>
      </c>
      <c r="D136" s="3">
        <v>6</v>
      </c>
      <c r="E136" s="3">
        <v>2</v>
      </c>
      <c r="F136" s="3" t="s">
        <v>20</v>
      </c>
      <c r="G136" s="3" t="s">
        <v>25</v>
      </c>
      <c r="H136" s="3" t="s">
        <v>241</v>
      </c>
      <c r="I136" s="3"/>
      <c r="J136" s="3" t="s">
        <v>91</v>
      </c>
      <c r="K136" s="3" t="s">
        <v>242</v>
      </c>
      <c r="L136" s="3" t="s">
        <v>24</v>
      </c>
      <c r="M136" s="3">
        <v>8</v>
      </c>
      <c r="N136" s="6"/>
      <c r="O136" s="3">
        <v>4</v>
      </c>
      <c r="P136" s="3">
        <v>4</v>
      </c>
      <c r="Q136" s="3">
        <v>0</v>
      </c>
      <c r="R136" s="3">
        <v>1</v>
      </c>
      <c r="S136" s="3">
        <v>0</v>
      </c>
      <c r="T136" s="3">
        <v>3</v>
      </c>
      <c r="U136" s="3">
        <v>0</v>
      </c>
      <c r="V136" s="3">
        <f t="shared" ref="V136:V199" si="32">SUM(Q136:U136)</f>
        <v>4</v>
      </c>
      <c r="W136" s="3">
        <v>0</v>
      </c>
      <c r="X136" s="3">
        <v>1</v>
      </c>
      <c r="Y136" s="3">
        <v>0</v>
      </c>
      <c r="Z136" s="3">
        <v>3</v>
      </c>
      <c r="AA136" s="3">
        <v>0</v>
      </c>
      <c r="AB136" s="3">
        <f t="shared" ref="AB136:AB199" si="33">SUM(W136:AA136)</f>
        <v>4</v>
      </c>
      <c r="AC136" s="6">
        <f t="shared" si="26"/>
        <v>0</v>
      </c>
      <c r="AD136" s="6">
        <f t="shared" si="27"/>
        <v>0</v>
      </c>
      <c r="AE136" s="6">
        <f t="shared" si="28"/>
        <v>0</v>
      </c>
      <c r="AF136" s="6">
        <f t="shared" si="29"/>
        <v>0</v>
      </c>
      <c r="AG136" s="6">
        <f t="shared" si="30"/>
        <v>0</v>
      </c>
      <c r="AH136" s="6">
        <f t="shared" ref="AH136:AH199" si="34">AQ136-AB136</f>
        <v>0</v>
      </c>
      <c r="AI136" s="3"/>
      <c r="AJ136" s="3" t="e">
        <f>_xlfn.XLOOKUP(K136,工作表1!A:A,工作表1!C:C)</f>
        <v>#N/A</v>
      </c>
      <c r="AK136" s="3"/>
      <c r="AL136" s="6">
        <f t="shared" ref="AL136:AL199" si="35">SUM(AR136:AV136)</f>
        <v>0</v>
      </c>
      <c r="AM136" s="6">
        <f t="shared" ref="AM136:AM199" si="36">SUM(AW136:AZ136)</f>
        <v>1</v>
      </c>
      <c r="AN136" s="6">
        <f t="shared" ref="AN136:AN199" si="37">SUM(BA136:BE136)</f>
        <v>0</v>
      </c>
      <c r="AO136" s="6">
        <f t="shared" ref="AO136:AO199" si="38">SUM(BF136:BI136)</f>
        <v>3</v>
      </c>
      <c r="AP136" s="6">
        <f t="shared" ref="AP136:AP199" si="39">SUM(BJ136:BN136)</f>
        <v>0</v>
      </c>
      <c r="AQ136" s="6">
        <f t="shared" ref="AQ136:AQ199" si="40">SUM(AL136:AP136)</f>
        <v>4</v>
      </c>
      <c r="AR136" s="6"/>
      <c r="AS136" s="6"/>
      <c r="AT136" s="6"/>
      <c r="AU136" s="6"/>
      <c r="AV136" s="6"/>
      <c r="AW136" s="21">
        <v>1</v>
      </c>
      <c r="AX136" s="6"/>
      <c r="AY136" s="6"/>
      <c r="AZ136" s="6"/>
      <c r="BA136" s="6"/>
      <c r="BB136" s="6"/>
      <c r="BC136" s="6"/>
      <c r="BD136" s="6"/>
      <c r="BE136" s="6"/>
      <c r="BF136" s="21">
        <v>3</v>
      </c>
      <c r="BG136" s="6"/>
      <c r="BH136" s="6"/>
      <c r="BI136" s="6"/>
      <c r="BJ136" s="6"/>
      <c r="BK136" s="6"/>
      <c r="BL136" s="6"/>
      <c r="BM136" s="6"/>
      <c r="BN136" s="6"/>
      <c r="BO136" s="6"/>
      <c r="BP136" s="3">
        <v>4</v>
      </c>
      <c r="BQ136" s="6">
        <f t="shared" si="31"/>
        <v>4</v>
      </c>
      <c r="BR136" s="8">
        <v>4</v>
      </c>
    </row>
    <row r="137" spans="1:70" x14ac:dyDescent="0.3">
      <c r="A137" s="3" t="s">
        <v>17</v>
      </c>
      <c r="B137" s="3">
        <v>332</v>
      </c>
      <c r="C137" s="3" t="s">
        <v>243</v>
      </c>
      <c r="D137" s="3">
        <v>8</v>
      </c>
      <c r="E137" s="3">
        <v>1.5</v>
      </c>
      <c r="F137" s="3" t="s">
        <v>69</v>
      </c>
      <c r="G137" s="3" t="s">
        <v>41</v>
      </c>
      <c r="H137" s="3" t="s">
        <v>244</v>
      </c>
      <c r="I137" s="3"/>
      <c r="J137" s="3" t="s">
        <v>91</v>
      </c>
      <c r="K137" s="3" t="s">
        <v>245</v>
      </c>
      <c r="L137" s="3" t="s">
        <v>24</v>
      </c>
      <c r="M137" s="3">
        <v>1</v>
      </c>
      <c r="N137" s="6"/>
      <c r="O137" s="3">
        <v>1</v>
      </c>
      <c r="P137" s="3">
        <v>1</v>
      </c>
      <c r="Q137" s="3">
        <v>0</v>
      </c>
      <c r="R137" s="3">
        <v>0</v>
      </c>
      <c r="S137" s="3">
        <v>0</v>
      </c>
      <c r="T137" s="3">
        <v>1</v>
      </c>
      <c r="U137" s="3">
        <v>0</v>
      </c>
      <c r="V137" s="3">
        <f t="shared" si="32"/>
        <v>1</v>
      </c>
      <c r="W137" s="3">
        <v>0</v>
      </c>
      <c r="X137" s="3">
        <v>0</v>
      </c>
      <c r="Y137" s="3">
        <v>0</v>
      </c>
      <c r="Z137" s="3">
        <v>1</v>
      </c>
      <c r="AA137" s="3">
        <v>0</v>
      </c>
      <c r="AB137" s="3">
        <f t="shared" si="33"/>
        <v>1</v>
      </c>
      <c r="AC137" s="6">
        <f t="shared" si="26"/>
        <v>0</v>
      </c>
      <c r="AD137" s="6">
        <f t="shared" si="27"/>
        <v>0</v>
      </c>
      <c r="AE137" s="6">
        <f t="shared" si="28"/>
        <v>0</v>
      </c>
      <c r="AF137" s="6">
        <f t="shared" si="29"/>
        <v>-1</v>
      </c>
      <c r="AG137" s="6">
        <f t="shared" si="30"/>
        <v>0</v>
      </c>
      <c r="AH137" s="6">
        <f t="shared" si="34"/>
        <v>-1</v>
      </c>
      <c r="AI137" s="3"/>
      <c r="AJ137" s="3" t="e">
        <f>_xlfn.XLOOKUP(K137,工作表1!A:A,工作表1!C:C)</f>
        <v>#N/A</v>
      </c>
      <c r="AK137" s="3"/>
      <c r="AL137" s="6">
        <f t="shared" si="35"/>
        <v>0</v>
      </c>
      <c r="AM137" s="6">
        <f t="shared" si="36"/>
        <v>0</v>
      </c>
      <c r="AN137" s="6">
        <f t="shared" si="37"/>
        <v>0</v>
      </c>
      <c r="AO137" s="6">
        <f t="shared" si="38"/>
        <v>0</v>
      </c>
      <c r="AP137" s="6">
        <f t="shared" si="39"/>
        <v>0</v>
      </c>
      <c r="AQ137" s="6">
        <f t="shared" si="40"/>
        <v>0</v>
      </c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  <c r="BC137" s="6"/>
      <c r="BD137" s="6"/>
      <c r="BE137" s="6"/>
      <c r="BF137" s="6"/>
      <c r="BG137" s="6"/>
      <c r="BH137" s="6"/>
      <c r="BI137" s="6"/>
      <c r="BJ137" s="6"/>
      <c r="BK137" s="6"/>
      <c r="BL137" s="6"/>
      <c r="BM137" s="6"/>
      <c r="BN137" s="6"/>
      <c r="BO137" s="6"/>
      <c r="BP137" s="3">
        <v>1</v>
      </c>
      <c r="BQ137" s="6">
        <f t="shared" si="31"/>
        <v>0</v>
      </c>
    </row>
    <row r="138" spans="1:70" x14ac:dyDescent="0.3">
      <c r="A138" s="3" t="s">
        <v>17</v>
      </c>
      <c r="B138" s="3">
        <v>332</v>
      </c>
      <c r="C138" s="3" t="s">
        <v>243</v>
      </c>
      <c r="D138" s="3">
        <v>8</v>
      </c>
      <c r="E138" s="3">
        <v>1</v>
      </c>
      <c r="F138" s="3" t="s">
        <v>69</v>
      </c>
      <c r="G138" s="3" t="s">
        <v>41</v>
      </c>
      <c r="H138" s="3" t="s">
        <v>246</v>
      </c>
      <c r="I138" s="3"/>
      <c r="J138" s="3" t="s">
        <v>91</v>
      </c>
      <c r="K138" s="3" t="s">
        <v>247</v>
      </c>
      <c r="L138" s="3" t="s">
        <v>24</v>
      </c>
      <c r="M138" s="3">
        <v>1</v>
      </c>
      <c r="N138" s="6"/>
      <c r="O138" s="3">
        <v>1</v>
      </c>
      <c r="P138" s="3">
        <v>1</v>
      </c>
      <c r="Q138" s="3">
        <v>0</v>
      </c>
      <c r="R138" s="3">
        <v>0</v>
      </c>
      <c r="S138" s="3">
        <v>1</v>
      </c>
      <c r="T138" s="3">
        <v>0</v>
      </c>
      <c r="U138" s="3">
        <v>0</v>
      </c>
      <c r="V138" s="3">
        <f t="shared" si="32"/>
        <v>1</v>
      </c>
      <c r="W138" s="3">
        <v>0</v>
      </c>
      <c r="X138" s="3">
        <v>0</v>
      </c>
      <c r="Y138" s="3">
        <v>1</v>
      </c>
      <c r="Z138" s="3">
        <v>0</v>
      </c>
      <c r="AA138" s="3">
        <v>0</v>
      </c>
      <c r="AB138" s="3">
        <f t="shared" si="33"/>
        <v>1</v>
      </c>
      <c r="AC138" s="6">
        <f t="shared" si="26"/>
        <v>0</v>
      </c>
      <c r="AD138" s="6">
        <f t="shared" si="27"/>
        <v>0</v>
      </c>
      <c r="AE138" s="6">
        <f t="shared" si="28"/>
        <v>-1</v>
      </c>
      <c r="AF138" s="6">
        <f t="shared" si="29"/>
        <v>0</v>
      </c>
      <c r="AG138" s="6">
        <f t="shared" si="30"/>
        <v>0</v>
      </c>
      <c r="AH138" s="6">
        <f t="shared" si="34"/>
        <v>-1</v>
      </c>
      <c r="AI138" s="3"/>
      <c r="AJ138" s="3" t="e">
        <f>_xlfn.XLOOKUP(K138,工作表1!A:A,工作表1!C:C)</f>
        <v>#N/A</v>
      </c>
      <c r="AK138" s="3"/>
      <c r="AL138" s="6">
        <f t="shared" si="35"/>
        <v>0</v>
      </c>
      <c r="AM138" s="6">
        <f t="shared" si="36"/>
        <v>0</v>
      </c>
      <c r="AN138" s="6">
        <f t="shared" si="37"/>
        <v>0</v>
      </c>
      <c r="AO138" s="6">
        <f t="shared" si="38"/>
        <v>0</v>
      </c>
      <c r="AP138" s="6">
        <f t="shared" si="39"/>
        <v>0</v>
      </c>
      <c r="AQ138" s="6">
        <f t="shared" si="40"/>
        <v>0</v>
      </c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  <c r="BC138" s="6"/>
      <c r="BD138" s="6"/>
      <c r="BE138" s="6"/>
      <c r="BF138" s="6"/>
      <c r="BG138" s="6"/>
      <c r="BH138" s="6"/>
      <c r="BI138" s="6"/>
      <c r="BJ138" s="6"/>
      <c r="BK138" s="6"/>
      <c r="BL138" s="6"/>
      <c r="BM138" s="6"/>
      <c r="BN138" s="6"/>
      <c r="BO138" s="6"/>
      <c r="BP138" s="3">
        <v>1</v>
      </c>
      <c r="BQ138" s="6">
        <f t="shared" si="31"/>
        <v>0</v>
      </c>
    </row>
    <row r="139" spans="1:70" x14ac:dyDescent="0.3">
      <c r="A139" s="3" t="s">
        <v>17</v>
      </c>
      <c r="B139" s="3">
        <v>332</v>
      </c>
      <c r="C139" s="3" t="s">
        <v>243</v>
      </c>
      <c r="D139" s="3">
        <v>6</v>
      </c>
      <c r="E139" s="3">
        <v>1</v>
      </c>
      <c r="F139" s="3" t="s">
        <v>41</v>
      </c>
      <c r="G139" s="3" t="s">
        <v>41</v>
      </c>
      <c r="H139" s="3" t="s">
        <v>248</v>
      </c>
      <c r="I139" s="3"/>
      <c r="J139" s="3" t="s">
        <v>91</v>
      </c>
      <c r="K139" s="3" t="s">
        <v>249</v>
      </c>
      <c r="L139" s="3" t="s">
        <v>24</v>
      </c>
      <c r="M139" s="3">
        <v>3</v>
      </c>
      <c r="N139" s="6"/>
      <c r="O139" s="3">
        <v>2</v>
      </c>
      <c r="P139" s="3">
        <v>2</v>
      </c>
      <c r="Q139" s="3">
        <v>0</v>
      </c>
      <c r="R139" s="3">
        <v>0</v>
      </c>
      <c r="S139" s="3">
        <v>2</v>
      </c>
      <c r="T139" s="3">
        <v>0</v>
      </c>
      <c r="U139" s="3">
        <v>0</v>
      </c>
      <c r="V139" s="3">
        <f t="shared" si="32"/>
        <v>2</v>
      </c>
      <c r="W139" s="3">
        <v>0</v>
      </c>
      <c r="X139" s="3">
        <v>0</v>
      </c>
      <c r="Y139" s="3">
        <v>2</v>
      </c>
      <c r="Z139" s="3">
        <v>0</v>
      </c>
      <c r="AA139" s="3">
        <v>0</v>
      </c>
      <c r="AB139" s="3">
        <f t="shared" si="33"/>
        <v>2</v>
      </c>
      <c r="AC139" s="6">
        <f t="shared" si="26"/>
        <v>0</v>
      </c>
      <c r="AD139" s="6">
        <f t="shared" si="27"/>
        <v>0</v>
      </c>
      <c r="AE139" s="6">
        <f t="shared" si="28"/>
        <v>-2</v>
      </c>
      <c r="AF139" s="6">
        <f t="shared" si="29"/>
        <v>0</v>
      </c>
      <c r="AG139" s="6">
        <f t="shared" si="30"/>
        <v>0</v>
      </c>
      <c r="AH139" s="6">
        <f t="shared" si="34"/>
        <v>-2</v>
      </c>
      <c r="AI139" s="3"/>
      <c r="AJ139" s="3" t="e">
        <f>_xlfn.XLOOKUP(K139,工作表1!A:A,工作表1!C:C)</f>
        <v>#N/A</v>
      </c>
      <c r="AK139" s="3"/>
      <c r="AL139" s="6">
        <f t="shared" si="35"/>
        <v>0</v>
      </c>
      <c r="AM139" s="6">
        <f t="shared" si="36"/>
        <v>0</v>
      </c>
      <c r="AN139" s="6">
        <f t="shared" si="37"/>
        <v>0</v>
      </c>
      <c r="AO139" s="6">
        <f t="shared" si="38"/>
        <v>0</v>
      </c>
      <c r="AP139" s="6">
        <f t="shared" si="39"/>
        <v>0</v>
      </c>
      <c r="AQ139" s="6">
        <f t="shared" si="40"/>
        <v>0</v>
      </c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  <c r="BC139" s="6"/>
      <c r="BD139" s="6"/>
      <c r="BE139" s="6"/>
      <c r="BF139" s="6"/>
      <c r="BG139" s="6"/>
      <c r="BH139" s="6"/>
      <c r="BI139" s="6"/>
      <c r="BJ139" s="6"/>
      <c r="BK139" s="6"/>
      <c r="BL139" s="6"/>
      <c r="BM139" s="6"/>
      <c r="BN139" s="6"/>
      <c r="BO139" s="6"/>
      <c r="BP139" s="3">
        <v>2</v>
      </c>
      <c r="BQ139" s="6">
        <f t="shared" si="31"/>
        <v>0</v>
      </c>
    </row>
    <row r="140" spans="1:70" x14ac:dyDescent="0.3">
      <c r="A140" s="3" t="s">
        <v>17</v>
      </c>
      <c r="B140" s="3">
        <v>332</v>
      </c>
      <c r="C140" s="3" t="s">
        <v>243</v>
      </c>
      <c r="D140" s="3">
        <v>4</v>
      </c>
      <c r="E140" s="3">
        <v>1</v>
      </c>
      <c r="F140" s="3" t="s">
        <v>45</v>
      </c>
      <c r="G140" s="3" t="s">
        <v>41</v>
      </c>
      <c r="H140" s="3" t="s">
        <v>250</v>
      </c>
      <c r="I140" s="3"/>
      <c r="J140" s="3" t="s">
        <v>91</v>
      </c>
      <c r="K140" s="3" t="s">
        <v>251</v>
      </c>
      <c r="L140" s="3" t="s">
        <v>24</v>
      </c>
      <c r="M140" s="3">
        <v>2</v>
      </c>
      <c r="N140" s="6"/>
      <c r="O140" s="3">
        <v>2</v>
      </c>
      <c r="P140" s="3">
        <v>2</v>
      </c>
      <c r="Q140" s="3">
        <v>0</v>
      </c>
      <c r="R140" s="3">
        <v>0</v>
      </c>
      <c r="S140" s="3">
        <v>0</v>
      </c>
      <c r="T140" s="3">
        <v>2</v>
      </c>
      <c r="U140" s="3">
        <v>0</v>
      </c>
      <c r="V140" s="3">
        <f t="shared" si="32"/>
        <v>2</v>
      </c>
      <c r="W140" s="3">
        <v>0</v>
      </c>
      <c r="X140" s="3">
        <v>0</v>
      </c>
      <c r="Y140" s="3">
        <v>0</v>
      </c>
      <c r="Z140" s="3">
        <v>2</v>
      </c>
      <c r="AA140" s="3">
        <v>0</v>
      </c>
      <c r="AB140" s="3">
        <f t="shared" si="33"/>
        <v>2</v>
      </c>
      <c r="AC140" s="6">
        <f t="shared" si="26"/>
        <v>0</v>
      </c>
      <c r="AD140" s="6">
        <f t="shared" si="27"/>
        <v>0</v>
      </c>
      <c r="AE140" s="6">
        <f t="shared" si="28"/>
        <v>0</v>
      </c>
      <c r="AF140" s="6">
        <f t="shared" si="29"/>
        <v>-2</v>
      </c>
      <c r="AG140" s="6">
        <f t="shared" si="30"/>
        <v>0</v>
      </c>
      <c r="AH140" s="6">
        <f t="shared" si="34"/>
        <v>-2</v>
      </c>
      <c r="AI140" s="3"/>
      <c r="AJ140" s="3" t="e">
        <f>_xlfn.XLOOKUP(K140,工作表1!A:A,工作表1!C:C)</f>
        <v>#N/A</v>
      </c>
      <c r="AK140" s="3"/>
      <c r="AL140" s="6">
        <f t="shared" si="35"/>
        <v>0</v>
      </c>
      <c r="AM140" s="6">
        <f t="shared" si="36"/>
        <v>0</v>
      </c>
      <c r="AN140" s="6">
        <f t="shared" si="37"/>
        <v>0</v>
      </c>
      <c r="AO140" s="6">
        <f t="shared" si="38"/>
        <v>0</v>
      </c>
      <c r="AP140" s="6">
        <f t="shared" si="39"/>
        <v>0</v>
      </c>
      <c r="AQ140" s="6">
        <f t="shared" si="40"/>
        <v>0</v>
      </c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  <c r="BC140" s="6"/>
      <c r="BD140" s="6"/>
      <c r="BE140" s="6"/>
      <c r="BF140" s="6"/>
      <c r="BG140" s="6"/>
      <c r="BH140" s="6"/>
      <c r="BI140" s="6"/>
      <c r="BJ140" s="6"/>
      <c r="BK140" s="6"/>
      <c r="BL140" s="6"/>
      <c r="BM140" s="6"/>
      <c r="BN140" s="6"/>
      <c r="BO140" s="6"/>
      <c r="BP140" s="3">
        <v>2</v>
      </c>
      <c r="BQ140" s="6">
        <f t="shared" si="31"/>
        <v>0</v>
      </c>
    </row>
    <row r="141" spans="1:70" x14ac:dyDescent="0.3">
      <c r="A141" s="3" t="s">
        <v>17</v>
      </c>
      <c r="B141" s="3">
        <v>351</v>
      </c>
      <c r="C141" s="3" t="s">
        <v>252</v>
      </c>
      <c r="D141" s="3">
        <v>1.5</v>
      </c>
      <c r="E141" s="3" t="s">
        <v>19</v>
      </c>
      <c r="F141" s="3" t="s">
        <v>19</v>
      </c>
      <c r="G141" s="3" t="s">
        <v>19</v>
      </c>
      <c r="H141" s="3" t="s">
        <v>99</v>
      </c>
      <c r="I141" s="3"/>
      <c r="J141" s="3" t="s">
        <v>91</v>
      </c>
      <c r="K141" s="3" t="s">
        <v>253</v>
      </c>
      <c r="L141" s="3" t="s">
        <v>24</v>
      </c>
      <c r="M141" s="3">
        <v>79</v>
      </c>
      <c r="N141" s="6"/>
      <c r="O141" s="3">
        <v>47</v>
      </c>
      <c r="P141" s="3">
        <v>47</v>
      </c>
      <c r="Q141" s="3">
        <v>0</v>
      </c>
      <c r="R141" s="3">
        <v>46</v>
      </c>
      <c r="S141" s="3">
        <v>0</v>
      </c>
      <c r="T141" s="3">
        <v>1</v>
      </c>
      <c r="U141" s="3">
        <v>0</v>
      </c>
      <c r="V141" s="3">
        <f t="shared" si="32"/>
        <v>47</v>
      </c>
      <c r="W141" s="3">
        <v>0</v>
      </c>
      <c r="X141" s="3">
        <v>46</v>
      </c>
      <c r="Y141" s="3">
        <v>0</v>
      </c>
      <c r="Z141" s="3">
        <v>1</v>
      </c>
      <c r="AA141" s="3">
        <v>0</v>
      </c>
      <c r="AB141" s="3">
        <f t="shared" si="33"/>
        <v>47</v>
      </c>
      <c r="AC141" s="6">
        <f t="shared" si="26"/>
        <v>0</v>
      </c>
      <c r="AD141" s="6">
        <f t="shared" si="27"/>
        <v>0</v>
      </c>
      <c r="AE141" s="6">
        <f t="shared" si="28"/>
        <v>0</v>
      </c>
      <c r="AF141" s="6">
        <f t="shared" si="29"/>
        <v>0</v>
      </c>
      <c r="AG141" s="6">
        <f t="shared" si="30"/>
        <v>0</v>
      </c>
      <c r="AH141" s="6">
        <f t="shared" si="34"/>
        <v>0</v>
      </c>
      <c r="AI141" s="3"/>
      <c r="AJ141" s="3" t="e">
        <f>_xlfn.XLOOKUP(K141,工作表1!A:A,工作表1!C:C)</f>
        <v>#N/A</v>
      </c>
      <c r="AK141" s="3"/>
      <c r="AL141" s="6">
        <f t="shared" si="35"/>
        <v>0</v>
      </c>
      <c r="AM141" s="6">
        <f t="shared" si="36"/>
        <v>46</v>
      </c>
      <c r="AN141" s="6">
        <f t="shared" si="37"/>
        <v>0</v>
      </c>
      <c r="AO141" s="6">
        <f t="shared" si="38"/>
        <v>1</v>
      </c>
      <c r="AP141" s="6">
        <f t="shared" si="39"/>
        <v>0</v>
      </c>
      <c r="AQ141" s="6">
        <f t="shared" si="40"/>
        <v>47</v>
      </c>
      <c r="AR141" s="6"/>
      <c r="AS141" s="6"/>
      <c r="AT141" s="6"/>
      <c r="AU141" s="6"/>
      <c r="AV141" s="6"/>
      <c r="AW141" s="21">
        <v>46</v>
      </c>
      <c r="AX141" s="6"/>
      <c r="AY141" s="6"/>
      <c r="AZ141" s="6"/>
      <c r="BA141" s="6"/>
      <c r="BB141" s="6"/>
      <c r="BC141" s="6"/>
      <c r="BD141" s="6"/>
      <c r="BE141" s="6"/>
      <c r="BF141" s="21">
        <v>1</v>
      </c>
      <c r="BG141" s="6"/>
      <c r="BH141" s="6"/>
      <c r="BI141" s="6"/>
      <c r="BJ141" s="6"/>
      <c r="BK141" s="6"/>
      <c r="BL141" s="6"/>
      <c r="BM141" s="6"/>
      <c r="BN141" s="6"/>
      <c r="BO141" s="6"/>
      <c r="BP141" s="3">
        <v>47</v>
      </c>
      <c r="BQ141" s="6">
        <f t="shared" si="31"/>
        <v>47</v>
      </c>
      <c r="BR141">
        <v>47</v>
      </c>
    </row>
    <row r="142" spans="1:70" x14ac:dyDescent="0.3">
      <c r="A142" s="3" t="s">
        <v>17</v>
      </c>
      <c r="B142" s="3">
        <v>351</v>
      </c>
      <c r="C142" s="3" t="s">
        <v>252</v>
      </c>
      <c r="D142" s="3">
        <v>1</v>
      </c>
      <c r="E142" s="3" t="s">
        <v>19</v>
      </c>
      <c r="F142" s="3" t="s">
        <v>19</v>
      </c>
      <c r="G142" s="3" t="s">
        <v>19</v>
      </c>
      <c r="H142" s="3" t="s">
        <v>101</v>
      </c>
      <c r="I142" s="3"/>
      <c r="J142" s="3" t="s">
        <v>91</v>
      </c>
      <c r="K142" s="3" t="s">
        <v>254</v>
      </c>
      <c r="L142" s="3" t="s">
        <v>24</v>
      </c>
      <c r="M142" s="3">
        <v>137</v>
      </c>
      <c r="N142" s="6"/>
      <c r="O142" s="3">
        <v>76</v>
      </c>
      <c r="P142" s="3">
        <v>75</v>
      </c>
      <c r="Q142" s="3">
        <v>0</v>
      </c>
      <c r="R142" s="3">
        <v>46</v>
      </c>
      <c r="S142" s="3">
        <v>18</v>
      </c>
      <c r="T142" s="3">
        <v>11</v>
      </c>
      <c r="U142" s="3">
        <v>0</v>
      </c>
      <c r="V142" s="3">
        <f t="shared" si="32"/>
        <v>75</v>
      </c>
      <c r="W142" s="3">
        <v>0</v>
      </c>
      <c r="X142" s="3">
        <v>46</v>
      </c>
      <c r="Y142" s="3">
        <v>18</v>
      </c>
      <c r="Z142" s="3">
        <v>11</v>
      </c>
      <c r="AA142" s="3">
        <v>0</v>
      </c>
      <c r="AB142" s="3">
        <f t="shared" si="33"/>
        <v>75</v>
      </c>
      <c r="AC142" s="6">
        <f t="shared" si="26"/>
        <v>0</v>
      </c>
      <c r="AD142" s="6">
        <f t="shared" si="27"/>
        <v>30</v>
      </c>
      <c r="AE142" s="6">
        <f t="shared" si="28"/>
        <v>-18</v>
      </c>
      <c r="AF142" s="6">
        <f t="shared" si="29"/>
        <v>-11</v>
      </c>
      <c r="AG142" s="6">
        <f t="shared" si="30"/>
        <v>0</v>
      </c>
      <c r="AH142" s="6">
        <f t="shared" si="34"/>
        <v>1</v>
      </c>
      <c r="AI142" s="3"/>
      <c r="AJ142" s="3" t="e">
        <f>_xlfn.XLOOKUP(K142,工作表1!A:A,工作表1!C:C)</f>
        <v>#N/A</v>
      </c>
      <c r="AK142" s="3"/>
      <c r="AL142" s="6">
        <f t="shared" si="35"/>
        <v>0</v>
      </c>
      <c r="AM142" s="6">
        <f t="shared" si="36"/>
        <v>76</v>
      </c>
      <c r="AN142" s="6">
        <f t="shared" si="37"/>
        <v>0</v>
      </c>
      <c r="AO142" s="6">
        <f t="shared" si="38"/>
        <v>0</v>
      </c>
      <c r="AP142" s="6">
        <f t="shared" si="39"/>
        <v>0</v>
      </c>
      <c r="AQ142" s="6">
        <f t="shared" si="40"/>
        <v>76</v>
      </c>
      <c r="AR142" s="6"/>
      <c r="AS142" s="6"/>
      <c r="AT142" s="6"/>
      <c r="AU142" s="6"/>
      <c r="AV142" s="6"/>
      <c r="AW142" s="6">
        <v>76</v>
      </c>
      <c r="AX142" s="6"/>
      <c r="AY142" s="6"/>
      <c r="AZ142" s="6"/>
      <c r="BA142" s="6"/>
      <c r="BB142" s="6"/>
      <c r="BC142" s="6"/>
      <c r="BD142" s="6"/>
      <c r="BE142" s="6"/>
      <c r="BF142" s="6"/>
      <c r="BG142" s="6"/>
      <c r="BH142" s="6"/>
      <c r="BI142" s="6"/>
      <c r="BJ142" s="6"/>
      <c r="BK142" s="6"/>
      <c r="BL142" s="6"/>
      <c r="BM142" s="6"/>
      <c r="BN142" s="6"/>
      <c r="BO142" s="6"/>
      <c r="BP142" s="3">
        <v>75</v>
      </c>
      <c r="BQ142" s="6">
        <f t="shared" si="31"/>
        <v>76</v>
      </c>
      <c r="BR142">
        <v>76</v>
      </c>
    </row>
    <row r="143" spans="1:70" x14ac:dyDescent="0.3">
      <c r="A143" s="3" t="s">
        <v>17</v>
      </c>
      <c r="B143" s="3">
        <v>351</v>
      </c>
      <c r="C143" s="3" t="s">
        <v>252</v>
      </c>
      <c r="D143" s="3">
        <v>0.75</v>
      </c>
      <c r="E143" s="3" t="s">
        <v>19</v>
      </c>
      <c r="F143" s="3" t="s">
        <v>19</v>
      </c>
      <c r="G143" s="3" t="s">
        <v>19</v>
      </c>
      <c r="H143" s="3" t="s">
        <v>103</v>
      </c>
      <c r="I143" s="3"/>
      <c r="J143" s="3" t="s">
        <v>91</v>
      </c>
      <c r="K143" s="3" t="s">
        <v>255</v>
      </c>
      <c r="L143" s="3" t="s">
        <v>24</v>
      </c>
      <c r="M143" s="3">
        <v>45</v>
      </c>
      <c r="N143" s="6"/>
      <c r="O143" s="3">
        <v>18</v>
      </c>
      <c r="P143" s="3">
        <v>18</v>
      </c>
      <c r="Q143" s="3">
        <v>0</v>
      </c>
      <c r="R143" s="3">
        <v>9</v>
      </c>
      <c r="S143" s="3">
        <v>4</v>
      </c>
      <c r="T143" s="3">
        <v>5</v>
      </c>
      <c r="U143" s="3">
        <v>0</v>
      </c>
      <c r="V143" s="3">
        <f t="shared" si="32"/>
        <v>18</v>
      </c>
      <c r="W143" s="3">
        <v>0</v>
      </c>
      <c r="X143" s="3">
        <v>9</v>
      </c>
      <c r="Y143" s="3">
        <v>4</v>
      </c>
      <c r="Z143" s="3">
        <v>5</v>
      </c>
      <c r="AA143" s="3">
        <v>0</v>
      </c>
      <c r="AB143" s="3">
        <f t="shared" si="33"/>
        <v>18</v>
      </c>
      <c r="AC143" s="6">
        <f t="shared" si="26"/>
        <v>0</v>
      </c>
      <c r="AD143" s="6">
        <f t="shared" si="27"/>
        <v>0</v>
      </c>
      <c r="AE143" s="6">
        <f t="shared" si="28"/>
        <v>0</v>
      </c>
      <c r="AF143" s="6">
        <f t="shared" si="29"/>
        <v>0</v>
      </c>
      <c r="AG143" s="6">
        <f t="shared" si="30"/>
        <v>0</v>
      </c>
      <c r="AH143" s="6">
        <f t="shared" si="34"/>
        <v>0</v>
      </c>
      <c r="AI143" s="3"/>
      <c r="AJ143" s="3" t="e">
        <f>_xlfn.XLOOKUP(K143,工作表1!A:A,工作表1!C:C)</f>
        <v>#N/A</v>
      </c>
      <c r="AK143" s="3"/>
      <c r="AL143" s="6">
        <f t="shared" si="35"/>
        <v>0</v>
      </c>
      <c r="AM143" s="6">
        <f t="shared" si="36"/>
        <v>9</v>
      </c>
      <c r="AN143" s="6">
        <f t="shared" si="37"/>
        <v>4</v>
      </c>
      <c r="AO143" s="6">
        <f t="shared" si="38"/>
        <v>5</v>
      </c>
      <c r="AP143" s="6">
        <f t="shared" si="39"/>
        <v>0</v>
      </c>
      <c r="AQ143" s="6">
        <f t="shared" si="40"/>
        <v>18</v>
      </c>
      <c r="AR143" s="6"/>
      <c r="AS143" s="6"/>
      <c r="AT143" s="6"/>
      <c r="AU143" s="6"/>
      <c r="AV143" s="6"/>
      <c r="AW143" s="21">
        <v>9</v>
      </c>
      <c r="AX143" s="6"/>
      <c r="AY143" s="6"/>
      <c r="AZ143" s="6"/>
      <c r="BA143" s="21">
        <v>4</v>
      </c>
      <c r="BB143" s="6"/>
      <c r="BC143" s="6"/>
      <c r="BD143" s="6"/>
      <c r="BE143" s="6"/>
      <c r="BF143" s="21">
        <v>5</v>
      </c>
      <c r="BG143" s="6"/>
      <c r="BH143" s="6"/>
      <c r="BI143" s="6"/>
      <c r="BJ143" s="6"/>
      <c r="BK143" s="6"/>
      <c r="BL143" s="6"/>
      <c r="BM143" s="6"/>
      <c r="BN143" s="6"/>
      <c r="BO143" s="6"/>
      <c r="BP143" s="3">
        <v>18</v>
      </c>
      <c r="BQ143" s="6">
        <f t="shared" si="31"/>
        <v>18</v>
      </c>
      <c r="BR143" s="8">
        <v>18</v>
      </c>
    </row>
    <row r="144" spans="1:70" x14ac:dyDescent="0.3">
      <c r="A144" s="3" t="s">
        <v>17</v>
      </c>
      <c r="B144" s="3">
        <v>351</v>
      </c>
      <c r="C144" s="3" t="s">
        <v>252</v>
      </c>
      <c r="D144" s="3">
        <v>0.5</v>
      </c>
      <c r="E144" s="3" t="s">
        <v>19</v>
      </c>
      <c r="F144" s="3" t="s">
        <v>19</v>
      </c>
      <c r="G144" s="3" t="s">
        <v>19</v>
      </c>
      <c r="H144" s="3" t="s">
        <v>105</v>
      </c>
      <c r="I144" s="3"/>
      <c r="J144" s="3" t="s">
        <v>91</v>
      </c>
      <c r="K144" s="3" t="s">
        <v>256</v>
      </c>
      <c r="L144" s="3" t="s">
        <v>24</v>
      </c>
      <c r="M144" s="3">
        <v>97</v>
      </c>
      <c r="N144" s="6"/>
      <c r="O144" s="3">
        <v>22</v>
      </c>
      <c r="P144" s="3">
        <v>22</v>
      </c>
      <c r="Q144" s="3">
        <v>0</v>
      </c>
      <c r="R144" s="3">
        <v>0</v>
      </c>
      <c r="S144" s="3">
        <v>22</v>
      </c>
      <c r="T144" s="3">
        <v>0</v>
      </c>
      <c r="U144" s="3">
        <v>0</v>
      </c>
      <c r="V144" s="3">
        <f t="shared" si="32"/>
        <v>22</v>
      </c>
      <c r="W144" s="3">
        <v>0</v>
      </c>
      <c r="X144" s="3">
        <v>0</v>
      </c>
      <c r="Y144" s="3">
        <v>22</v>
      </c>
      <c r="Z144" s="3">
        <v>0</v>
      </c>
      <c r="AA144" s="3">
        <v>0</v>
      </c>
      <c r="AB144" s="3">
        <f t="shared" si="33"/>
        <v>22</v>
      </c>
      <c r="AC144" s="6">
        <f t="shared" si="26"/>
        <v>0</v>
      </c>
      <c r="AD144" s="6">
        <f t="shared" si="27"/>
        <v>0</v>
      </c>
      <c r="AE144" s="6">
        <f t="shared" si="28"/>
        <v>0</v>
      </c>
      <c r="AF144" s="6">
        <f t="shared" si="29"/>
        <v>0</v>
      </c>
      <c r="AG144" s="6">
        <f t="shared" si="30"/>
        <v>0</v>
      </c>
      <c r="AH144" s="6">
        <f t="shared" si="34"/>
        <v>0</v>
      </c>
      <c r="AI144" s="3"/>
      <c r="AJ144" s="3" t="e">
        <f>_xlfn.XLOOKUP(K144,工作表1!A:A,工作表1!C:C)</f>
        <v>#N/A</v>
      </c>
      <c r="AK144" s="3"/>
      <c r="AL144" s="6">
        <f t="shared" si="35"/>
        <v>0</v>
      </c>
      <c r="AM144" s="6">
        <f t="shared" si="36"/>
        <v>0</v>
      </c>
      <c r="AN144" s="6">
        <f t="shared" si="37"/>
        <v>22</v>
      </c>
      <c r="AO144" s="6">
        <f t="shared" si="38"/>
        <v>0</v>
      </c>
      <c r="AP144" s="6">
        <f t="shared" si="39"/>
        <v>0</v>
      </c>
      <c r="AQ144" s="6">
        <f t="shared" si="40"/>
        <v>22</v>
      </c>
      <c r="AR144" s="6"/>
      <c r="AS144" s="6"/>
      <c r="AT144" s="6"/>
      <c r="AU144" s="6"/>
      <c r="AV144" s="6"/>
      <c r="AW144" s="21"/>
      <c r="AX144" s="6"/>
      <c r="AY144" s="6"/>
      <c r="AZ144" s="6"/>
      <c r="BA144" s="21">
        <v>22</v>
      </c>
      <c r="BB144" s="6"/>
      <c r="BC144" s="6"/>
      <c r="BD144" s="6"/>
      <c r="BE144" s="6"/>
      <c r="BF144" s="6"/>
      <c r="BG144" s="6"/>
      <c r="BH144" s="6"/>
      <c r="BI144" s="6"/>
      <c r="BJ144" s="6"/>
      <c r="BK144" s="6"/>
      <c r="BL144" s="6"/>
      <c r="BM144" s="6"/>
      <c r="BN144" s="6"/>
      <c r="BO144" s="6"/>
      <c r="BP144" s="3">
        <v>22</v>
      </c>
      <c r="BQ144" s="6">
        <f t="shared" si="31"/>
        <v>22</v>
      </c>
      <c r="BR144">
        <v>22</v>
      </c>
    </row>
    <row r="145" spans="1:74" x14ac:dyDescent="0.3">
      <c r="A145" s="3" t="s">
        <v>17</v>
      </c>
      <c r="B145" s="3">
        <v>351</v>
      </c>
      <c r="C145" s="3" t="s">
        <v>257</v>
      </c>
      <c r="D145" s="3">
        <v>1.5</v>
      </c>
      <c r="E145" s="3" t="s">
        <v>19</v>
      </c>
      <c r="F145" s="3" t="s">
        <v>19</v>
      </c>
      <c r="G145" s="3" t="s">
        <v>19</v>
      </c>
      <c r="H145" s="3" t="s">
        <v>99</v>
      </c>
      <c r="I145" s="3"/>
      <c r="J145" s="3" t="s">
        <v>91</v>
      </c>
      <c r="K145" s="3" t="s">
        <v>258</v>
      </c>
      <c r="L145" s="3" t="s">
        <v>24</v>
      </c>
      <c r="M145" s="3">
        <v>9</v>
      </c>
      <c r="N145" s="6"/>
      <c r="O145" s="3">
        <v>9</v>
      </c>
      <c r="P145" s="3">
        <v>9</v>
      </c>
      <c r="Q145" s="3">
        <v>0</v>
      </c>
      <c r="R145" s="3">
        <v>0</v>
      </c>
      <c r="S145" s="3">
        <v>9</v>
      </c>
      <c r="T145" s="3">
        <v>0</v>
      </c>
      <c r="U145" s="3">
        <v>0</v>
      </c>
      <c r="V145" s="3">
        <f t="shared" si="32"/>
        <v>9</v>
      </c>
      <c r="W145" s="3">
        <v>0</v>
      </c>
      <c r="X145" s="3">
        <v>0</v>
      </c>
      <c r="Y145" s="3">
        <v>9</v>
      </c>
      <c r="Z145" s="3">
        <v>0</v>
      </c>
      <c r="AA145" s="3">
        <v>0</v>
      </c>
      <c r="AB145" s="3">
        <f t="shared" si="33"/>
        <v>9</v>
      </c>
      <c r="AC145" s="6">
        <f t="shared" si="26"/>
        <v>0</v>
      </c>
      <c r="AD145" s="6">
        <f t="shared" si="27"/>
        <v>6</v>
      </c>
      <c r="AE145" s="6">
        <f t="shared" si="28"/>
        <v>-9</v>
      </c>
      <c r="AF145" s="6">
        <f t="shared" si="29"/>
        <v>0</v>
      </c>
      <c r="AG145" s="6">
        <f t="shared" si="30"/>
        <v>0</v>
      </c>
      <c r="AH145" s="6">
        <f t="shared" si="34"/>
        <v>-3</v>
      </c>
      <c r="AI145" s="3"/>
      <c r="AJ145" s="3" t="e">
        <f>_xlfn.XLOOKUP(K145,工作表1!A:A,工作表1!C:C)</f>
        <v>#N/A</v>
      </c>
      <c r="AK145" s="3"/>
      <c r="AL145" s="6">
        <f t="shared" si="35"/>
        <v>0</v>
      </c>
      <c r="AM145" s="6">
        <f t="shared" si="36"/>
        <v>6</v>
      </c>
      <c r="AN145" s="6">
        <f t="shared" si="37"/>
        <v>0</v>
      </c>
      <c r="AO145" s="6">
        <f t="shared" si="38"/>
        <v>0</v>
      </c>
      <c r="AP145" s="6">
        <f t="shared" si="39"/>
        <v>0</v>
      </c>
      <c r="AQ145" s="6">
        <f t="shared" si="40"/>
        <v>6</v>
      </c>
      <c r="AR145" s="6"/>
      <c r="AS145" s="6"/>
      <c r="AT145" s="6"/>
      <c r="AU145" s="6"/>
      <c r="AV145" s="6"/>
      <c r="AW145" s="6">
        <v>6</v>
      </c>
      <c r="AX145" s="6"/>
      <c r="AY145" s="6"/>
      <c r="AZ145" s="6"/>
      <c r="BA145" s="6"/>
      <c r="BB145" s="6"/>
      <c r="BC145" s="6"/>
      <c r="BD145" s="6"/>
      <c r="BE145" s="6"/>
      <c r="BF145" s="6"/>
      <c r="BG145" s="6"/>
      <c r="BH145" s="6"/>
      <c r="BI145" s="6"/>
      <c r="BJ145" s="6"/>
      <c r="BK145" s="6"/>
      <c r="BL145" s="6"/>
      <c r="BM145" s="6"/>
      <c r="BN145" s="6"/>
      <c r="BO145" s="6"/>
      <c r="BP145" s="3">
        <v>9</v>
      </c>
      <c r="BQ145" s="6">
        <f t="shared" si="31"/>
        <v>6</v>
      </c>
      <c r="BR145">
        <v>6</v>
      </c>
    </row>
    <row r="146" spans="1:74" x14ac:dyDescent="0.3">
      <c r="A146" s="3" t="s">
        <v>17</v>
      </c>
      <c r="B146" s="3">
        <v>351</v>
      </c>
      <c r="C146" s="3" t="s">
        <v>257</v>
      </c>
      <c r="D146" s="3">
        <v>0.5</v>
      </c>
      <c r="E146" s="3" t="s">
        <v>19</v>
      </c>
      <c r="F146" s="3" t="s">
        <v>19</v>
      </c>
      <c r="G146" s="3" t="s">
        <v>19</v>
      </c>
      <c r="H146" s="3" t="s">
        <v>105</v>
      </c>
      <c r="I146" s="3"/>
      <c r="J146" s="3" t="s">
        <v>91</v>
      </c>
      <c r="K146" s="3" t="s">
        <v>259</v>
      </c>
      <c r="L146" s="3" t="s">
        <v>24</v>
      </c>
      <c r="M146" s="3">
        <v>8</v>
      </c>
      <c r="N146" s="6"/>
      <c r="O146" s="3">
        <v>4</v>
      </c>
      <c r="P146" s="3">
        <v>4</v>
      </c>
      <c r="Q146" s="3">
        <v>0</v>
      </c>
      <c r="R146" s="3">
        <v>0</v>
      </c>
      <c r="S146" s="3">
        <v>4</v>
      </c>
      <c r="T146" s="3">
        <v>0</v>
      </c>
      <c r="U146" s="3">
        <v>0</v>
      </c>
      <c r="V146" s="3">
        <f t="shared" si="32"/>
        <v>4</v>
      </c>
      <c r="W146" s="3">
        <v>0</v>
      </c>
      <c r="X146" s="3">
        <v>0</v>
      </c>
      <c r="Y146" s="3">
        <v>4</v>
      </c>
      <c r="Z146" s="3">
        <v>0</v>
      </c>
      <c r="AA146" s="3">
        <v>0</v>
      </c>
      <c r="AB146" s="3">
        <f t="shared" si="33"/>
        <v>4</v>
      </c>
      <c r="AC146" s="6">
        <f t="shared" si="26"/>
        <v>0</v>
      </c>
      <c r="AD146" s="6">
        <f t="shared" si="27"/>
        <v>0</v>
      </c>
      <c r="AE146" s="6">
        <f t="shared" si="28"/>
        <v>0</v>
      </c>
      <c r="AF146" s="6">
        <f t="shared" si="29"/>
        <v>0</v>
      </c>
      <c r="AG146" s="6">
        <f t="shared" si="30"/>
        <v>0</v>
      </c>
      <c r="AH146" s="6">
        <f t="shared" si="34"/>
        <v>0</v>
      </c>
      <c r="AI146" s="3"/>
      <c r="AJ146" s="3" t="e">
        <f>_xlfn.XLOOKUP(K146,工作表1!A:A,工作表1!C:C)</f>
        <v>#N/A</v>
      </c>
      <c r="AK146" s="3"/>
      <c r="AL146" s="6">
        <f t="shared" si="35"/>
        <v>0</v>
      </c>
      <c r="AM146" s="6">
        <f t="shared" si="36"/>
        <v>0</v>
      </c>
      <c r="AN146" s="6">
        <f t="shared" si="37"/>
        <v>4</v>
      </c>
      <c r="AO146" s="6">
        <f t="shared" si="38"/>
        <v>0</v>
      </c>
      <c r="AP146" s="6">
        <f t="shared" si="39"/>
        <v>0</v>
      </c>
      <c r="AQ146" s="6">
        <f t="shared" si="40"/>
        <v>4</v>
      </c>
      <c r="AR146" s="6"/>
      <c r="AS146" s="6"/>
      <c r="AT146" s="6"/>
      <c r="AU146" s="6"/>
      <c r="AV146" s="6"/>
      <c r="AW146" s="21"/>
      <c r="AX146" s="6"/>
      <c r="AY146" s="6"/>
      <c r="AZ146" s="6"/>
      <c r="BA146" s="21">
        <v>4</v>
      </c>
      <c r="BB146" s="6"/>
      <c r="BC146" s="6"/>
      <c r="BD146" s="6"/>
      <c r="BE146" s="6"/>
      <c r="BF146" s="6"/>
      <c r="BG146" s="6"/>
      <c r="BH146" s="6"/>
      <c r="BI146" s="6"/>
      <c r="BJ146" s="6"/>
      <c r="BK146" s="6"/>
      <c r="BL146" s="6"/>
      <c r="BM146" s="6"/>
      <c r="BN146" s="6"/>
      <c r="BO146" s="6"/>
      <c r="BP146" s="3">
        <v>4</v>
      </c>
      <c r="BQ146" s="6">
        <f t="shared" si="31"/>
        <v>4</v>
      </c>
      <c r="BR146">
        <v>4</v>
      </c>
    </row>
    <row r="147" spans="1:74" x14ac:dyDescent="0.3">
      <c r="A147" s="3" t="s">
        <v>17</v>
      </c>
      <c r="B147" s="3">
        <v>351</v>
      </c>
      <c r="C147" s="3" t="s">
        <v>260</v>
      </c>
      <c r="D147" s="3">
        <v>1</v>
      </c>
      <c r="E147" s="3" t="s">
        <v>19</v>
      </c>
      <c r="F147" s="3" t="s">
        <v>19</v>
      </c>
      <c r="G147" s="3" t="s">
        <v>19</v>
      </c>
      <c r="H147" s="3" t="s">
        <v>101</v>
      </c>
      <c r="I147" s="3"/>
      <c r="J147" s="3" t="s">
        <v>91</v>
      </c>
      <c r="K147" s="3" t="s">
        <v>261</v>
      </c>
      <c r="L147" s="3" t="s">
        <v>24</v>
      </c>
      <c r="M147" s="3">
        <v>5</v>
      </c>
      <c r="N147" s="6"/>
      <c r="O147" s="3">
        <v>1</v>
      </c>
      <c r="P147" s="3">
        <v>1</v>
      </c>
      <c r="Q147" s="3">
        <v>0</v>
      </c>
      <c r="R147" s="3">
        <v>0</v>
      </c>
      <c r="S147" s="3">
        <v>1</v>
      </c>
      <c r="T147" s="3">
        <v>0</v>
      </c>
      <c r="U147" s="3">
        <v>0</v>
      </c>
      <c r="V147" s="3">
        <f t="shared" si="32"/>
        <v>1</v>
      </c>
      <c r="W147" s="3">
        <v>0</v>
      </c>
      <c r="X147" s="3">
        <v>0</v>
      </c>
      <c r="Y147" s="3">
        <v>1</v>
      </c>
      <c r="Z147" s="3">
        <v>0</v>
      </c>
      <c r="AA147" s="3">
        <v>0</v>
      </c>
      <c r="AB147" s="3">
        <f t="shared" si="33"/>
        <v>1</v>
      </c>
      <c r="AC147" s="6">
        <f t="shared" si="26"/>
        <v>0</v>
      </c>
      <c r="AD147" s="6">
        <f t="shared" si="27"/>
        <v>0</v>
      </c>
      <c r="AE147" s="6">
        <f t="shared" si="28"/>
        <v>0</v>
      </c>
      <c r="AF147" s="6">
        <f t="shared" si="29"/>
        <v>0</v>
      </c>
      <c r="AG147" s="6">
        <f t="shared" si="30"/>
        <v>0</v>
      </c>
      <c r="AH147" s="6">
        <f t="shared" si="34"/>
        <v>0</v>
      </c>
      <c r="AI147" s="3"/>
      <c r="AJ147" s="3" t="e">
        <f>_xlfn.XLOOKUP(K147,工作表1!A:A,工作表1!C:C)</f>
        <v>#N/A</v>
      </c>
      <c r="AK147" s="3"/>
      <c r="AL147" s="6">
        <f t="shared" si="35"/>
        <v>0</v>
      </c>
      <c r="AM147" s="6">
        <f t="shared" si="36"/>
        <v>0</v>
      </c>
      <c r="AN147" s="6">
        <f t="shared" si="37"/>
        <v>1</v>
      </c>
      <c r="AO147" s="6">
        <f t="shared" si="38"/>
        <v>0</v>
      </c>
      <c r="AP147" s="6">
        <f t="shared" si="39"/>
        <v>0</v>
      </c>
      <c r="AQ147" s="6">
        <f t="shared" si="40"/>
        <v>1</v>
      </c>
      <c r="AR147" s="6"/>
      <c r="AS147" s="6"/>
      <c r="AT147" s="6"/>
      <c r="AU147" s="6"/>
      <c r="AV147" s="6"/>
      <c r="AW147" s="21"/>
      <c r="AX147" s="6"/>
      <c r="AY147" s="6"/>
      <c r="AZ147" s="6"/>
      <c r="BA147" s="21">
        <v>1</v>
      </c>
      <c r="BB147" s="6"/>
      <c r="BC147" s="6"/>
      <c r="BD147" s="6"/>
      <c r="BE147" s="6"/>
      <c r="BF147" s="6"/>
      <c r="BG147" s="6"/>
      <c r="BH147" s="6"/>
      <c r="BI147" s="6"/>
      <c r="BJ147" s="6"/>
      <c r="BK147" s="6"/>
      <c r="BL147" s="6"/>
      <c r="BM147" s="6"/>
      <c r="BN147" s="6"/>
      <c r="BO147" s="6"/>
      <c r="BP147" s="3">
        <v>1</v>
      </c>
      <c r="BQ147" s="6">
        <f t="shared" si="31"/>
        <v>1</v>
      </c>
      <c r="BR147">
        <v>1</v>
      </c>
    </row>
    <row r="148" spans="1:74" x14ac:dyDescent="0.3">
      <c r="A148" s="3" t="s">
        <v>17</v>
      </c>
      <c r="B148" s="3">
        <v>351</v>
      </c>
      <c r="C148" s="3" t="s">
        <v>262</v>
      </c>
      <c r="D148" s="3">
        <v>1</v>
      </c>
      <c r="E148" s="3" t="s">
        <v>19</v>
      </c>
      <c r="F148" s="3" t="s">
        <v>19</v>
      </c>
      <c r="G148" s="3" t="s">
        <v>19</v>
      </c>
      <c r="H148" s="3" t="s">
        <v>101</v>
      </c>
      <c r="I148" s="3"/>
      <c r="J148" s="3" t="s">
        <v>91</v>
      </c>
      <c r="K148" s="3" t="s">
        <v>263</v>
      </c>
      <c r="L148" s="3" t="s">
        <v>24</v>
      </c>
      <c r="M148" s="3">
        <v>8</v>
      </c>
      <c r="N148" s="6"/>
      <c r="O148" s="3">
        <v>4</v>
      </c>
      <c r="P148" s="3">
        <v>4</v>
      </c>
      <c r="Q148" s="3">
        <v>0</v>
      </c>
      <c r="R148" s="3">
        <v>0</v>
      </c>
      <c r="S148" s="3">
        <v>4</v>
      </c>
      <c r="T148" s="3">
        <v>0</v>
      </c>
      <c r="U148" s="3">
        <v>0</v>
      </c>
      <c r="V148" s="3">
        <f t="shared" si="32"/>
        <v>4</v>
      </c>
      <c r="W148" s="3">
        <v>0</v>
      </c>
      <c r="X148" s="3">
        <v>0</v>
      </c>
      <c r="Y148" s="3">
        <v>4</v>
      </c>
      <c r="Z148" s="3">
        <v>0</v>
      </c>
      <c r="AA148" s="3">
        <v>0</v>
      </c>
      <c r="AB148" s="3">
        <f t="shared" si="33"/>
        <v>4</v>
      </c>
      <c r="AC148" s="6">
        <f t="shared" si="26"/>
        <v>0</v>
      </c>
      <c r="AD148" s="6">
        <f t="shared" si="27"/>
        <v>0</v>
      </c>
      <c r="AE148" s="6">
        <f t="shared" si="28"/>
        <v>0</v>
      </c>
      <c r="AF148" s="6">
        <f t="shared" si="29"/>
        <v>0</v>
      </c>
      <c r="AG148" s="6">
        <f t="shared" si="30"/>
        <v>0</v>
      </c>
      <c r="AH148" s="6">
        <f t="shared" si="34"/>
        <v>0</v>
      </c>
      <c r="AI148" s="3"/>
      <c r="AJ148" s="3" t="e">
        <f>_xlfn.XLOOKUP(K148,工作表1!A:A,工作表1!C:C)</f>
        <v>#N/A</v>
      </c>
      <c r="AK148" s="3"/>
      <c r="AL148" s="6">
        <f t="shared" si="35"/>
        <v>0</v>
      </c>
      <c r="AM148" s="6">
        <f t="shared" si="36"/>
        <v>0</v>
      </c>
      <c r="AN148" s="6">
        <f t="shared" si="37"/>
        <v>4</v>
      </c>
      <c r="AO148" s="6">
        <f t="shared" si="38"/>
        <v>0</v>
      </c>
      <c r="AP148" s="6">
        <f t="shared" si="39"/>
        <v>0</v>
      </c>
      <c r="AQ148" s="6">
        <f t="shared" si="40"/>
        <v>4</v>
      </c>
      <c r="AR148" s="6"/>
      <c r="AS148" s="6"/>
      <c r="AT148" s="6"/>
      <c r="AU148" s="6"/>
      <c r="AV148" s="6"/>
      <c r="AW148" s="21"/>
      <c r="AX148" s="6"/>
      <c r="AY148" s="6"/>
      <c r="AZ148" s="6"/>
      <c r="BA148" s="21">
        <v>4</v>
      </c>
      <c r="BB148" s="6"/>
      <c r="BC148" s="6"/>
      <c r="BD148" s="6"/>
      <c r="BE148" s="6"/>
      <c r="BF148" s="6"/>
      <c r="BG148" s="6"/>
      <c r="BH148" s="6"/>
      <c r="BI148" s="6"/>
      <c r="BJ148" s="6"/>
      <c r="BK148" s="6"/>
      <c r="BL148" s="6"/>
      <c r="BM148" s="6"/>
      <c r="BN148" s="6"/>
      <c r="BO148" s="6"/>
      <c r="BP148" s="3">
        <v>4</v>
      </c>
      <c r="BQ148" s="6">
        <f t="shared" si="31"/>
        <v>4</v>
      </c>
      <c r="BR148">
        <v>4</v>
      </c>
    </row>
    <row r="149" spans="1:74" x14ac:dyDescent="0.3">
      <c r="A149" s="3" t="s">
        <v>17</v>
      </c>
      <c r="B149" s="3">
        <v>362</v>
      </c>
      <c r="C149" s="3" t="s">
        <v>264</v>
      </c>
      <c r="D149" s="3">
        <v>1</v>
      </c>
      <c r="E149" s="3">
        <v>0.5</v>
      </c>
      <c r="F149" s="3" t="s">
        <v>19</v>
      </c>
      <c r="G149" s="3" t="s">
        <v>19</v>
      </c>
      <c r="H149" s="3" t="s">
        <v>265</v>
      </c>
      <c r="I149" s="3"/>
      <c r="J149" s="3" t="s">
        <v>91</v>
      </c>
      <c r="K149" s="3" t="s">
        <v>266</v>
      </c>
      <c r="L149" s="3" t="s">
        <v>24</v>
      </c>
      <c r="M149" s="3">
        <v>2</v>
      </c>
      <c r="N149" s="6"/>
      <c r="O149" s="3">
        <v>2</v>
      </c>
      <c r="P149" s="3">
        <v>2</v>
      </c>
      <c r="Q149" s="3">
        <v>0</v>
      </c>
      <c r="R149" s="3">
        <v>0</v>
      </c>
      <c r="S149" s="3">
        <v>2</v>
      </c>
      <c r="T149" s="3">
        <v>0</v>
      </c>
      <c r="U149" s="3">
        <v>0</v>
      </c>
      <c r="V149" s="3">
        <f t="shared" si="32"/>
        <v>2</v>
      </c>
      <c r="W149" s="3">
        <v>0</v>
      </c>
      <c r="X149" s="3">
        <v>0</v>
      </c>
      <c r="Y149" s="3">
        <v>2</v>
      </c>
      <c r="Z149" s="3">
        <v>0</v>
      </c>
      <c r="AA149" s="3">
        <v>0</v>
      </c>
      <c r="AB149" s="3">
        <f t="shared" si="33"/>
        <v>2</v>
      </c>
      <c r="AC149" s="6">
        <f t="shared" si="26"/>
        <v>0</v>
      </c>
      <c r="AD149" s="6">
        <f t="shared" si="27"/>
        <v>0</v>
      </c>
      <c r="AE149" s="6">
        <f t="shared" si="28"/>
        <v>0</v>
      </c>
      <c r="AF149" s="6">
        <f t="shared" si="29"/>
        <v>0</v>
      </c>
      <c r="AG149" s="6">
        <f t="shared" si="30"/>
        <v>0</v>
      </c>
      <c r="AH149" s="6">
        <f t="shared" si="34"/>
        <v>0</v>
      </c>
      <c r="AI149" s="3"/>
      <c r="AJ149" s="3" t="e">
        <f>_xlfn.XLOOKUP(K149,工作表1!A:A,工作表1!C:C)</f>
        <v>#N/A</v>
      </c>
      <c r="AK149" s="3"/>
      <c r="AL149" s="6">
        <f t="shared" si="35"/>
        <v>0</v>
      </c>
      <c r="AM149" s="6">
        <f t="shared" si="36"/>
        <v>0</v>
      </c>
      <c r="AN149" s="6">
        <f t="shared" si="37"/>
        <v>2</v>
      </c>
      <c r="AO149" s="6">
        <f t="shared" si="38"/>
        <v>0</v>
      </c>
      <c r="AP149" s="6">
        <f t="shared" si="39"/>
        <v>0</v>
      </c>
      <c r="AQ149" s="6">
        <f t="shared" si="40"/>
        <v>2</v>
      </c>
      <c r="AR149" s="6"/>
      <c r="AS149" s="6"/>
      <c r="AT149" s="6"/>
      <c r="AU149" s="6"/>
      <c r="AV149" s="6"/>
      <c r="AW149" s="21"/>
      <c r="AX149" s="6"/>
      <c r="AY149" s="6"/>
      <c r="AZ149" s="6"/>
      <c r="BA149" s="21">
        <v>2</v>
      </c>
      <c r="BB149" s="6"/>
      <c r="BC149" s="6"/>
      <c r="BD149" s="6"/>
      <c r="BE149" s="6"/>
      <c r="BF149" s="6"/>
      <c r="BG149" s="6"/>
      <c r="BH149" s="6"/>
      <c r="BI149" s="6"/>
      <c r="BJ149" s="6"/>
      <c r="BK149" s="6"/>
      <c r="BL149" s="6"/>
      <c r="BM149" s="6"/>
      <c r="BN149" s="6"/>
      <c r="BO149" s="6"/>
      <c r="BP149" s="3">
        <v>2</v>
      </c>
      <c r="BQ149" s="6">
        <f t="shared" si="31"/>
        <v>2</v>
      </c>
      <c r="BR149">
        <v>2</v>
      </c>
    </row>
    <row r="150" spans="1:74" x14ac:dyDescent="0.3">
      <c r="A150" s="3" t="s">
        <v>17</v>
      </c>
      <c r="B150" s="3">
        <v>362</v>
      </c>
      <c r="C150" s="3" t="s">
        <v>264</v>
      </c>
      <c r="D150" s="3">
        <v>1</v>
      </c>
      <c r="E150" s="3">
        <v>0.75</v>
      </c>
      <c r="F150" s="3" t="s">
        <v>19</v>
      </c>
      <c r="G150" s="3" t="s">
        <v>19</v>
      </c>
      <c r="H150" s="3" t="s">
        <v>179</v>
      </c>
      <c r="I150" s="3"/>
      <c r="J150" s="3" t="s">
        <v>91</v>
      </c>
      <c r="K150" s="3" t="s">
        <v>267</v>
      </c>
      <c r="L150" s="3" t="s">
        <v>24</v>
      </c>
      <c r="M150" s="3">
        <v>4</v>
      </c>
      <c r="N150" s="6"/>
      <c r="O150" s="3">
        <v>4</v>
      </c>
      <c r="P150" s="3">
        <v>4</v>
      </c>
      <c r="Q150" s="3">
        <v>0</v>
      </c>
      <c r="R150" s="3">
        <v>0</v>
      </c>
      <c r="S150" s="3">
        <v>4</v>
      </c>
      <c r="T150" s="3">
        <v>0</v>
      </c>
      <c r="U150" s="3">
        <v>0</v>
      </c>
      <c r="V150" s="3">
        <f t="shared" si="32"/>
        <v>4</v>
      </c>
      <c r="W150" s="3">
        <v>0</v>
      </c>
      <c r="X150" s="3">
        <v>0</v>
      </c>
      <c r="Y150" s="3">
        <v>4</v>
      </c>
      <c r="Z150" s="3">
        <v>0</v>
      </c>
      <c r="AA150" s="3">
        <v>0</v>
      </c>
      <c r="AB150" s="3">
        <f t="shared" si="33"/>
        <v>4</v>
      </c>
      <c r="AC150" s="6">
        <f t="shared" si="26"/>
        <v>0</v>
      </c>
      <c r="AD150" s="6">
        <f t="shared" si="27"/>
        <v>0</v>
      </c>
      <c r="AE150" s="6">
        <f t="shared" si="28"/>
        <v>0</v>
      </c>
      <c r="AF150" s="6">
        <f t="shared" si="29"/>
        <v>0</v>
      </c>
      <c r="AG150" s="6">
        <f t="shared" si="30"/>
        <v>0</v>
      </c>
      <c r="AH150" s="6">
        <f t="shared" si="34"/>
        <v>0</v>
      </c>
      <c r="AI150" s="3"/>
      <c r="AJ150" s="3" t="e">
        <f>_xlfn.XLOOKUP(K150,工作表1!A:A,工作表1!C:C)</f>
        <v>#N/A</v>
      </c>
      <c r="AK150" s="3"/>
      <c r="AL150" s="6">
        <f t="shared" si="35"/>
        <v>0</v>
      </c>
      <c r="AM150" s="6">
        <f t="shared" si="36"/>
        <v>0</v>
      </c>
      <c r="AN150" s="6">
        <f t="shared" si="37"/>
        <v>4</v>
      </c>
      <c r="AO150" s="6">
        <f t="shared" si="38"/>
        <v>0</v>
      </c>
      <c r="AP150" s="6">
        <f t="shared" si="39"/>
        <v>0</v>
      </c>
      <c r="AQ150" s="6">
        <f t="shared" si="40"/>
        <v>4</v>
      </c>
      <c r="AR150" s="6"/>
      <c r="AS150" s="6"/>
      <c r="AT150" s="6"/>
      <c r="AU150" s="6"/>
      <c r="AV150" s="6"/>
      <c r="AW150" s="21"/>
      <c r="AX150" s="6"/>
      <c r="AY150" s="6"/>
      <c r="AZ150" s="6"/>
      <c r="BA150" s="21">
        <v>4</v>
      </c>
      <c r="BB150" s="6"/>
      <c r="BC150" s="6"/>
      <c r="BD150" s="6"/>
      <c r="BE150" s="6"/>
      <c r="BF150" s="6"/>
      <c r="BG150" s="6"/>
      <c r="BH150" s="6"/>
      <c r="BI150" s="6"/>
      <c r="BJ150" s="6"/>
      <c r="BK150" s="6"/>
      <c r="BL150" s="6"/>
      <c r="BM150" s="6"/>
      <c r="BN150" s="6"/>
      <c r="BO150" s="6"/>
      <c r="BP150" s="3">
        <v>4</v>
      </c>
      <c r="BQ150" s="6">
        <f t="shared" si="31"/>
        <v>4</v>
      </c>
      <c r="BR150">
        <v>4</v>
      </c>
    </row>
    <row r="151" spans="1:74" x14ac:dyDescent="0.3">
      <c r="A151" s="3" t="s">
        <v>17</v>
      </c>
      <c r="B151" s="3">
        <v>362</v>
      </c>
      <c r="C151" s="3" t="s">
        <v>268</v>
      </c>
      <c r="D151" s="3">
        <v>1</v>
      </c>
      <c r="E151" s="3">
        <v>0.5</v>
      </c>
      <c r="F151" s="3" t="s">
        <v>19</v>
      </c>
      <c r="G151" s="3" t="s">
        <v>19</v>
      </c>
      <c r="H151" s="3" t="s">
        <v>265</v>
      </c>
      <c r="I151" s="3"/>
      <c r="J151" s="3" t="s">
        <v>91</v>
      </c>
      <c r="K151" s="3" t="s">
        <v>269</v>
      </c>
      <c r="L151" s="3" t="s">
        <v>24</v>
      </c>
      <c r="M151" s="3">
        <v>2</v>
      </c>
      <c r="N151" s="6"/>
      <c r="O151" s="3">
        <v>2</v>
      </c>
      <c r="P151" s="3">
        <v>2</v>
      </c>
      <c r="Q151" s="3">
        <v>0</v>
      </c>
      <c r="R151" s="3">
        <v>0</v>
      </c>
      <c r="S151" s="3">
        <v>2</v>
      </c>
      <c r="T151" s="3">
        <v>0</v>
      </c>
      <c r="U151" s="3">
        <v>0</v>
      </c>
      <c r="V151" s="3">
        <f t="shared" si="32"/>
        <v>2</v>
      </c>
      <c r="W151" s="3">
        <v>0</v>
      </c>
      <c r="X151" s="3">
        <v>0</v>
      </c>
      <c r="Y151" s="3">
        <v>2</v>
      </c>
      <c r="Z151" s="3">
        <v>0</v>
      </c>
      <c r="AA151" s="3">
        <v>0</v>
      </c>
      <c r="AB151" s="3">
        <f t="shared" si="33"/>
        <v>2</v>
      </c>
      <c r="AC151" s="6">
        <f t="shared" ref="AC151:AC214" si="41">AL151-W151</f>
        <v>0</v>
      </c>
      <c r="AD151" s="6">
        <f t="shared" ref="AD151:AD214" si="42">AM151-X151</f>
        <v>0</v>
      </c>
      <c r="AE151" s="6">
        <f t="shared" ref="AE151:AE214" si="43">AN151-Y151</f>
        <v>-2</v>
      </c>
      <c r="AF151" s="6">
        <f t="shared" ref="AF151:AF214" si="44">AO151-Z151</f>
        <v>0</v>
      </c>
      <c r="AG151" s="6">
        <f t="shared" ref="AG151:AG214" si="45">AP151-AA151</f>
        <v>0</v>
      </c>
      <c r="AH151" s="6">
        <f t="shared" si="34"/>
        <v>-2</v>
      </c>
      <c r="AI151" s="3"/>
      <c r="AJ151" s="3" t="e">
        <f>_xlfn.XLOOKUP(K151,工作表1!A:A,工作表1!C:C)</f>
        <v>#N/A</v>
      </c>
      <c r="AK151" s="3"/>
      <c r="AL151" s="6">
        <f t="shared" si="35"/>
        <v>0</v>
      </c>
      <c r="AM151" s="6">
        <f t="shared" si="36"/>
        <v>0</v>
      </c>
      <c r="AN151" s="6">
        <f t="shared" si="37"/>
        <v>0</v>
      </c>
      <c r="AO151" s="6">
        <f t="shared" si="38"/>
        <v>0</v>
      </c>
      <c r="AP151" s="6">
        <f t="shared" si="39"/>
        <v>0</v>
      </c>
      <c r="AQ151" s="6">
        <f t="shared" si="40"/>
        <v>0</v>
      </c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  <c r="BC151" s="6"/>
      <c r="BD151" s="6"/>
      <c r="BE151" s="6"/>
      <c r="BF151" s="6"/>
      <c r="BG151" s="6"/>
      <c r="BH151" s="6"/>
      <c r="BI151" s="6"/>
      <c r="BJ151" s="6"/>
      <c r="BK151" s="6"/>
      <c r="BL151" s="6"/>
      <c r="BM151" s="6"/>
      <c r="BN151" s="6"/>
      <c r="BO151" s="6"/>
      <c r="BP151" s="3">
        <v>2</v>
      </c>
      <c r="BQ151" s="6">
        <f t="shared" si="31"/>
        <v>0</v>
      </c>
    </row>
    <row r="152" spans="1:74" x14ac:dyDescent="0.3">
      <c r="A152" s="3" t="s">
        <v>17</v>
      </c>
      <c r="B152" s="3">
        <v>362</v>
      </c>
      <c r="C152" s="3" t="s">
        <v>270</v>
      </c>
      <c r="D152" s="3">
        <v>1</v>
      </c>
      <c r="E152" s="3">
        <v>0.75</v>
      </c>
      <c r="F152" s="3" t="s">
        <v>19</v>
      </c>
      <c r="G152" s="3" t="s">
        <v>19</v>
      </c>
      <c r="H152" s="3" t="s">
        <v>179</v>
      </c>
      <c r="I152" s="3"/>
      <c r="J152" s="3" t="s">
        <v>91</v>
      </c>
      <c r="K152" s="3" t="s">
        <v>271</v>
      </c>
      <c r="L152" s="3" t="s">
        <v>24</v>
      </c>
      <c r="M152" s="3">
        <v>2</v>
      </c>
      <c r="N152" s="6"/>
      <c r="O152" s="3">
        <v>2</v>
      </c>
      <c r="P152" s="3">
        <v>2</v>
      </c>
      <c r="Q152" s="3">
        <v>0</v>
      </c>
      <c r="R152" s="3">
        <v>0</v>
      </c>
      <c r="S152" s="3">
        <v>2</v>
      </c>
      <c r="T152" s="3">
        <v>0</v>
      </c>
      <c r="U152" s="3">
        <v>0</v>
      </c>
      <c r="V152" s="3">
        <f t="shared" si="32"/>
        <v>2</v>
      </c>
      <c r="W152" s="3">
        <v>0</v>
      </c>
      <c r="X152" s="3">
        <v>0</v>
      </c>
      <c r="Y152" s="3">
        <v>2</v>
      </c>
      <c r="Z152" s="3">
        <v>0</v>
      </c>
      <c r="AA152" s="3">
        <v>0</v>
      </c>
      <c r="AB152" s="3">
        <f t="shared" si="33"/>
        <v>2</v>
      </c>
      <c r="AC152" s="6">
        <f t="shared" si="41"/>
        <v>0</v>
      </c>
      <c r="AD152" s="6">
        <f t="shared" si="42"/>
        <v>0</v>
      </c>
      <c r="AE152" s="6">
        <f t="shared" si="43"/>
        <v>0</v>
      </c>
      <c r="AF152" s="6">
        <f t="shared" si="44"/>
        <v>0</v>
      </c>
      <c r="AG152" s="6">
        <f t="shared" si="45"/>
        <v>0</v>
      </c>
      <c r="AH152" s="6">
        <f t="shared" si="34"/>
        <v>0</v>
      </c>
      <c r="AI152" s="3"/>
      <c r="AJ152" s="3" t="e">
        <f>_xlfn.XLOOKUP(K152,工作表1!A:A,工作表1!C:C)</f>
        <v>#N/A</v>
      </c>
      <c r="AK152" s="3"/>
      <c r="AL152" s="6">
        <f t="shared" si="35"/>
        <v>0</v>
      </c>
      <c r="AM152" s="6">
        <f t="shared" si="36"/>
        <v>0</v>
      </c>
      <c r="AN152" s="6">
        <f t="shared" si="37"/>
        <v>2</v>
      </c>
      <c r="AO152" s="6">
        <f t="shared" si="38"/>
        <v>0</v>
      </c>
      <c r="AP152" s="6">
        <f t="shared" si="39"/>
        <v>0</v>
      </c>
      <c r="AQ152" s="6">
        <f t="shared" si="40"/>
        <v>2</v>
      </c>
      <c r="AR152" s="6"/>
      <c r="AS152" s="6"/>
      <c r="AT152" s="6"/>
      <c r="AU152" s="6"/>
      <c r="AV152" s="6"/>
      <c r="AW152" s="21"/>
      <c r="AX152" s="6"/>
      <c r="AY152" s="6"/>
      <c r="AZ152" s="6"/>
      <c r="BA152" s="21">
        <v>2</v>
      </c>
      <c r="BB152" s="6"/>
      <c r="BC152" s="6"/>
      <c r="BD152" s="6"/>
      <c r="BE152" s="6"/>
      <c r="BF152" s="6"/>
      <c r="BG152" s="6"/>
      <c r="BH152" s="6"/>
      <c r="BI152" s="6"/>
      <c r="BJ152" s="6"/>
      <c r="BK152" s="6"/>
      <c r="BL152" s="6"/>
      <c r="BM152" s="6"/>
      <c r="BN152" s="6"/>
      <c r="BO152" s="6"/>
      <c r="BP152" s="3">
        <v>2</v>
      </c>
      <c r="BQ152" s="6">
        <f t="shared" si="31"/>
        <v>2</v>
      </c>
      <c r="BR152">
        <v>2</v>
      </c>
    </row>
    <row r="153" spans="1:74" x14ac:dyDescent="0.3">
      <c r="A153" s="3" t="s">
        <v>17</v>
      </c>
      <c r="B153" s="3">
        <v>362</v>
      </c>
      <c r="C153" s="3" t="s">
        <v>272</v>
      </c>
      <c r="D153" s="3">
        <v>3</v>
      </c>
      <c r="E153" s="3">
        <v>1.5</v>
      </c>
      <c r="F153" s="3" t="s">
        <v>20</v>
      </c>
      <c r="G153" s="3" t="s">
        <v>25</v>
      </c>
      <c r="H153" s="3" t="s">
        <v>190</v>
      </c>
      <c r="I153" s="3"/>
      <c r="J153" s="3" t="s">
        <v>91</v>
      </c>
      <c r="K153" s="3" t="s">
        <v>273</v>
      </c>
      <c r="L153" s="3" t="s">
        <v>24</v>
      </c>
      <c r="M153" s="3">
        <v>3</v>
      </c>
      <c r="N153" s="6"/>
      <c r="O153" s="3">
        <v>2</v>
      </c>
      <c r="P153" s="3">
        <v>2</v>
      </c>
      <c r="Q153" s="3">
        <v>0</v>
      </c>
      <c r="R153" s="3">
        <v>2</v>
      </c>
      <c r="S153" s="3">
        <v>0</v>
      </c>
      <c r="T153" s="3">
        <v>0</v>
      </c>
      <c r="U153" s="3">
        <v>0</v>
      </c>
      <c r="V153" s="3">
        <f t="shared" si="32"/>
        <v>2</v>
      </c>
      <c r="W153" s="3">
        <v>0</v>
      </c>
      <c r="X153" s="3">
        <v>2</v>
      </c>
      <c r="Y153" s="3">
        <v>0</v>
      </c>
      <c r="Z153" s="3">
        <v>0</v>
      </c>
      <c r="AA153" s="3">
        <v>0</v>
      </c>
      <c r="AB153" s="3">
        <f t="shared" si="33"/>
        <v>2</v>
      </c>
      <c r="AC153" s="6">
        <f t="shared" si="41"/>
        <v>0</v>
      </c>
      <c r="AD153" s="6">
        <f t="shared" si="42"/>
        <v>0</v>
      </c>
      <c r="AE153" s="6">
        <f t="shared" si="43"/>
        <v>0</v>
      </c>
      <c r="AF153" s="6">
        <f t="shared" si="44"/>
        <v>0</v>
      </c>
      <c r="AG153" s="6">
        <f t="shared" si="45"/>
        <v>0</v>
      </c>
      <c r="AH153" s="6">
        <f t="shared" si="34"/>
        <v>0</v>
      </c>
      <c r="AI153" s="3"/>
      <c r="AJ153" s="3" t="e">
        <f>_xlfn.XLOOKUP(K153,工作表1!A:A,工作表1!C:C)</f>
        <v>#N/A</v>
      </c>
      <c r="AK153" s="3"/>
      <c r="AL153" s="6">
        <f t="shared" si="35"/>
        <v>0</v>
      </c>
      <c r="AM153" s="6">
        <f t="shared" si="36"/>
        <v>2</v>
      </c>
      <c r="AN153" s="6">
        <f t="shared" si="37"/>
        <v>0</v>
      </c>
      <c r="AO153" s="6">
        <f t="shared" si="38"/>
        <v>0</v>
      </c>
      <c r="AP153" s="6">
        <f t="shared" si="39"/>
        <v>0</v>
      </c>
      <c r="AQ153" s="6">
        <f t="shared" si="40"/>
        <v>2</v>
      </c>
      <c r="AR153" s="6"/>
      <c r="AS153" s="6"/>
      <c r="AT153" s="6"/>
      <c r="AU153" s="6"/>
      <c r="AV153" s="6"/>
      <c r="AW153" s="6"/>
      <c r="AX153" s="6"/>
      <c r="AY153" s="6">
        <v>2</v>
      </c>
      <c r="AZ153" s="6"/>
      <c r="BA153" s="6"/>
      <c r="BB153" s="6"/>
      <c r="BC153" s="6"/>
      <c r="BD153" s="6"/>
      <c r="BE153" s="6"/>
      <c r="BF153" s="6"/>
      <c r="BG153" s="6"/>
      <c r="BH153" s="6"/>
      <c r="BI153" s="6"/>
      <c r="BJ153" s="6"/>
      <c r="BK153" s="6"/>
      <c r="BL153" s="6"/>
      <c r="BM153" s="6"/>
      <c r="BN153" s="6"/>
      <c r="BO153" s="6"/>
      <c r="BP153" s="3">
        <v>2</v>
      </c>
      <c r="BQ153" s="6">
        <f t="shared" si="31"/>
        <v>2</v>
      </c>
      <c r="BV153">
        <v>2</v>
      </c>
    </row>
    <row r="154" spans="1:74" x14ac:dyDescent="0.3">
      <c r="A154" s="3" t="s">
        <v>17</v>
      </c>
      <c r="B154" s="3">
        <v>362</v>
      </c>
      <c r="C154" s="3" t="s">
        <v>274</v>
      </c>
      <c r="D154" s="3">
        <v>2</v>
      </c>
      <c r="E154" s="3">
        <v>1.5</v>
      </c>
      <c r="F154" s="3" t="s">
        <v>25</v>
      </c>
      <c r="G154" s="3" t="s">
        <v>25</v>
      </c>
      <c r="H154" s="3" t="s">
        <v>192</v>
      </c>
      <c r="I154" s="3"/>
      <c r="J154" s="3" t="s">
        <v>91</v>
      </c>
      <c r="K154" s="3" t="s">
        <v>275</v>
      </c>
      <c r="L154" s="3" t="s">
        <v>24</v>
      </c>
      <c r="M154" s="3">
        <v>2</v>
      </c>
      <c r="N154" s="6"/>
      <c r="O154" s="3">
        <v>2</v>
      </c>
      <c r="P154" s="3">
        <v>2</v>
      </c>
      <c r="Q154" s="3">
        <v>0</v>
      </c>
      <c r="R154" s="3">
        <v>0</v>
      </c>
      <c r="S154" s="3">
        <v>2</v>
      </c>
      <c r="T154" s="3">
        <v>0</v>
      </c>
      <c r="U154" s="3">
        <v>0</v>
      </c>
      <c r="V154" s="3">
        <f t="shared" si="32"/>
        <v>2</v>
      </c>
      <c r="W154" s="3">
        <v>0</v>
      </c>
      <c r="X154" s="3">
        <v>0</v>
      </c>
      <c r="Y154" s="3">
        <v>2</v>
      </c>
      <c r="Z154" s="3">
        <v>0</v>
      </c>
      <c r="AA154" s="3">
        <v>0</v>
      </c>
      <c r="AB154" s="3">
        <f t="shared" si="33"/>
        <v>2</v>
      </c>
      <c r="AC154" s="6">
        <f t="shared" si="41"/>
        <v>0</v>
      </c>
      <c r="AD154" s="6">
        <f t="shared" si="42"/>
        <v>0</v>
      </c>
      <c r="AE154" s="6">
        <f t="shared" si="43"/>
        <v>-2</v>
      </c>
      <c r="AF154" s="6">
        <f t="shared" si="44"/>
        <v>0</v>
      </c>
      <c r="AG154" s="6">
        <f t="shared" si="45"/>
        <v>0</v>
      </c>
      <c r="AH154" s="6">
        <f t="shared" si="34"/>
        <v>-2</v>
      </c>
      <c r="AI154" s="3"/>
      <c r="AJ154" s="3" t="e">
        <f>_xlfn.XLOOKUP(K154,工作表1!A:A,工作表1!C:C)</f>
        <v>#N/A</v>
      </c>
      <c r="AK154" s="3"/>
      <c r="AL154" s="6">
        <f t="shared" si="35"/>
        <v>0</v>
      </c>
      <c r="AM154" s="6">
        <f t="shared" si="36"/>
        <v>0</v>
      </c>
      <c r="AN154" s="6">
        <f t="shared" si="37"/>
        <v>0</v>
      </c>
      <c r="AO154" s="6">
        <f t="shared" si="38"/>
        <v>0</v>
      </c>
      <c r="AP154" s="6">
        <f t="shared" si="39"/>
        <v>0</v>
      </c>
      <c r="AQ154" s="6">
        <f t="shared" si="40"/>
        <v>0</v>
      </c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  <c r="BC154" s="6"/>
      <c r="BD154" s="6"/>
      <c r="BE154" s="6"/>
      <c r="BF154" s="6"/>
      <c r="BG154" s="6"/>
      <c r="BH154" s="6"/>
      <c r="BI154" s="6"/>
      <c r="BJ154" s="6"/>
      <c r="BK154" s="6"/>
      <c r="BL154" s="6"/>
      <c r="BM154" s="6"/>
      <c r="BN154" s="6"/>
      <c r="BO154" s="6"/>
      <c r="BP154" s="3">
        <v>2</v>
      </c>
      <c r="BQ154" s="6">
        <f t="shared" si="31"/>
        <v>0</v>
      </c>
    </row>
    <row r="155" spans="1:74" x14ac:dyDescent="0.3">
      <c r="A155" s="3" t="s">
        <v>17</v>
      </c>
      <c r="B155" s="3">
        <v>362</v>
      </c>
      <c r="C155" s="3" t="s">
        <v>276</v>
      </c>
      <c r="D155" s="3">
        <v>1.5</v>
      </c>
      <c r="E155" s="3">
        <v>0.75</v>
      </c>
      <c r="F155" s="3" t="s">
        <v>25</v>
      </c>
      <c r="G155" s="3" t="s">
        <v>25</v>
      </c>
      <c r="H155" s="3" t="s">
        <v>277</v>
      </c>
      <c r="I155" s="3"/>
      <c r="J155" s="3" t="s">
        <v>91</v>
      </c>
      <c r="K155" s="3" t="s">
        <v>1511</v>
      </c>
      <c r="L155" s="3" t="s">
        <v>24</v>
      </c>
      <c r="M155" s="3">
        <v>6</v>
      </c>
      <c r="N155" s="6"/>
      <c r="O155" s="3">
        <v>6</v>
      </c>
      <c r="P155" s="3">
        <v>6</v>
      </c>
      <c r="Q155" s="3">
        <v>0</v>
      </c>
      <c r="R155" s="3">
        <v>6</v>
      </c>
      <c r="S155" s="3">
        <v>0</v>
      </c>
      <c r="T155" s="3">
        <v>0</v>
      </c>
      <c r="U155" s="3">
        <v>0</v>
      </c>
      <c r="V155" s="3">
        <f t="shared" si="32"/>
        <v>6</v>
      </c>
      <c r="W155" s="3">
        <v>0</v>
      </c>
      <c r="X155" s="3">
        <v>6</v>
      </c>
      <c r="Y155" s="3">
        <v>0</v>
      </c>
      <c r="Z155" s="3">
        <v>0</v>
      </c>
      <c r="AA155" s="3">
        <v>0</v>
      </c>
      <c r="AB155" s="3">
        <f t="shared" si="33"/>
        <v>6</v>
      </c>
      <c r="AC155" s="6">
        <f t="shared" si="41"/>
        <v>0</v>
      </c>
      <c r="AD155" s="6">
        <f t="shared" si="42"/>
        <v>-1</v>
      </c>
      <c r="AE155" s="6">
        <f t="shared" si="43"/>
        <v>0</v>
      </c>
      <c r="AF155" s="6">
        <f t="shared" si="44"/>
        <v>0</v>
      </c>
      <c r="AG155" s="6">
        <f t="shared" si="45"/>
        <v>0</v>
      </c>
      <c r="AH155" s="6">
        <f t="shared" si="34"/>
        <v>-1</v>
      </c>
      <c r="AI155" s="3"/>
      <c r="AJ155" s="3" t="e">
        <f>_xlfn.XLOOKUP(K155,工作表1!A:A,工作表1!C:C)</f>
        <v>#N/A</v>
      </c>
      <c r="AK155" s="3"/>
      <c r="AL155" s="6">
        <f t="shared" si="35"/>
        <v>0</v>
      </c>
      <c r="AM155" s="6">
        <f t="shared" si="36"/>
        <v>5</v>
      </c>
      <c r="AN155" s="6">
        <f t="shared" si="37"/>
        <v>0</v>
      </c>
      <c r="AO155" s="6">
        <f t="shared" si="38"/>
        <v>0</v>
      </c>
      <c r="AP155" s="6">
        <f t="shared" si="39"/>
        <v>0</v>
      </c>
      <c r="AQ155" s="6">
        <f t="shared" si="40"/>
        <v>5</v>
      </c>
      <c r="AR155" s="6"/>
      <c r="AS155" s="6"/>
      <c r="AT155" s="6"/>
      <c r="AU155" s="6"/>
      <c r="AV155" s="6"/>
      <c r="AW155" s="6"/>
      <c r="AX155" s="6"/>
      <c r="AY155" s="6">
        <v>5</v>
      </c>
      <c r="AZ155" s="6"/>
      <c r="BA155" s="6"/>
      <c r="BB155" s="6"/>
      <c r="BC155" s="6"/>
      <c r="BD155" s="6"/>
      <c r="BE155" s="6"/>
      <c r="BF155" s="6"/>
      <c r="BG155" s="6"/>
      <c r="BH155" s="6"/>
      <c r="BI155" s="6"/>
      <c r="BJ155" s="6"/>
      <c r="BK155" s="6"/>
      <c r="BL155" s="6"/>
      <c r="BM155" s="6"/>
      <c r="BN155" s="6"/>
      <c r="BO155" s="6"/>
      <c r="BP155" s="3">
        <v>6</v>
      </c>
      <c r="BQ155" s="6">
        <f t="shared" si="31"/>
        <v>5</v>
      </c>
      <c r="BV155">
        <v>5</v>
      </c>
    </row>
    <row r="156" spans="1:74" x14ac:dyDescent="0.3">
      <c r="A156" s="3" t="s">
        <v>17</v>
      </c>
      <c r="B156" s="3">
        <v>362</v>
      </c>
      <c r="C156" s="3" t="s">
        <v>276</v>
      </c>
      <c r="D156" s="3">
        <v>1</v>
      </c>
      <c r="E156" s="3">
        <v>0.5</v>
      </c>
      <c r="F156" s="3" t="s">
        <v>25</v>
      </c>
      <c r="G156" s="3" t="s">
        <v>25</v>
      </c>
      <c r="H156" s="3" t="s">
        <v>278</v>
      </c>
      <c r="I156" s="3"/>
      <c r="J156" s="3" t="s">
        <v>91</v>
      </c>
      <c r="K156" s="3" t="s">
        <v>279</v>
      </c>
      <c r="L156" s="3" t="s">
        <v>24</v>
      </c>
      <c r="M156" s="3">
        <v>12</v>
      </c>
      <c r="N156" s="6"/>
      <c r="O156" s="3">
        <v>2</v>
      </c>
      <c r="P156" s="3">
        <v>2</v>
      </c>
      <c r="Q156" s="3">
        <v>0</v>
      </c>
      <c r="R156" s="3">
        <v>0</v>
      </c>
      <c r="S156" s="3">
        <v>2</v>
      </c>
      <c r="T156" s="3">
        <v>0</v>
      </c>
      <c r="U156" s="3">
        <v>0</v>
      </c>
      <c r="V156" s="3">
        <f t="shared" si="32"/>
        <v>2</v>
      </c>
      <c r="W156" s="3">
        <v>0</v>
      </c>
      <c r="X156" s="3">
        <v>0</v>
      </c>
      <c r="Y156" s="3">
        <v>2</v>
      </c>
      <c r="Z156" s="3">
        <v>0</v>
      </c>
      <c r="AA156" s="3">
        <v>0</v>
      </c>
      <c r="AB156" s="3">
        <f t="shared" si="33"/>
        <v>2</v>
      </c>
      <c r="AC156" s="6">
        <f t="shared" si="41"/>
        <v>0</v>
      </c>
      <c r="AD156" s="6">
        <f t="shared" si="42"/>
        <v>0</v>
      </c>
      <c r="AE156" s="6">
        <f t="shared" si="43"/>
        <v>0</v>
      </c>
      <c r="AF156" s="6">
        <f t="shared" si="44"/>
        <v>0</v>
      </c>
      <c r="AG156" s="6">
        <f t="shared" si="45"/>
        <v>0</v>
      </c>
      <c r="AH156" s="6">
        <f t="shared" si="34"/>
        <v>0</v>
      </c>
      <c r="AI156" s="3"/>
      <c r="AJ156" s="3" t="e">
        <f>_xlfn.XLOOKUP(K156,工作表1!A:A,工作表1!C:C)</f>
        <v>#N/A</v>
      </c>
      <c r="AK156" s="3"/>
      <c r="AL156" s="6">
        <f t="shared" si="35"/>
        <v>0</v>
      </c>
      <c r="AM156" s="6">
        <f t="shared" si="36"/>
        <v>0</v>
      </c>
      <c r="AN156" s="6">
        <f t="shared" si="37"/>
        <v>2</v>
      </c>
      <c r="AO156" s="6">
        <f t="shared" si="38"/>
        <v>0</v>
      </c>
      <c r="AP156" s="6">
        <f t="shared" si="39"/>
        <v>0</v>
      </c>
      <c r="AQ156" s="6">
        <f t="shared" si="40"/>
        <v>2</v>
      </c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  <c r="BC156" s="6"/>
      <c r="BD156" s="6">
        <v>2</v>
      </c>
      <c r="BE156" s="6"/>
      <c r="BF156" s="6"/>
      <c r="BG156" s="6"/>
      <c r="BH156" s="6"/>
      <c r="BI156" s="6"/>
      <c r="BJ156" s="6"/>
      <c r="BK156" s="6"/>
      <c r="BL156" s="6"/>
      <c r="BM156" s="6"/>
      <c r="BN156" s="6"/>
      <c r="BO156" s="6"/>
      <c r="BP156" s="3">
        <v>2</v>
      </c>
      <c r="BQ156" s="6">
        <f t="shared" si="31"/>
        <v>2</v>
      </c>
      <c r="BV156">
        <v>2</v>
      </c>
    </row>
    <row r="157" spans="1:74" x14ac:dyDescent="0.3">
      <c r="A157" s="3" t="s">
        <v>17</v>
      </c>
      <c r="B157" s="3">
        <v>362</v>
      </c>
      <c r="C157" s="3" t="s">
        <v>276</v>
      </c>
      <c r="D157" s="3">
        <v>1</v>
      </c>
      <c r="E157" s="3">
        <v>0.75</v>
      </c>
      <c r="F157" s="3" t="s">
        <v>25</v>
      </c>
      <c r="G157" s="3" t="s">
        <v>25</v>
      </c>
      <c r="H157" s="3" t="s">
        <v>280</v>
      </c>
      <c r="I157" s="3"/>
      <c r="J157" s="3" t="s">
        <v>91</v>
      </c>
      <c r="K157" s="3" t="s">
        <v>281</v>
      </c>
      <c r="L157" s="3" t="s">
        <v>24</v>
      </c>
      <c r="M157" s="3">
        <v>27</v>
      </c>
      <c r="N157" s="6"/>
      <c r="O157" s="3">
        <v>17</v>
      </c>
      <c r="P157" s="3">
        <v>17</v>
      </c>
      <c r="Q157" s="3">
        <v>0</v>
      </c>
      <c r="R157" s="3">
        <v>9</v>
      </c>
      <c r="S157" s="3">
        <v>8</v>
      </c>
      <c r="T157" s="3">
        <v>0</v>
      </c>
      <c r="U157" s="3">
        <v>0</v>
      </c>
      <c r="V157" s="3">
        <f t="shared" si="32"/>
        <v>17</v>
      </c>
      <c r="W157" s="3">
        <v>0</v>
      </c>
      <c r="X157" s="3">
        <v>9</v>
      </c>
      <c r="Y157" s="3">
        <v>8</v>
      </c>
      <c r="Z157" s="3">
        <v>0</v>
      </c>
      <c r="AA157" s="3">
        <v>0</v>
      </c>
      <c r="AB157" s="3">
        <f t="shared" si="33"/>
        <v>17</v>
      </c>
      <c r="AC157" s="6">
        <f t="shared" si="41"/>
        <v>0</v>
      </c>
      <c r="AD157" s="6">
        <f t="shared" si="42"/>
        <v>-5</v>
      </c>
      <c r="AE157" s="6">
        <f t="shared" si="43"/>
        <v>0</v>
      </c>
      <c r="AF157" s="6">
        <f t="shared" si="44"/>
        <v>0</v>
      </c>
      <c r="AG157" s="6">
        <f t="shared" si="45"/>
        <v>0</v>
      </c>
      <c r="AH157" s="6">
        <f t="shared" si="34"/>
        <v>-5</v>
      </c>
      <c r="AI157" s="3"/>
      <c r="AJ157" s="3" t="e">
        <f>_xlfn.XLOOKUP(K157,工作表1!A:A,工作表1!C:C)</f>
        <v>#N/A</v>
      </c>
      <c r="AK157" s="3"/>
      <c r="AL157" s="6">
        <f t="shared" si="35"/>
        <v>0</v>
      </c>
      <c r="AM157" s="6">
        <f t="shared" si="36"/>
        <v>4</v>
      </c>
      <c r="AN157" s="6">
        <f t="shared" si="37"/>
        <v>8</v>
      </c>
      <c r="AO157" s="6">
        <f t="shared" si="38"/>
        <v>0</v>
      </c>
      <c r="AP157" s="6">
        <f t="shared" si="39"/>
        <v>0</v>
      </c>
      <c r="AQ157" s="6">
        <f t="shared" si="40"/>
        <v>12</v>
      </c>
      <c r="AR157" s="6"/>
      <c r="AS157" s="6"/>
      <c r="AT157" s="6"/>
      <c r="AU157" s="6"/>
      <c r="AV157" s="6"/>
      <c r="AW157" s="6"/>
      <c r="AX157" s="6"/>
      <c r="AY157" s="6">
        <v>4</v>
      </c>
      <c r="AZ157" s="6"/>
      <c r="BA157" s="6"/>
      <c r="BB157" s="6"/>
      <c r="BC157" s="6"/>
      <c r="BD157" s="6">
        <v>8</v>
      </c>
      <c r="BE157" s="6"/>
      <c r="BF157" s="6"/>
      <c r="BG157" s="6"/>
      <c r="BH157" s="6"/>
      <c r="BI157" s="6"/>
      <c r="BJ157" s="6"/>
      <c r="BK157" s="6"/>
      <c r="BL157" s="6"/>
      <c r="BM157" s="6"/>
      <c r="BN157" s="6"/>
      <c r="BO157" s="6"/>
      <c r="BP157" s="3">
        <v>17</v>
      </c>
      <c r="BQ157" s="6">
        <f t="shared" si="31"/>
        <v>12</v>
      </c>
      <c r="BV157">
        <v>12</v>
      </c>
    </row>
    <row r="158" spans="1:74" x14ac:dyDescent="0.3">
      <c r="A158" s="3" t="s">
        <v>17</v>
      </c>
      <c r="B158" s="3">
        <v>362</v>
      </c>
      <c r="C158" s="3" t="s">
        <v>282</v>
      </c>
      <c r="D158" s="3">
        <v>1.5</v>
      </c>
      <c r="E158" s="3">
        <v>1</v>
      </c>
      <c r="F158" s="3" t="s">
        <v>25</v>
      </c>
      <c r="G158" s="3" t="s">
        <v>25</v>
      </c>
      <c r="H158" s="3" t="s">
        <v>283</v>
      </c>
      <c r="I158" s="3"/>
      <c r="J158" s="3" t="s">
        <v>91</v>
      </c>
      <c r="K158" s="3" t="s">
        <v>284</v>
      </c>
      <c r="L158" s="3" t="s">
        <v>24</v>
      </c>
      <c r="M158" s="3">
        <v>2</v>
      </c>
      <c r="N158" s="6"/>
      <c r="O158" s="3">
        <v>2</v>
      </c>
      <c r="P158" s="3">
        <v>2</v>
      </c>
      <c r="Q158" s="3">
        <v>0</v>
      </c>
      <c r="R158" s="3">
        <v>0</v>
      </c>
      <c r="S158" s="3">
        <v>2</v>
      </c>
      <c r="T158" s="3">
        <v>0</v>
      </c>
      <c r="U158" s="3">
        <v>0</v>
      </c>
      <c r="V158" s="3">
        <f t="shared" si="32"/>
        <v>2</v>
      </c>
      <c r="W158" s="3">
        <v>0</v>
      </c>
      <c r="X158" s="3">
        <v>0</v>
      </c>
      <c r="Y158" s="3">
        <v>2</v>
      </c>
      <c r="Z158" s="3">
        <v>0</v>
      </c>
      <c r="AA158" s="3">
        <v>0</v>
      </c>
      <c r="AB158" s="3">
        <f t="shared" si="33"/>
        <v>2</v>
      </c>
      <c r="AC158" s="6">
        <f t="shared" si="41"/>
        <v>0</v>
      </c>
      <c r="AD158" s="6">
        <f t="shared" si="42"/>
        <v>0</v>
      </c>
      <c r="AE158" s="6">
        <f t="shared" si="43"/>
        <v>0</v>
      </c>
      <c r="AF158" s="6">
        <f t="shared" si="44"/>
        <v>0</v>
      </c>
      <c r="AG158" s="6">
        <f t="shared" si="45"/>
        <v>0</v>
      </c>
      <c r="AH158" s="6">
        <f t="shared" si="34"/>
        <v>0</v>
      </c>
      <c r="AI158" s="3"/>
      <c r="AJ158" s="3" t="e">
        <f>_xlfn.XLOOKUP(K158,工作表1!A:A,工作表1!C:C)</f>
        <v>#N/A</v>
      </c>
      <c r="AK158" s="3"/>
      <c r="AL158" s="6">
        <f t="shared" si="35"/>
        <v>0</v>
      </c>
      <c r="AM158" s="6">
        <f t="shared" si="36"/>
        <v>0</v>
      </c>
      <c r="AN158" s="6">
        <f t="shared" si="37"/>
        <v>2</v>
      </c>
      <c r="AO158" s="6">
        <f t="shared" si="38"/>
        <v>0</v>
      </c>
      <c r="AP158" s="6">
        <f t="shared" si="39"/>
        <v>0</v>
      </c>
      <c r="AQ158" s="6">
        <f t="shared" si="40"/>
        <v>2</v>
      </c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  <c r="BC158" s="6"/>
      <c r="BD158" s="6">
        <v>2</v>
      </c>
      <c r="BE158" s="6"/>
      <c r="BF158" s="6"/>
      <c r="BG158" s="6"/>
      <c r="BH158" s="6"/>
      <c r="BI158" s="6"/>
      <c r="BJ158" s="6"/>
      <c r="BK158" s="6"/>
      <c r="BL158" s="6"/>
      <c r="BM158" s="6"/>
      <c r="BN158" s="6"/>
      <c r="BO158" s="6"/>
      <c r="BP158" s="3">
        <v>2</v>
      </c>
      <c r="BQ158" s="6">
        <f t="shared" si="31"/>
        <v>2</v>
      </c>
      <c r="BV158">
        <v>2</v>
      </c>
    </row>
    <row r="159" spans="1:74" x14ac:dyDescent="0.3">
      <c r="A159" s="3" t="s">
        <v>17</v>
      </c>
      <c r="B159" s="3">
        <v>362</v>
      </c>
      <c r="C159" s="3" t="s">
        <v>285</v>
      </c>
      <c r="D159" s="3">
        <v>3</v>
      </c>
      <c r="E159" s="3">
        <v>1</v>
      </c>
      <c r="F159" s="3" t="s">
        <v>20</v>
      </c>
      <c r="G159" s="3" t="s">
        <v>25</v>
      </c>
      <c r="H159" s="3" t="s">
        <v>286</v>
      </c>
      <c r="I159" s="3"/>
      <c r="J159" s="3" t="s">
        <v>91</v>
      </c>
      <c r="K159" s="3" t="s">
        <v>287</v>
      </c>
      <c r="L159" s="3" t="s">
        <v>24</v>
      </c>
      <c r="M159" s="3">
        <v>1</v>
      </c>
      <c r="N159" s="6"/>
      <c r="O159" s="3">
        <v>1</v>
      </c>
      <c r="P159" s="3">
        <v>1</v>
      </c>
      <c r="Q159" s="3">
        <v>0</v>
      </c>
      <c r="R159" s="3">
        <v>0</v>
      </c>
      <c r="S159" s="3">
        <v>1</v>
      </c>
      <c r="T159" s="3">
        <v>0</v>
      </c>
      <c r="U159" s="3">
        <v>0</v>
      </c>
      <c r="V159" s="3">
        <f t="shared" si="32"/>
        <v>1</v>
      </c>
      <c r="W159" s="3">
        <v>0</v>
      </c>
      <c r="X159" s="3">
        <v>0</v>
      </c>
      <c r="Y159" s="3">
        <v>1</v>
      </c>
      <c r="Z159" s="3">
        <v>0</v>
      </c>
      <c r="AA159" s="3">
        <v>0</v>
      </c>
      <c r="AB159" s="3">
        <f t="shared" si="33"/>
        <v>1</v>
      </c>
      <c r="AC159" s="6">
        <f t="shared" si="41"/>
        <v>0</v>
      </c>
      <c r="AD159" s="6">
        <f t="shared" si="42"/>
        <v>0</v>
      </c>
      <c r="AE159" s="6">
        <f t="shared" si="43"/>
        <v>0</v>
      </c>
      <c r="AF159" s="6">
        <f t="shared" si="44"/>
        <v>0</v>
      </c>
      <c r="AG159" s="6">
        <f t="shared" si="45"/>
        <v>0</v>
      </c>
      <c r="AH159" s="6">
        <f t="shared" si="34"/>
        <v>0</v>
      </c>
      <c r="AI159" s="3"/>
      <c r="AJ159" s="3" t="e">
        <f>_xlfn.XLOOKUP(K159,工作表1!A:A,工作表1!C:C)</f>
        <v>#N/A</v>
      </c>
      <c r="AK159" s="3"/>
      <c r="AL159" s="6">
        <f t="shared" si="35"/>
        <v>0</v>
      </c>
      <c r="AM159" s="6">
        <f t="shared" si="36"/>
        <v>0</v>
      </c>
      <c r="AN159" s="6">
        <f t="shared" si="37"/>
        <v>1</v>
      </c>
      <c r="AO159" s="6">
        <f t="shared" si="38"/>
        <v>0</v>
      </c>
      <c r="AP159" s="6">
        <f t="shared" si="39"/>
        <v>0</v>
      </c>
      <c r="AQ159" s="6">
        <f t="shared" si="40"/>
        <v>1</v>
      </c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  <c r="BC159" s="6">
        <v>1</v>
      </c>
      <c r="BD159" s="6"/>
      <c r="BE159" s="6"/>
      <c r="BF159" s="6"/>
      <c r="BG159" s="6"/>
      <c r="BH159" s="6"/>
      <c r="BI159" s="6"/>
      <c r="BJ159" s="6"/>
      <c r="BK159" s="6"/>
      <c r="BL159" s="6"/>
      <c r="BM159" s="6"/>
      <c r="BN159" s="6"/>
      <c r="BO159" s="6"/>
      <c r="BP159" s="3">
        <v>1</v>
      </c>
      <c r="BQ159" s="6">
        <f t="shared" si="31"/>
        <v>1</v>
      </c>
      <c r="BU159">
        <v>1</v>
      </c>
    </row>
    <row r="160" spans="1:74" x14ac:dyDescent="0.3">
      <c r="A160" s="3" t="s">
        <v>17</v>
      </c>
      <c r="B160" s="3">
        <v>362</v>
      </c>
      <c r="C160" s="3" t="s">
        <v>285</v>
      </c>
      <c r="D160" s="3">
        <v>2</v>
      </c>
      <c r="E160" s="3">
        <v>0.75</v>
      </c>
      <c r="F160" s="3" t="s">
        <v>25</v>
      </c>
      <c r="G160" s="3" t="s">
        <v>25</v>
      </c>
      <c r="H160" s="3" t="s">
        <v>288</v>
      </c>
      <c r="I160" s="3"/>
      <c r="J160" s="3" t="s">
        <v>91</v>
      </c>
      <c r="K160" s="3" t="s">
        <v>1513</v>
      </c>
      <c r="L160" s="3" t="s">
        <v>24</v>
      </c>
      <c r="M160" s="3">
        <v>9</v>
      </c>
      <c r="N160" s="6"/>
      <c r="O160" s="3">
        <v>8</v>
      </c>
      <c r="P160" s="3">
        <v>8</v>
      </c>
      <c r="Q160" s="3">
        <v>0</v>
      </c>
      <c r="R160" s="3">
        <v>8</v>
      </c>
      <c r="S160" s="3">
        <v>0</v>
      </c>
      <c r="T160" s="3">
        <v>0</v>
      </c>
      <c r="U160" s="3">
        <v>0</v>
      </c>
      <c r="V160" s="3">
        <f t="shared" si="32"/>
        <v>8</v>
      </c>
      <c r="W160" s="3">
        <v>0</v>
      </c>
      <c r="X160" s="3">
        <v>8</v>
      </c>
      <c r="Y160" s="3">
        <v>0</v>
      </c>
      <c r="Z160" s="3">
        <v>0</v>
      </c>
      <c r="AA160" s="3">
        <v>0</v>
      </c>
      <c r="AB160" s="3">
        <f t="shared" si="33"/>
        <v>8</v>
      </c>
      <c r="AC160" s="6">
        <f t="shared" si="41"/>
        <v>0</v>
      </c>
      <c r="AD160" s="6">
        <f t="shared" si="42"/>
        <v>-3</v>
      </c>
      <c r="AE160" s="6">
        <f t="shared" si="43"/>
        <v>0</v>
      </c>
      <c r="AF160" s="6">
        <f t="shared" si="44"/>
        <v>0</v>
      </c>
      <c r="AG160" s="6">
        <f t="shared" si="45"/>
        <v>0</v>
      </c>
      <c r="AH160" s="6">
        <f t="shared" si="34"/>
        <v>-3</v>
      </c>
      <c r="AI160" s="3"/>
      <c r="AJ160" s="3" t="e">
        <f>_xlfn.XLOOKUP(K160,工作表1!A:A,工作表1!C:C)</f>
        <v>#N/A</v>
      </c>
      <c r="AK160" s="3"/>
      <c r="AL160" s="6">
        <f t="shared" si="35"/>
        <v>0</v>
      </c>
      <c r="AM160" s="6">
        <f t="shared" si="36"/>
        <v>5</v>
      </c>
      <c r="AN160" s="6">
        <f t="shared" si="37"/>
        <v>0</v>
      </c>
      <c r="AO160" s="6">
        <f t="shared" si="38"/>
        <v>0</v>
      </c>
      <c r="AP160" s="6">
        <f t="shared" si="39"/>
        <v>0</v>
      </c>
      <c r="AQ160" s="6">
        <f t="shared" si="40"/>
        <v>5</v>
      </c>
      <c r="AR160" s="6"/>
      <c r="AS160" s="6"/>
      <c r="AT160" s="6"/>
      <c r="AU160" s="6"/>
      <c r="AV160" s="6"/>
      <c r="AW160" s="6"/>
      <c r="AX160" s="6"/>
      <c r="AY160" s="6">
        <v>5</v>
      </c>
      <c r="AZ160" s="6"/>
      <c r="BA160" s="6"/>
      <c r="BB160" s="6"/>
      <c r="BC160" s="6"/>
      <c r="BD160" s="6"/>
      <c r="BE160" s="6"/>
      <c r="BF160" s="6"/>
      <c r="BG160" s="6"/>
      <c r="BH160" s="6"/>
      <c r="BI160" s="6"/>
      <c r="BJ160" s="6"/>
      <c r="BK160" s="6"/>
      <c r="BL160" s="6"/>
      <c r="BM160" s="6"/>
      <c r="BN160" s="6"/>
      <c r="BO160" s="6"/>
      <c r="BP160" s="3">
        <v>8</v>
      </c>
      <c r="BQ160" s="6">
        <f t="shared" si="31"/>
        <v>5</v>
      </c>
      <c r="BV160">
        <v>5</v>
      </c>
    </row>
    <row r="161" spans="1:74" x14ac:dyDescent="0.3">
      <c r="A161" s="3" t="s">
        <v>17</v>
      </c>
      <c r="B161" s="3">
        <v>362</v>
      </c>
      <c r="C161" s="3" t="s">
        <v>285</v>
      </c>
      <c r="D161" s="3">
        <v>2</v>
      </c>
      <c r="E161" s="3">
        <v>1.5</v>
      </c>
      <c r="F161" s="3" t="s">
        <v>25</v>
      </c>
      <c r="G161" s="3" t="s">
        <v>25</v>
      </c>
      <c r="H161" s="3" t="s">
        <v>192</v>
      </c>
      <c r="I161" s="3"/>
      <c r="J161" s="3" t="s">
        <v>91</v>
      </c>
      <c r="K161" s="3" t="s">
        <v>289</v>
      </c>
      <c r="L161" s="3" t="s">
        <v>24</v>
      </c>
      <c r="M161" s="3">
        <v>29</v>
      </c>
      <c r="N161" s="6"/>
      <c r="O161" s="3">
        <v>25</v>
      </c>
      <c r="P161" s="3">
        <v>25</v>
      </c>
      <c r="Q161" s="3">
        <v>0</v>
      </c>
      <c r="R161" s="3">
        <v>22</v>
      </c>
      <c r="S161" s="3">
        <v>1</v>
      </c>
      <c r="T161" s="3">
        <v>2</v>
      </c>
      <c r="U161" s="3">
        <v>0</v>
      </c>
      <c r="V161" s="3">
        <f t="shared" si="32"/>
        <v>25</v>
      </c>
      <c r="W161" s="3">
        <v>0</v>
      </c>
      <c r="X161" s="3">
        <v>22</v>
      </c>
      <c r="Y161" s="3">
        <v>1</v>
      </c>
      <c r="Z161" s="3">
        <v>2</v>
      </c>
      <c r="AA161" s="3">
        <v>0</v>
      </c>
      <c r="AB161" s="3">
        <f t="shared" si="33"/>
        <v>25</v>
      </c>
      <c r="AC161" s="6">
        <f t="shared" si="41"/>
        <v>0</v>
      </c>
      <c r="AD161" s="6">
        <f t="shared" si="42"/>
        <v>0</v>
      </c>
      <c r="AE161" s="6">
        <f t="shared" si="43"/>
        <v>0</v>
      </c>
      <c r="AF161" s="6">
        <f t="shared" si="44"/>
        <v>0</v>
      </c>
      <c r="AG161" s="6">
        <f t="shared" si="45"/>
        <v>0</v>
      </c>
      <c r="AH161" s="6">
        <f t="shared" si="34"/>
        <v>0</v>
      </c>
      <c r="AI161" s="3"/>
      <c r="AJ161" s="3" t="e">
        <f>_xlfn.XLOOKUP(K161,工作表1!A:A,工作表1!C:C)</f>
        <v>#N/A</v>
      </c>
      <c r="AK161" s="3"/>
      <c r="AL161" s="6">
        <f t="shared" si="35"/>
        <v>0</v>
      </c>
      <c r="AM161" s="6">
        <f t="shared" si="36"/>
        <v>22</v>
      </c>
      <c r="AN161" s="6">
        <f t="shared" si="37"/>
        <v>1</v>
      </c>
      <c r="AO161" s="6">
        <f t="shared" si="38"/>
        <v>2</v>
      </c>
      <c r="AP161" s="6">
        <f t="shared" si="39"/>
        <v>0</v>
      </c>
      <c r="AQ161" s="6">
        <f t="shared" si="40"/>
        <v>25</v>
      </c>
      <c r="AR161" s="6"/>
      <c r="AS161" s="6"/>
      <c r="AT161" s="6"/>
      <c r="AU161" s="6"/>
      <c r="AV161" s="6"/>
      <c r="AW161" s="6"/>
      <c r="AX161" s="6"/>
      <c r="AY161" s="6">
        <v>22</v>
      </c>
      <c r="AZ161" s="6"/>
      <c r="BA161" s="6"/>
      <c r="BB161" s="6"/>
      <c r="BC161" s="6"/>
      <c r="BD161" s="6">
        <v>1</v>
      </c>
      <c r="BE161" s="6"/>
      <c r="BF161" s="6"/>
      <c r="BG161" s="6"/>
      <c r="BH161" s="6">
        <v>2</v>
      </c>
      <c r="BI161" s="6"/>
      <c r="BJ161" s="6"/>
      <c r="BK161" s="6"/>
      <c r="BL161" s="6"/>
      <c r="BM161" s="6"/>
      <c r="BN161" s="6"/>
      <c r="BO161" s="6"/>
      <c r="BP161" s="3">
        <v>25</v>
      </c>
      <c r="BQ161" s="6">
        <f t="shared" si="31"/>
        <v>25</v>
      </c>
      <c r="BV161">
        <v>25</v>
      </c>
    </row>
    <row r="162" spans="1:74" x14ac:dyDescent="0.3">
      <c r="A162" s="3" t="s">
        <v>17</v>
      </c>
      <c r="B162" s="3">
        <v>362</v>
      </c>
      <c r="C162" s="3" t="s">
        <v>285</v>
      </c>
      <c r="D162" s="3">
        <v>2</v>
      </c>
      <c r="E162" s="3">
        <v>1</v>
      </c>
      <c r="F162" s="3" t="s">
        <v>25</v>
      </c>
      <c r="G162" s="3" t="s">
        <v>25</v>
      </c>
      <c r="H162" s="3" t="s">
        <v>194</v>
      </c>
      <c r="I162" s="3"/>
      <c r="J162" s="3" t="s">
        <v>91</v>
      </c>
      <c r="K162" s="3" t="s">
        <v>290</v>
      </c>
      <c r="L162" s="3" t="s">
        <v>24</v>
      </c>
      <c r="M162" s="3">
        <v>3</v>
      </c>
      <c r="N162" s="6"/>
      <c r="O162" s="3">
        <v>2</v>
      </c>
      <c r="P162" s="3">
        <v>2</v>
      </c>
      <c r="Q162" s="3">
        <v>0</v>
      </c>
      <c r="R162" s="3">
        <v>2</v>
      </c>
      <c r="S162" s="3">
        <v>0</v>
      </c>
      <c r="T162" s="3">
        <v>0</v>
      </c>
      <c r="U162" s="3">
        <v>0</v>
      </c>
      <c r="V162" s="3">
        <f t="shared" si="32"/>
        <v>2</v>
      </c>
      <c r="W162" s="3">
        <v>0</v>
      </c>
      <c r="X162" s="3">
        <v>2</v>
      </c>
      <c r="Y162" s="3">
        <v>0</v>
      </c>
      <c r="Z162" s="3">
        <v>0</v>
      </c>
      <c r="AA162" s="3">
        <v>0</v>
      </c>
      <c r="AB162" s="3">
        <f t="shared" si="33"/>
        <v>2</v>
      </c>
      <c r="AC162" s="6">
        <f t="shared" si="41"/>
        <v>0</v>
      </c>
      <c r="AD162" s="6">
        <f t="shared" si="42"/>
        <v>0</v>
      </c>
      <c r="AE162" s="6">
        <f t="shared" si="43"/>
        <v>0</v>
      </c>
      <c r="AF162" s="6">
        <f t="shared" si="44"/>
        <v>0</v>
      </c>
      <c r="AG162" s="6">
        <f t="shared" si="45"/>
        <v>0</v>
      </c>
      <c r="AH162" s="6">
        <f t="shared" si="34"/>
        <v>0</v>
      </c>
      <c r="AI162" s="3"/>
      <c r="AJ162" s="3" t="e">
        <f>_xlfn.XLOOKUP(K162,工作表1!A:A,工作表1!C:C)</f>
        <v>#N/A</v>
      </c>
      <c r="AK162" s="3"/>
      <c r="AL162" s="6">
        <f t="shared" si="35"/>
        <v>0</v>
      </c>
      <c r="AM162" s="6">
        <f t="shared" si="36"/>
        <v>2</v>
      </c>
      <c r="AN162" s="6">
        <f t="shared" si="37"/>
        <v>0</v>
      </c>
      <c r="AO162" s="6">
        <f t="shared" si="38"/>
        <v>0</v>
      </c>
      <c r="AP162" s="6">
        <f t="shared" si="39"/>
        <v>0</v>
      </c>
      <c r="AQ162" s="6">
        <f t="shared" si="40"/>
        <v>2</v>
      </c>
      <c r="AR162" s="6"/>
      <c r="AS162" s="6"/>
      <c r="AT162" s="6"/>
      <c r="AU162" s="6"/>
      <c r="AV162" s="6"/>
      <c r="AW162" s="6"/>
      <c r="AX162" s="6"/>
      <c r="AY162" s="6">
        <v>2</v>
      </c>
      <c r="AZ162" s="6"/>
      <c r="BA162" s="6"/>
      <c r="BB162" s="6"/>
      <c r="BC162" s="6"/>
      <c r="BD162" s="6"/>
      <c r="BE162" s="6"/>
      <c r="BF162" s="6"/>
      <c r="BG162" s="6"/>
      <c r="BH162" s="6"/>
      <c r="BI162" s="6"/>
      <c r="BJ162" s="6"/>
      <c r="BK162" s="6"/>
      <c r="BL162" s="6"/>
      <c r="BM162" s="6"/>
      <c r="BN162" s="6"/>
      <c r="BO162" s="6"/>
      <c r="BP162" s="3">
        <v>2</v>
      </c>
      <c r="BQ162" s="6">
        <f t="shared" si="31"/>
        <v>2</v>
      </c>
      <c r="BV162">
        <v>2</v>
      </c>
    </row>
    <row r="163" spans="1:74" x14ac:dyDescent="0.3">
      <c r="A163" s="3" t="s">
        <v>17</v>
      </c>
      <c r="B163" s="3">
        <v>362</v>
      </c>
      <c r="C163" s="3" t="s">
        <v>291</v>
      </c>
      <c r="D163" s="3">
        <v>2</v>
      </c>
      <c r="E163" s="3">
        <v>1</v>
      </c>
      <c r="F163" s="3" t="s">
        <v>41</v>
      </c>
      <c r="G163" s="3" t="s">
        <v>41</v>
      </c>
      <c r="H163" s="3" t="s">
        <v>292</v>
      </c>
      <c r="I163" s="3"/>
      <c r="J163" s="3" t="s">
        <v>91</v>
      </c>
      <c r="K163" s="3" t="s">
        <v>293</v>
      </c>
      <c r="L163" s="3" t="s">
        <v>24</v>
      </c>
      <c r="M163" s="3">
        <v>1</v>
      </c>
      <c r="N163" s="6"/>
      <c r="O163" s="3">
        <v>1</v>
      </c>
      <c r="P163" s="3">
        <v>1</v>
      </c>
      <c r="Q163" s="3">
        <v>0</v>
      </c>
      <c r="R163" s="3">
        <v>0</v>
      </c>
      <c r="S163" s="3">
        <v>1</v>
      </c>
      <c r="T163" s="3">
        <v>0</v>
      </c>
      <c r="U163" s="3">
        <v>0</v>
      </c>
      <c r="V163" s="3">
        <f t="shared" si="32"/>
        <v>1</v>
      </c>
      <c r="W163" s="3">
        <v>0</v>
      </c>
      <c r="X163" s="3">
        <v>0</v>
      </c>
      <c r="Y163" s="3">
        <v>1</v>
      </c>
      <c r="Z163" s="3">
        <v>0</v>
      </c>
      <c r="AA163" s="3">
        <v>0</v>
      </c>
      <c r="AB163" s="3">
        <f t="shared" si="33"/>
        <v>1</v>
      </c>
      <c r="AC163" s="6">
        <f t="shared" si="41"/>
        <v>0</v>
      </c>
      <c r="AD163" s="6">
        <f t="shared" si="42"/>
        <v>0</v>
      </c>
      <c r="AE163" s="6">
        <f t="shared" si="43"/>
        <v>-1</v>
      </c>
      <c r="AF163" s="6">
        <f t="shared" si="44"/>
        <v>0</v>
      </c>
      <c r="AG163" s="6">
        <f t="shared" si="45"/>
        <v>0</v>
      </c>
      <c r="AH163" s="6">
        <f t="shared" si="34"/>
        <v>-1</v>
      </c>
      <c r="AI163" s="3"/>
      <c r="AJ163" s="3" t="e">
        <f>_xlfn.XLOOKUP(K163,工作表1!A:A,工作表1!C:C)</f>
        <v>#N/A</v>
      </c>
      <c r="AK163" s="3"/>
      <c r="AL163" s="6">
        <f t="shared" si="35"/>
        <v>0</v>
      </c>
      <c r="AM163" s="6">
        <f t="shared" si="36"/>
        <v>0</v>
      </c>
      <c r="AN163" s="6">
        <f t="shared" si="37"/>
        <v>0</v>
      </c>
      <c r="AO163" s="6">
        <f t="shared" si="38"/>
        <v>0</v>
      </c>
      <c r="AP163" s="6">
        <f t="shared" si="39"/>
        <v>0</v>
      </c>
      <c r="AQ163" s="6">
        <f t="shared" si="40"/>
        <v>0</v>
      </c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  <c r="BC163" s="6"/>
      <c r="BD163" s="6"/>
      <c r="BE163" s="6"/>
      <c r="BF163" s="6"/>
      <c r="BG163" s="6"/>
      <c r="BH163" s="6"/>
      <c r="BI163" s="6"/>
      <c r="BJ163" s="6"/>
      <c r="BK163" s="6"/>
      <c r="BL163" s="6"/>
      <c r="BM163" s="6"/>
      <c r="BN163" s="6"/>
      <c r="BO163" s="6"/>
      <c r="BP163" s="3">
        <v>1</v>
      </c>
      <c r="BQ163" s="6">
        <f t="shared" si="31"/>
        <v>0</v>
      </c>
    </row>
    <row r="164" spans="1:74" x14ac:dyDescent="0.3">
      <c r="A164" s="3" t="s">
        <v>17</v>
      </c>
      <c r="B164" s="3">
        <v>362</v>
      </c>
      <c r="C164" s="3" t="s">
        <v>294</v>
      </c>
      <c r="D164" s="3">
        <v>1.5</v>
      </c>
      <c r="E164" s="3">
        <v>0.5</v>
      </c>
      <c r="F164" s="3" t="s">
        <v>25</v>
      </c>
      <c r="G164" s="3" t="s">
        <v>25</v>
      </c>
      <c r="H164" s="3" t="s">
        <v>295</v>
      </c>
      <c r="I164" s="3"/>
      <c r="J164" s="3" t="s">
        <v>91</v>
      </c>
      <c r="K164" s="3" t="s">
        <v>296</v>
      </c>
      <c r="L164" s="3" t="s">
        <v>24</v>
      </c>
      <c r="M164" s="3">
        <v>29</v>
      </c>
      <c r="N164" s="6"/>
      <c r="O164" s="3">
        <v>28</v>
      </c>
      <c r="P164" s="3">
        <v>28</v>
      </c>
      <c r="Q164" s="3">
        <v>0</v>
      </c>
      <c r="R164" s="3">
        <v>28</v>
      </c>
      <c r="S164" s="3">
        <v>0</v>
      </c>
      <c r="T164" s="3">
        <v>0</v>
      </c>
      <c r="U164" s="3">
        <v>0</v>
      </c>
      <c r="V164" s="3">
        <f t="shared" si="32"/>
        <v>28</v>
      </c>
      <c r="W164" s="3">
        <v>0</v>
      </c>
      <c r="X164" s="3">
        <v>28</v>
      </c>
      <c r="Y164" s="3">
        <v>0</v>
      </c>
      <c r="Z164" s="3">
        <v>0</v>
      </c>
      <c r="AA164" s="3">
        <v>0</v>
      </c>
      <c r="AB164" s="3">
        <f t="shared" si="33"/>
        <v>28</v>
      </c>
      <c r="AC164" s="6">
        <f t="shared" si="41"/>
        <v>0</v>
      </c>
      <c r="AD164" s="6">
        <f t="shared" si="42"/>
        <v>-28</v>
      </c>
      <c r="AE164" s="6">
        <f t="shared" si="43"/>
        <v>0</v>
      </c>
      <c r="AF164" s="6">
        <f t="shared" si="44"/>
        <v>0</v>
      </c>
      <c r="AG164" s="6">
        <f t="shared" si="45"/>
        <v>0</v>
      </c>
      <c r="AH164" s="6">
        <f t="shared" si="34"/>
        <v>-28</v>
      </c>
      <c r="AI164" s="3"/>
      <c r="AJ164" s="3" t="e">
        <f>_xlfn.XLOOKUP(K164,工作表1!A:A,工作表1!C:C)</f>
        <v>#N/A</v>
      </c>
      <c r="AK164" s="3"/>
      <c r="AL164" s="6">
        <f t="shared" si="35"/>
        <v>0</v>
      </c>
      <c r="AM164" s="6">
        <f t="shared" si="36"/>
        <v>0</v>
      </c>
      <c r="AN164" s="6">
        <f t="shared" si="37"/>
        <v>0</v>
      </c>
      <c r="AO164" s="6">
        <f t="shared" si="38"/>
        <v>0</v>
      </c>
      <c r="AP164" s="6">
        <f t="shared" si="39"/>
        <v>0</v>
      </c>
      <c r="AQ164" s="6">
        <f t="shared" si="40"/>
        <v>0</v>
      </c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  <c r="BC164" s="6"/>
      <c r="BD164" s="6"/>
      <c r="BE164" s="6"/>
      <c r="BF164" s="6"/>
      <c r="BG164" s="6"/>
      <c r="BH164" s="6"/>
      <c r="BI164" s="6"/>
      <c r="BJ164" s="6"/>
      <c r="BK164" s="6"/>
      <c r="BL164" s="6"/>
      <c r="BM164" s="6"/>
      <c r="BN164" s="6"/>
      <c r="BO164" s="6"/>
      <c r="BP164" s="3">
        <v>28</v>
      </c>
      <c r="BQ164" s="6">
        <f t="shared" si="31"/>
        <v>0</v>
      </c>
    </row>
    <row r="165" spans="1:74" x14ac:dyDescent="0.3">
      <c r="A165" s="3" t="s">
        <v>17</v>
      </c>
      <c r="B165" s="3">
        <v>362</v>
      </c>
      <c r="C165" s="3" t="s">
        <v>294</v>
      </c>
      <c r="D165" s="3">
        <v>1.5</v>
      </c>
      <c r="E165" s="3">
        <v>0.75</v>
      </c>
      <c r="F165" s="3" t="s">
        <v>25</v>
      </c>
      <c r="G165" s="3" t="s">
        <v>25</v>
      </c>
      <c r="H165" s="3" t="s">
        <v>277</v>
      </c>
      <c r="I165" s="3"/>
      <c r="J165" s="3" t="s">
        <v>91</v>
      </c>
      <c r="K165" s="3" t="s">
        <v>297</v>
      </c>
      <c r="L165" s="3" t="s">
        <v>24</v>
      </c>
      <c r="M165" s="3">
        <v>6</v>
      </c>
      <c r="N165" s="6"/>
      <c r="O165" s="3">
        <v>2</v>
      </c>
      <c r="P165" s="3">
        <v>2</v>
      </c>
      <c r="Q165" s="3">
        <v>0</v>
      </c>
      <c r="R165" s="3">
        <v>2</v>
      </c>
      <c r="S165" s="3">
        <v>0</v>
      </c>
      <c r="T165" s="3">
        <v>0</v>
      </c>
      <c r="U165" s="3">
        <v>0</v>
      </c>
      <c r="V165" s="3">
        <f t="shared" si="32"/>
        <v>2</v>
      </c>
      <c r="W165" s="3">
        <v>0</v>
      </c>
      <c r="X165" s="3">
        <v>2</v>
      </c>
      <c r="Y165" s="3">
        <v>0</v>
      </c>
      <c r="Z165" s="3">
        <v>0</v>
      </c>
      <c r="AA165" s="3">
        <v>0</v>
      </c>
      <c r="AB165" s="3">
        <f t="shared" si="33"/>
        <v>2</v>
      </c>
      <c r="AC165" s="6">
        <f t="shared" si="41"/>
        <v>0</v>
      </c>
      <c r="AD165" s="6">
        <f t="shared" si="42"/>
        <v>0</v>
      </c>
      <c r="AE165" s="6">
        <f t="shared" si="43"/>
        <v>0</v>
      </c>
      <c r="AF165" s="6">
        <f t="shared" si="44"/>
        <v>0</v>
      </c>
      <c r="AG165" s="6">
        <f t="shared" si="45"/>
        <v>0</v>
      </c>
      <c r="AH165" s="6">
        <f t="shared" si="34"/>
        <v>0</v>
      </c>
      <c r="AI165" s="3"/>
      <c r="AJ165" s="3" t="e">
        <f>_xlfn.XLOOKUP(K165,工作表1!A:A,工作表1!C:C)</f>
        <v>#N/A</v>
      </c>
      <c r="AK165" s="3"/>
      <c r="AL165" s="6">
        <f t="shared" si="35"/>
        <v>0</v>
      </c>
      <c r="AM165" s="6">
        <f t="shared" si="36"/>
        <v>2</v>
      </c>
      <c r="AN165" s="6">
        <f t="shared" si="37"/>
        <v>0</v>
      </c>
      <c r="AO165" s="6">
        <f t="shared" si="38"/>
        <v>0</v>
      </c>
      <c r="AP165" s="6">
        <f t="shared" si="39"/>
        <v>0</v>
      </c>
      <c r="AQ165" s="6">
        <f t="shared" si="40"/>
        <v>2</v>
      </c>
      <c r="AR165" s="6"/>
      <c r="AS165" s="6"/>
      <c r="AT165" s="6"/>
      <c r="AU165" s="6"/>
      <c r="AV165" s="6"/>
      <c r="AW165" s="6"/>
      <c r="AX165" s="6"/>
      <c r="AY165" s="6">
        <v>2</v>
      </c>
      <c r="AZ165" s="6"/>
      <c r="BA165" s="6"/>
      <c r="BB165" s="6"/>
      <c r="BC165" s="6"/>
      <c r="BD165" s="6"/>
      <c r="BE165" s="6"/>
      <c r="BF165" s="6"/>
      <c r="BG165" s="6"/>
      <c r="BH165" s="6"/>
      <c r="BI165" s="6"/>
      <c r="BJ165" s="6"/>
      <c r="BK165" s="6"/>
      <c r="BL165" s="6"/>
      <c r="BM165" s="6"/>
      <c r="BN165" s="6"/>
      <c r="BO165" s="6"/>
      <c r="BP165" s="3">
        <v>2</v>
      </c>
      <c r="BQ165" s="6">
        <f t="shared" si="31"/>
        <v>2</v>
      </c>
      <c r="BV165">
        <v>2</v>
      </c>
    </row>
    <row r="166" spans="1:74" x14ac:dyDescent="0.3">
      <c r="A166" s="3" t="s">
        <v>17</v>
      </c>
      <c r="B166" s="3">
        <v>362</v>
      </c>
      <c r="C166" s="3" t="s">
        <v>294</v>
      </c>
      <c r="D166" s="3">
        <v>1.5</v>
      </c>
      <c r="E166" s="3">
        <v>1</v>
      </c>
      <c r="F166" s="3" t="s">
        <v>25</v>
      </c>
      <c r="G166" s="3" t="s">
        <v>25</v>
      </c>
      <c r="H166" s="3" t="s">
        <v>283</v>
      </c>
      <c r="I166" s="3"/>
      <c r="J166" s="3" t="s">
        <v>91</v>
      </c>
      <c r="K166" s="3" t="s">
        <v>1512</v>
      </c>
      <c r="L166" s="3" t="s">
        <v>24</v>
      </c>
      <c r="M166" s="3">
        <v>6</v>
      </c>
      <c r="N166" s="6"/>
      <c r="O166" s="3">
        <v>1</v>
      </c>
      <c r="P166" s="3">
        <v>1</v>
      </c>
      <c r="Q166" s="3">
        <v>0</v>
      </c>
      <c r="R166" s="3">
        <v>1</v>
      </c>
      <c r="S166" s="3">
        <v>0</v>
      </c>
      <c r="T166" s="3">
        <v>0</v>
      </c>
      <c r="U166" s="3">
        <v>0</v>
      </c>
      <c r="V166" s="3">
        <f t="shared" si="32"/>
        <v>1</v>
      </c>
      <c r="W166" s="3">
        <v>0</v>
      </c>
      <c r="X166" s="3">
        <v>1</v>
      </c>
      <c r="Y166" s="3">
        <v>0</v>
      </c>
      <c r="Z166" s="3">
        <v>0</v>
      </c>
      <c r="AA166" s="3">
        <v>0</v>
      </c>
      <c r="AB166" s="3">
        <f t="shared" si="33"/>
        <v>1</v>
      </c>
      <c r="AC166" s="6">
        <f t="shared" si="41"/>
        <v>0</v>
      </c>
      <c r="AD166" s="6">
        <f t="shared" si="42"/>
        <v>0</v>
      </c>
      <c r="AE166" s="6">
        <f t="shared" si="43"/>
        <v>0</v>
      </c>
      <c r="AF166" s="6">
        <f t="shared" si="44"/>
        <v>0</v>
      </c>
      <c r="AG166" s="6">
        <f t="shared" si="45"/>
        <v>0</v>
      </c>
      <c r="AH166" s="6">
        <f t="shared" si="34"/>
        <v>0</v>
      </c>
      <c r="AI166" s="3"/>
      <c r="AJ166" s="3" t="e">
        <f>_xlfn.XLOOKUP(K166,工作表1!A:A,工作表1!C:C)</f>
        <v>#N/A</v>
      </c>
      <c r="AK166" s="3"/>
      <c r="AL166" s="6">
        <f t="shared" si="35"/>
        <v>0</v>
      </c>
      <c r="AM166" s="6">
        <f t="shared" si="36"/>
        <v>1</v>
      </c>
      <c r="AN166" s="6">
        <f t="shared" si="37"/>
        <v>0</v>
      </c>
      <c r="AO166" s="6">
        <f t="shared" si="38"/>
        <v>0</v>
      </c>
      <c r="AP166" s="6">
        <f t="shared" si="39"/>
        <v>0</v>
      </c>
      <c r="AQ166" s="6">
        <f t="shared" si="40"/>
        <v>1</v>
      </c>
      <c r="AR166" s="6"/>
      <c r="AS166" s="6"/>
      <c r="AT166" s="6"/>
      <c r="AU166" s="6"/>
      <c r="AV166" s="6"/>
      <c r="AW166" s="6"/>
      <c r="AX166" s="6"/>
      <c r="AY166" s="6">
        <v>1</v>
      </c>
      <c r="AZ166" s="6"/>
      <c r="BA166" s="6"/>
      <c r="BB166" s="6"/>
      <c r="BC166" s="6"/>
      <c r="BD166" s="6"/>
      <c r="BE166" s="6"/>
      <c r="BF166" s="6"/>
      <c r="BG166" s="6"/>
      <c r="BH166" s="6"/>
      <c r="BI166" s="6"/>
      <c r="BJ166" s="6"/>
      <c r="BK166" s="6"/>
      <c r="BL166" s="6"/>
      <c r="BM166" s="6"/>
      <c r="BN166" s="6"/>
      <c r="BO166" s="6"/>
      <c r="BP166" s="3">
        <v>1</v>
      </c>
      <c r="BQ166" s="6">
        <f t="shared" si="31"/>
        <v>1</v>
      </c>
      <c r="BV166">
        <v>1</v>
      </c>
    </row>
    <row r="167" spans="1:74" x14ac:dyDescent="0.3">
      <c r="A167" s="3" t="s">
        <v>17</v>
      </c>
      <c r="B167" s="3">
        <v>362</v>
      </c>
      <c r="C167" s="3" t="s">
        <v>294</v>
      </c>
      <c r="D167" s="3">
        <v>1</v>
      </c>
      <c r="E167" s="3">
        <v>0.5</v>
      </c>
      <c r="F167" s="3" t="s">
        <v>25</v>
      </c>
      <c r="G167" s="3" t="s">
        <v>25</v>
      </c>
      <c r="H167" s="3" t="s">
        <v>278</v>
      </c>
      <c r="I167" s="3"/>
      <c r="J167" s="3" t="s">
        <v>91</v>
      </c>
      <c r="K167" s="3" t="s">
        <v>298</v>
      </c>
      <c r="L167" s="3" t="s">
        <v>24</v>
      </c>
      <c r="M167" s="3">
        <v>7</v>
      </c>
      <c r="N167" s="6"/>
      <c r="O167" s="3">
        <v>4</v>
      </c>
      <c r="P167" s="3">
        <v>4</v>
      </c>
      <c r="Q167" s="3">
        <v>0</v>
      </c>
      <c r="R167" s="3">
        <v>0</v>
      </c>
      <c r="S167" s="3">
        <v>0</v>
      </c>
      <c r="T167" s="3">
        <v>4</v>
      </c>
      <c r="U167" s="3">
        <v>0</v>
      </c>
      <c r="V167" s="3">
        <f t="shared" si="32"/>
        <v>4</v>
      </c>
      <c r="W167" s="3">
        <v>0</v>
      </c>
      <c r="X167" s="3">
        <v>0</v>
      </c>
      <c r="Y167" s="3">
        <v>0</v>
      </c>
      <c r="Z167" s="3">
        <v>4</v>
      </c>
      <c r="AA167" s="3">
        <v>0</v>
      </c>
      <c r="AB167" s="3">
        <f t="shared" si="33"/>
        <v>4</v>
      </c>
      <c r="AC167" s="6">
        <f t="shared" si="41"/>
        <v>0</v>
      </c>
      <c r="AD167" s="6">
        <f t="shared" si="42"/>
        <v>0</v>
      </c>
      <c r="AE167" s="6">
        <f t="shared" si="43"/>
        <v>0</v>
      </c>
      <c r="AF167" s="6">
        <f t="shared" si="44"/>
        <v>0</v>
      </c>
      <c r="AG167" s="6">
        <f t="shared" si="45"/>
        <v>0</v>
      </c>
      <c r="AH167" s="6">
        <f t="shared" si="34"/>
        <v>0</v>
      </c>
      <c r="AI167" s="3"/>
      <c r="AJ167" s="3" t="e">
        <f>_xlfn.XLOOKUP(K167,工作表1!A:A,工作表1!C:C)</f>
        <v>#N/A</v>
      </c>
      <c r="AK167" s="3"/>
      <c r="AL167" s="6">
        <f t="shared" si="35"/>
        <v>0</v>
      </c>
      <c r="AM167" s="6">
        <f t="shared" si="36"/>
        <v>0</v>
      </c>
      <c r="AN167" s="6">
        <f t="shared" si="37"/>
        <v>0</v>
      </c>
      <c r="AO167" s="6">
        <f t="shared" si="38"/>
        <v>4</v>
      </c>
      <c r="AP167" s="6">
        <f t="shared" si="39"/>
        <v>0</v>
      </c>
      <c r="AQ167" s="6">
        <f t="shared" si="40"/>
        <v>4</v>
      </c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  <c r="BC167" s="6"/>
      <c r="BD167" s="6"/>
      <c r="BE167" s="6"/>
      <c r="BF167" s="6"/>
      <c r="BG167" s="6"/>
      <c r="BH167" s="6">
        <v>4</v>
      </c>
      <c r="BI167" s="6"/>
      <c r="BJ167" s="6"/>
      <c r="BK167" s="6"/>
      <c r="BL167" s="6"/>
      <c r="BM167" s="6"/>
      <c r="BN167" s="6"/>
      <c r="BO167" s="6"/>
      <c r="BP167" s="3">
        <v>4</v>
      </c>
      <c r="BQ167" s="6">
        <f t="shared" si="31"/>
        <v>4</v>
      </c>
      <c r="BV167">
        <v>4</v>
      </c>
    </row>
    <row r="168" spans="1:74" x14ac:dyDescent="0.3">
      <c r="A168" s="3" t="s">
        <v>17</v>
      </c>
      <c r="B168" s="3">
        <v>362</v>
      </c>
      <c r="C168" s="3" t="s">
        <v>294</v>
      </c>
      <c r="D168" s="3">
        <v>1</v>
      </c>
      <c r="E168" s="3">
        <v>0.75</v>
      </c>
      <c r="F168" s="3" t="s">
        <v>25</v>
      </c>
      <c r="G168" s="3" t="s">
        <v>25</v>
      </c>
      <c r="H168" s="3" t="s">
        <v>280</v>
      </c>
      <c r="I168" s="3"/>
      <c r="J168" s="3" t="s">
        <v>91</v>
      </c>
      <c r="K168" s="3" t="s">
        <v>299</v>
      </c>
      <c r="L168" s="3" t="s">
        <v>24</v>
      </c>
      <c r="M168" s="3">
        <v>5</v>
      </c>
      <c r="N168" s="6"/>
      <c r="O168" s="3">
        <v>4</v>
      </c>
      <c r="P168" s="3">
        <v>4</v>
      </c>
      <c r="Q168" s="3">
        <v>0</v>
      </c>
      <c r="R168" s="3">
        <v>4</v>
      </c>
      <c r="S168" s="3">
        <v>0</v>
      </c>
      <c r="T168" s="3">
        <v>0</v>
      </c>
      <c r="U168" s="3">
        <v>0</v>
      </c>
      <c r="V168" s="3">
        <f t="shared" si="32"/>
        <v>4</v>
      </c>
      <c r="W168" s="3">
        <v>0</v>
      </c>
      <c r="X168" s="3">
        <v>4</v>
      </c>
      <c r="Y168" s="3">
        <v>0</v>
      </c>
      <c r="Z168" s="3">
        <v>0</v>
      </c>
      <c r="AA168" s="3">
        <v>0</v>
      </c>
      <c r="AB168" s="3">
        <f t="shared" si="33"/>
        <v>4</v>
      </c>
      <c r="AC168" s="6">
        <f t="shared" si="41"/>
        <v>0</v>
      </c>
      <c r="AD168" s="6">
        <f t="shared" si="42"/>
        <v>-4</v>
      </c>
      <c r="AE168" s="6">
        <f t="shared" si="43"/>
        <v>0</v>
      </c>
      <c r="AF168" s="6">
        <f t="shared" si="44"/>
        <v>0</v>
      </c>
      <c r="AG168" s="6">
        <f t="shared" si="45"/>
        <v>0</v>
      </c>
      <c r="AH168" s="6">
        <f t="shared" si="34"/>
        <v>-4</v>
      </c>
      <c r="AI168" s="3"/>
      <c r="AJ168" s="3" t="e">
        <f>_xlfn.XLOOKUP(K168,工作表1!A:A,工作表1!C:C)</f>
        <v>#N/A</v>
      </c>
      <c r="AK168" s="3"/>
      <c r="AL168" s="6">
        <f t="shared" si="35"/>
        <v>0</v>
      </c>
      <c r="AM168" s="6">
        <f t="shared" si="36"/>
        <v>0</v>
      </c>
      <c r="AN168" s="6">
        <f t="shared" si="37"/>
        <v>0</v>
      </c>
      <c r="AO168" s="6">
        <f t="shared" si="38"/>
        <v>0</v>
      </c>
      <c r="AP168" s="6">
        <f t="shared" si="39"/>
        <v>0</v>
      </c>
      <c r="AQ168" s="6">
        <f t="shared" si="40"/>
        <v>0</v>
      </c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  <c r="BC168" s="6"/>
      <c r="BD168" s="6"/>
      <c r="BE168" s="6"/>
      <c r="BF168" s="6"/>
      <c r="BG168" s="6"/>
      <c r="BH168" s="6"/>
      <c r="BI168" s="6"/>
      <c r="BJ168" s="6"/>
      <c r="BK168" s="6"/>
      <c r="BL168" s="6"/>
      <c r="BM168" s="6"/>
      <c r="BN168" s="6"/>
      <c r="BO168" s="6"/>
      <c r="BP168" s="3">
        <v>4</v>
      </c>
      <c r="BQ168" s="6">
        <f t="shared" si="31"/>
        <v>0</v>
      </c>
    </row>
    <row r="169" spans="1:74" x14ac:dyDescent="0.3">
      <c r="A169" s="3" t="s">
        <v>17</v>
      </c>
      <c r="B169" s="3">
        <v>363</v>
      </c>
      <c r="C169" s="3" t="s">
        <v>300</v>
      </c>
      <c r="D169" s="3">
        <v>8</v>
      </c>
      <c r="E169" s="3">
        <v>4</v>
      </c>
      <c r="F169" s="3" t="s">
        <v>20</v>
      </c>
      <c r="G169" s="3" t="s">
        <v>20</v>
      </c>
      <c r="H169" s="3" t="s">
        <v>184</v>
      </c>
      <c r="I169" s="3"/>
      <c r="J169" s="3" t="s">
        <v>91</v>
      </c>
      <c r="K169" s="3" t="s">
        <v>301</v>
      </c>
      <c r="L169" s="3" t="s">
        <v>24</v>
      </c>
      <c r="M169" s="3">
        <v>3</v>
      </c>
      <c r="N169" s="6"/>
      <c r="O169" s="3">
        <v>3</v>
      </c>
      <c r="P169" s="3">
        <v>3</v>
      </c>
      <c r="Q169" s="3">
        <v>0</v>
      </c>
      <c r="R169" s="3">
        <v>0</v>
      </c>
      <c r="S169" s="3">
        <v>0</v>
      </c>
      <c r="T169" s="3">
        <v>3</v>
      </c>
      <c r="U169" s="3">
        <v>0</v>
      </c>
      <c r="V169" s="3">
        <f t="shared" si="32"/>
        <v>3</v>
      </c>
      <c r="W169" s="3">
        <v>0</v>
      </c>
      <c r="X169" s="3">
        <v>0</v>
      </c>
      <c r="Y169" s="3">
        <v>0</v>
      </c>
      <c r="Z169" s="3">
        <v>3</v>
      </c>
      <c r="AA169" s="3">
        <v>0</v>
      </c>
      <c r="AB169" s="3">
        <f t="shared" si="33"/>
        <v>3</v>
      </c>
      <c r="AC169" s="6">
        <f t="shared" si="41"/>
        <v>0</v>
      </c>
      <c r="AD169" s="6">
        <f t="shared" si="42"/>
        <v>0</v>
      </c>
      <c r="AE169" s="6">
        <f t="shared" si="43"/>
        <v>0</v>
      </c>
      <c r="AF169" s="6">
        <f t="shared" si="44"/>
        <v>-2</v>
      </c>
      <c r="AG169" s="6">
        <f t="shared" si="45"/>
        <v>0</v>
      </c>
      <c r="AH169" s="6">
        <f t="shared" si="34"/>
        <v>-2</v>
      </c>
      <c r="AI169" s="3"/>
      <c r="AJ169" s="3">
        <f>_xlfn.XLOOKUP(K169,工作表1!A:A,工作表1!C:C)</f>
        <v>1</v>
      </c>
      <c r="AK169" s="3" t="s">
        <v>1483</v>
      </c>
      <c r="AL169" s="6">
        <f t="shared" si="35"/>
        <v>0</v>
      </c>
      <c r="AM169" s="6">
        <f t="shared" si="36"/>
        <v>0</v>
      </c>
      <c r="AN169" s="6">
        <f t="shared" si="37"/>
        <v>0</v>
      </c>
      <c r="AO169" s="6">
        <f t="shared" si="38"/>
        <v>1</v>
      </c>
      <c r="AP169" s="6">
        <f t="shared" si="39"/>
        <v>0</v>
      </c>
      <c r="AQ169" s="6">
        <f t="shared" si="40"/>
        <v>1</v>
      </c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  <c r="BC169" s="6"/>
      <c r="BD169" s="6"/>
      <c r="BE169" s="6"/>
      <c r="BF169" s="6"/>
      <c r="BG169" s="6"/>
      <c r="BH169" s="6">
        <v>1</v>
      </c>
      <c r="BI169" s="6"/>
      <c r="BJ169" s="6"/>
      <c r="BK169" s="6"/>
      <c r="BL169" s="6"/>
      <c r="BM169" s="6"/>
      <c r="BN169" s="6"/>
      <c r="BO169" s="6"/>
      <c r="BP169" s="3">
        <v>3</v>
      </c>
      <c r="BQ169" s="6">
        <f t="shared" si="31"/>
        <v>1</v>
      </c>
      <c r="BV169">
        <v>1</v>
      </c>
    </row>
    <row r="170" spans="1:74" x14ac:dyDescent="0.3">
      <c r="A170" s="3" t="s">
        <v>17</v>
      </c>
      <c r="B170" s="3">
        <v>363</v>
      </c>
      <c r="C170" s="3" t="s">
        <v>300</v>
      </c>
      <c r="D170" s="3">
        <v>6</v>
      </c>
      <c r="E170" s="3">
        <v>3</v>
      </c>
      <c r="F170" s="3" t="s">
        <v>20</v>
      </c>
      <c r="G170" s="3" t="s">
        <v>20</v>
      </c>
      <c r="H170" s="3" t="s">
        <v>302</v>
      </c>
      <c r="I170" s="3"/>
      <c r="J170" s="3" t="s">
        <v>91</v>
      </c>
      <c r="K170" s="3" t="s">
        <v>303</v>
      </c>
      <c r="L170" s="3" t="s">
        <v>24</v>
      </c>
      <c r="M170" s="3">
        <v>2</v>
      </c>
      <c r="N170" s="6"/>
      <c r="O170" s="3">
        <v>2</v>
      </c>
      <c r="P170" s="3">
        <v>2</v>
      </c>
      <c r="Q170" s="3">
        <v>0</v>
      </c>
      <c r="R170" s="3">
        <v>0</v>
      </c>
      <c r="S170" s="3">
        <v>0</v>
      </c>
      <c r="T170" s="3">
        <v>2</v>
      </c>
      <c r="U170" s="3">
        <v>0</v>
      </c>
      <c r="V170" s="3">
        <f t="shared" si="32"/>
        <v>2</v>
      </c>
      <c r="W170" s="3">
        <v>0</v>
      </c>
      <c r="X170" s="3">
        <v>0</v>
      </c>
      <c r="Y170" s="3">
        <v>0</v>
      </c>
      <c r="Z170" s="3">
        <v>2</v>
      </c>
      <c r="AA170" s="3">
        <v>0</v>
      </c>
      <c r="AB170" s="3">
        <f t="shared" si="33"/>
        <v>2</v>
      </c>
      <c r="AC170" s="6">
        <f t="shared" si="41"/>
        <v>0</v>
      </c>
      <c r="AD170" s="6">
        <f t="shared" si="42"/>
        <v>0</v>
      </c>
      <c r="AE170" s="6">
        <f t="shared" si="43"/>
        <v>0</v>
      </c>
      <c r="AF170" s="6">
        <f t="shared" si="44"/>
        <v>-2</v>
      </c>
      <c r="AG170" s="6">
        <f t="shared" si="45"/>
        <v>0</v>
      </c>
      <c r="AH170" s="6">
        <f t="shared" si="34"/>
        <v>-2</v>
      </c>
      <c r="AI170" s="3"/>
      <c r="AJ170" s="3" t="e">
        <f>_xlfn.XLOOKUP(K170,工作表1!A:A,工作表1!C:C)</f>
        <v>#N/A</v>
      </c>
      <c r="AK170" s="3"/>
      <c r="AL170" s="6">
        <f t="shared" si="35"/>
        <v>0</v>
      </c>
      <c r="AM170" s="6">
        <f t="shared" si="36"/>
        <v>0</v>
      </c>
      <c r="AN170" s="6">
        <f t="shared" si="37"/>
        <v>0</v>
      </c>
      <c r="AO170" s="6">
        <f t="shared" si="38"/>
        <v>0</v>
      </c>
      <c r="AP170" s="6">
        <f t="shared" si="39"/>
        <v>0</v>
      </c>
      <c r="AQ170" s="6">
        <f t="shared" si="40"/>
        <v>0</v>
      </c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  <c r="BC170" s="6"/>
      <c r="BD170" s="6"/>
      <c r="BE170" s="6"/>
      <c r="BF170" s="6"/>
      <c r="BG170" s="6"/>
      <c r="BH170" s="6"/>
      <c r="BI170" s="6"/>
      <c r="BJ170" s="6"/>
      <c r="BK170" s="6"/>
      <c r="BL170" s="6"/>
      <c r="BM170" s="6"/>
      <c r="BN170" s="6"/>
      <c r="BO170" s="6"/>
      <c r="BP170" s="3">
        <v>2</v>
      </c>
      <c r="BQ170" s="6">
        <f t="shared" si="31"/>
        <v>0</v>
      </c>
    </row>
    <row r="171" spans="1:74" x14ac:dyDescent="0.3">
      <c r="A171" s="3" t="s">
        <v>17</v>
      </c>
      <c r="B171" s="3">
        <v>363</v>
      </c>
      <c r="C171" s="3" t="s">
        <v>300</v>
      </c>
      <c r="D171" s="3">
        <v>3</v>
      </c>
      <c r="E171" s="3">
        <v>2</v>
      </c>
      <c r="F171" s="3" t="s">
        <v>20</v>
      </c>
      <c r="G171" s="3" t="s">
        <v>25</v>
      </c>
      <c r="H171" s="3" t="s">
        <v>304</v>
      </c>
      <c r="I171" s="3"/>
      <c r="J171" s="3" t="s">
        <v>91</v>
      </c>
      <c r="K171" s="3" t="s">
        <v>305</v>
      </c>
      <c r="L171" s="3" t="s">
        <v>24</v>
      </c>
      <c r="M171" s="3">
        <v>6</v>
      </c>
      <c r="N171" s="6"/>
      <c r="O171" s="3">
        <v>6</v>
      </c>
      <c r="P171" s="3">
        <v>6</v>
      </c>
      <c r="Q171" s="3">
        <v>0</v>
      </c>
      <c r="R171" s="3">
        <v>0</v>
      </c>
      <c r="S171" s="3">
        <v>0</v>
      </c>
      <c r="T171" s="3">
        <v>6</v>
      </c>
      <c r="U171" s="3">
        <v>0</v>
      </c>
      <c r="V171" s="3">
        <f t="shared" si="32"/>
        <v>6</v>
      </c>
      <c r="W171" s="3">
        <v>0</v>
      </c>
      <c r="X171" s="3">
        <v>0</v>
      </c>
      <c r="Y171" s="3">
        <v>0</v>
      </c>
      <c r="Z171" s="3">
        <v>6</v>
      </c>
      <c r="AA171" s="3">
        <v>0</v>
      </c>
      <c r="AB171" s="3">
        <f t="shared" si="33"/>
        <v>6</v>
      </c>
      <c r="AC171" s="6">
        <f t="shared" si="41"/>
        <v>0</v>
      </c>
      <c r="AD171" s="6">
        <f t="shared" si="42"/>
        <v>0</v>
      </c>
      <c r="AE171" s="6">
        <f t="shared" si="43"/>
        <v>0</v>
      </c>
      <c r="AF171" s="6">
        <f t="shared" si="44"/>
        <v>-6</v>
      </c>
      <c r="AG171" s="6">
        <f t="shared" si="45"/>
        <v>0</v>
      </c>
      <c r="AH171" s="6">
        <f t="shared" si="34"/>
        <v>-6</v>
      </c>
      <c r="AI171" s="3"/>
      <c r="AJ171" s="3" t="e">
        <f>_xlfn.XLOOKUP(K171,工作表1!A:A,工作表1!C:C)</f>
        <v>#N/A</v>
      </c>
      <c r="AK171" s="3"/>
      <c r="AL171" s="6">
        <f t="shared" si="35"/>
        <v>0</v>
      </c>
      <c r="AM171" s="6">
        <f t="shared" si="36"/>
        <v>0</v>
      </c>
      <c r="AN171" s="6">
        <f t="shared" si="37"/>
        <v>0</v>
      </c>
      <c r="AO171" s="6">
        <f t="shared" si="38"/>
        <v>0</v>
      </c>
      <c r="AP171" s="6">
        <f t="shared" si="39"/>
        <v>0</v>
      </c>
      <c r="AQ171" s="6">
        <f t="shared" si="40"/>
        <v>0</v>
      </c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  <c r="BC171" s="6"/>
      <c r="BD171" s="6"/>
      <c r="BE171" s="6"/>
      <c r="BF171" s="6"/>
      <c r="BG171" s="6"/>
      <c r="BH171" s="6"/>
      <c r="BI171" s="6"/>
      <c r="BJ171" s="6"/>
      <c r="BK171" s="6"/>
      <c r="BL171" s="6"/>
      <c r="BM171" s="6"/>
      <c r="BN171" s="6"/>
      <c r="BO171" s="6"/>
      <c r="BP171" s="3">
        <v>6</v>
      </c>
      <c r="BQ171" s="6">
        <f t="shared" si="31"/>
        <v>0</v>
      </c>
    </row>
    <row r="172" spans="1:74" x14ac:dyDescent="0.3">
      <c r="A172" s="3" t="s">
        <v>17</v>
      </c>
      <c r="B172" s="3">
        <v>363</v>
      </c>
      <c r="C172" s="3" t="s">
        <v>306</v>
      </c>
      <c r="D172" s="3">
        <v>2</v>
      </c>
      <c r="E172" s="3">
        <v>1.5</v>
      </c>
      <c r="F172" s="3" t="s">
        <v>25</v>
      </c>
      <c r="G172" s="3" t="s">
        <v>25</v>
      </c>
      <c r="H172" s="3" t="s">
        <v>192</v>
      </c>
      <c r="I172" s="3"/>
      <c r="J172" s="3" t="s">
        <v>91</v>
      </c>
      <c r="K172" s="3" t="s">
        <v>307</v>
      </c>
      <c r="L172" s="3" t="s">
        <v>24</v>
      </c>
      <c r="M172" s="3">
        <v>2</v>
      </c>
      <c r="N172" s="6"/>
      <c r="O172" s="3">
        <v>2</v>
      </c>
      <c r="P172" s="3">
        <v>2</v>
      </c>
      <c r="Q172" s="3">
        <v>0</v>
      </c>
      <c r="R172" s="3">
        <v>0</v>
      </c>
      <c r="S172" s="3">
        <v>2</v>
      </c>
      <c r="T172" s="3">
        <v>0</v>
      </c>
      <c r="U172" s="3">
        <v>0</v>
      </c>
      <c r="V172" s="3">
        <f t="shared" si="32"/>
        <v>2</v>
      </c>
      <c r="W172" s="3">
        <v>0</v>
      </c>
      <c r="X172" s="3">
        <v>0</v>
      </c>
      <c r="Y172" s="3">
        <v>2</v>
      </c>
      <c r="Z172" s="3">
        <v>0</v>
      </c>
      <c r="AA172" s="3">
        <v>0</v>
      </c>
      <c r="AB172" s="3">
        <f t="shared" si="33"/>
        <v>2</v>
      </c>
      <c r="AC172" s="6">
        <f t="shared" si="41"/>
        <v>0</v>
      </c>
      <c r="AD172" s="6">
        <f t="shared" si="42"/>
        <v>0</v>
      </c>
      <c r="AE172" s="6">
        <f t="shared" si="43"/>
        <v>0</v>
      </c>
      <c r="AF172" s="6">
        <f t="shared" si="44"/>
        <v>0</v>
      </c>
      <c r="AG172" s="6">
        <f t="shared" si="45"/>
        <v>0</v>
      </c>
      <c r="AH172" s="6">
        <f t="shared" si="34"/>
        <v>0</v>
      </c>
      <c r="AI172" s="3"/>
      <c r="AJ172" s="3" t="e">
        <f>_xlfn.XLOOKUP(K172,工作表1!A:A,工作表1!C:C)</f>
        <v>#N/A</v>
      </c>
      <c r="AK172" s="3"/>
      <c r="AL172" s="6">
        <f t="shared" si="35"/>
        <v>0</v>
      </c>
      <c r="AM172" s="6">
        <f t="shared" si="36"/>
        <v>0</v>
      </c>
      <c r="AN172" s="6">
        <f t="shared" si="37"/>
        <v>2</v>
      </c>
      <c r="AO172" s="6">
        <f t="shared" si="38"/>
        <v>0</v>
      </c>
      <c r="AP172" s="6">
        <f t="shared" si="39"/>
        <v>0</v>
      </c>
      <c r="AQ172" s="6">
        <f t="shared" si="40"/>
        <v>2</v>
      </c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  <c r="BC172" s="6"/>
      <c r="BD172" s="6">
        <v>2</v>
      </c>
      <c r="BE172" s="6"/>
      <c r="BF172" s="6"/>
      <c r="BG172" s="6"/>
      <c r="BH172" s="6"/>
      <c r="BI172" s="6"/>
      <c r="BJ172" s="6"/>
      <c r="BK172" s="6"/>
      <c r="BL172" s="6"/>
      <c r="BM172" s="6"/>
      <c r="BN172" s="6"/>
      <c r="BO172" s="6"/>
      <c r="BP172" s="3">
        <v>2</v>
      </c>
      <c r="BQ172" s="6">
        <f t="shared" si="31"/>
        <v>2</v>
      </c>
      <c r="BV172">
        <v>2</v>
      </c>
    </row>
    <row r="173" spans="1:74" x14ac:dyDescent="0.3">
      <c r="A173" s="3" t="s">
        <v>17</v>
      </c>
      <c r="B173" s="3">
        <v>363</v>
      </c>
      <c r="C173" s="3" t="s">
        <v>306</v>
      </c>
      <c r="D173" s="3">
        <v>1</v>
      </c>
      <c r="E173" s="3">
        <v>0.5</v>
      </c>
      <c r="F173" s="3" t="s">
        <v>41</v>
      </c>
      <c r="G173" s="3" t="s">
        <v>41</v>
      </c>
      <c r="H173" s="3" t="s">
        <v>308</v>
      </c>
      <c r="I173" s="3"/>
      <c r="J173" s="3" t="s">
        <v>91</v>
      </c>
      <c r="K173" s="3" t="s">
        <v>309</v>
      </c>
      <c r="L173" s="3" t="s">
        <v>24</v>
      </c>
      <c r="M173" s="3">
        <v>22</v>
      </c>
      <c r="N173" s="6"/>
      <c r="O173" s="3">
        <v>12</v>
      </c>
      <c r="P173" s="3">
        <v>12</v>
      </c>
      <c r="Q173" s="3">
        <v>0</v>
      </c>
      <c r="R173" s="3">
        <v>0</v>
      </c>
      <c r="S173" s="3">
        <v>0</v>
      </c>
      <c r="T173" s="3">
        <v>12</v>
      </c>
      <c r="U173" s="3">
        <v>0</v>
      </c>
      <c r="V173" s="3">
        <f t="shared" si="32"/>
        <v>12</v>
      </c>
      <c r="W173" s="3">
        <v>0</v>
      </c>
      <c r="X173" s="3">
        <v>0</v>
      </c>
      <c r="Y173" s="3">
        <v>0</v>
      </c>
      <c r="Z173" s="3">
        <v>12</v>
      </c>
      <c r="AA173" s="3">
        <v>0</v>
      </c>
      <c r="AB173" s="3">
        <f t="shared" si="33"/>
        <v>12</v>
      </c>
      <c r="AC173" s="6">
        <f t="shared" si="41"/>
        <v>0</v>
      </c>
      <c r="AD173" s="6">
        <f t="shared" si="42"/>
        <v>0</v>
      </c>
      <c r="AE173" s="6">
        <f t="shared" si="43"/>
        <v>0</v>
      </c>
      <c r="AF173" s="6">
        <f t="shared" si="44"/>
        <v>0</v>
      </c>
      <c r="AG173" s="6">
        <f t="shared" si="45"/>
        <v>0</v>
      </c>
      <c r="AH173" s="6">
        <f t="shared" si="34"/>
        <v>0</v>
      </c>
      <c r="AI173" s="3"/>
      <c r="AJ173" s="3" t="e">
        <f>_xlfn.XLOOKUP(K173,工作表1!A:A,工作表1!C:C)</f>
        <v>#N/A</v>
      </c>
      <c r="AK173" s="3"/>
      <c r="AL173" s="6">
        <f t="shared" si="35"/>
        <v>0</v>
      </c>
      <c r="AM173" s="6">
        <f t="shared" si="36"/>
        <v>0</v>
      </c>
      <c r="AN173" s="6">
        <f t="shared" si="37"/>
        <v>0</v>
      </c>
      <c r="AO173" s="6">
        <f t="shared" si="38"/>
        <v>12</v>
      </c>
      <c r="AP173" s="6">
        <f t="shared" si="39"/>
        <v>0</v>
      </c>
      <c r="AQ173" s="6">
        <f t="shared" si="40"/>
        <v>12</v>
      </c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  <c r="BC173" s="6"/>
      <c r="BD173" s="6"/>
      <c r="BE173" s="6"/>
      <c r="BF173" s="6"/>
      <c r="BG173" s="6"/>
      <c r="BH173" s="6">
        <v>12</v>
      </c>
      <c r="BI173" s="6"/>
      <c r="BJ173" s="6"/>
      <c r="BK173" s="6"/>
      <c r="BL173" s="6"/>
      <c r="BM173" s="6"/>
      <c r="BN173" s="6"/>
      <c r="BO173" s="6"/>
      <c r="BP173" s="3">
        <v>12</v>
      </c>
      <c r="BQ173" s="6">
        <f t="shared" si="31"/>
        <v>12</v>
      </c>
      <c r="BV173">
        <v>12</v>
      </c>
    </row>
    <row r="174" spans="1:74" x14ac:dyDescent="0.3">
      <c r="A174" s="3" t="s">
        <v>17</v>
      </c>
      <c r="B174" s="3">
        <v>363</v>
      </c>
      <c r="C174" s="3" t="s">
        <v>306</v>
      </c>
      <c r="D174" s="3">
        <v>1</v>
      </c>
      <c r="E174" s="3">
        <v>0.75</v>
      </c>
      <c r="F174" s="3" t="s">
        <v>41</v>
      </c>
      <c r="G174" s="3" t="s">
        <v>41</v>
      </c>
      <c r="H174" s="3" t="s">
        <v>199</v>
      </c>
      <c r="I174" s="3"/>
      <c r="J174" s="3" t="s">
        <v>91</v>
      </c>
      <c r="K174" s="3" t="s">
        <v>310</v>
      </c>
      <c r="L174" s="3" t="s">
        <v>24</v>
      </c>
      <c r="M174" s="3">
        <v>3</v>
      </c>
      <c r="N174" s="6"/>
      <c r="O174" s="3">
        <v>3</v>
      </c>
      <c r="P174" s="3">
        <v>3</v>
      </c>
      <c r="Q174" s="3">
        <v>0</v>
      </c>
      <c r="R174" s="3">
        <v>0</v>
      </c>
      <c r="S174" s="3">
        <v>0</v>
      </c>
      <c r="T174" s="3">
        <v>3</v>
      </c>
      <c r="U174" s="3">
        <v>0</v>
      </c>
      <c r="V174" s="3">
        <f t="shared" si="32"/>
        <v>3</v>
      </c>
      <c r="W174" s="3">
        <v>0</v>
      </c>
      <c r="X174" s="3">
        <v>0</v>
      </c>
      <c r="Y174" s="3">
        <v>0</v>
      </c>
      <c r="Z174" s="3">
        <v>3</v>
      </c>
      <c r="AA174" s="3">
        <v>0</v>
      </c>
      <c r="AB174" s="3">
        <f t="shared" si="33"/>
        <v>3</v>
      </c>
      <c r="AC174" s="6">
        <f t="shared" si="41"/>
        <v>0</v>
      </c>
      <c r="AD174" s="6">
        <f t="shared" si="42"/>
        <v>0</v>
      </c>
      <c r="AE174" s="6">
        <f t="shared" si="43"/>
        <v>0</v>
      </c>
      <c r="AF174" s="6">
        <f t="shared" si="44"/>
        <v>0</v>
      </c>
      <c r="AG174" s="6">
        <f t="shared" si="45"/>
        <v>0</v>
      </c>
      <c r="AH174" s="6">
        <f t="shared" si="34"/>
        <v>0</v>
      </c>
      <c r="AI174" s="3"/>
      <c r="AJ174" s="3" t="e">
        <f>_xlfn.XLOOKUP(K174,工作表1!A:A,工作表1!C:C)</f>
        <v>#N/A</v>
      </c>
      <c r="AK174" s="3"/>
      <c r="AL174" s="6">
        <f t="shared" si="35"/>
        <v>0</v>
      </c>
      <c r="AM174" s="6">
        <f t="shared" si="36"/>
        <v>0</v>
      </c>
      <c r="AN174" s="6">
        <f t="shared" si="37"/>
        <v>0</v>
      </c>
      <c r="AO174" s="6">
        <f t="shared" si="38"/>
        <v>3</v>
      </c>
      <c r="AP174" s="6">
        <f t="shared" si="39"/>
        <v>0</v>
      </c>
      <c r="AQ174" s="6">
        <f t="shared" si="40"/>
        <v>3</v>
      </c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  <c r="BC174" s="6"/>
      <c r="BD174" s="6"/>
      <c r="BE174" s="6"/>
      <c r="BF174" s="6"/>
      <c r="BG174" s="6"/>
      <c r="BH174" s="6">
        <v>3</v>
      </c>
      <c r="BI174" s="6"/>
      <c r="BJ174" s="6"/>
      <c r="BK174" s="6"/>
      <c r="BL174" s="6"/>
      <c r="BM174" s="6"/>
      <c r="BN174" s="6"/>
      <c r="BO174" s="6"/>
      <c r="BP174" s="3">
        <v>3</v>
      </c>
      <c r="BQ174" s="6">
        <f t="shared" si="31"/>
        <v>3</v>
      </c>
      <c r="BV174">
        <v>3</v>
      </c>
    </row>
    <row r="175" spans="1:74" x14ac:dyDescent="0.3">
      <c r="A175" s="3" t="s">
        <v>17</v>
      </c>
      <c r="B175" s="3">
        <v>363</v>
      </c>
      <c r="C175" s="3" t="s">
        <v>311</v>
      </c>
      <c r="D175" s="3">
        <v>6</v>
      </c>
      <c r="E175" s="3">
        <v>4</v>
      </c>
      <c r="F175" s="3" t="s">
        <v>20</v>
      </c>
      <c r="G175" s="3" t="s">
        <v>20</v>
      </c>
      <c r="H175" s="3" t="s">
        <v>186</v>
      </c>
      <c r="I175" s="3"/>
      <c r="J175" s="3" t="s">
        <v>91</v>
      </c>
      <c r="K175" s="3" t="s">
        <v>312</v>
      </c>
      <c r="L175" s="3" t="s">
        <v>24</v>
      </c>
      <c r="M175" s="3">
        <v>6</v>
      </c>
      <c r="N175" s="6"/>
      <c r="O175" s="3">
        <v>2</v>
      </c>
      <c r="P175" s="3">
        <v>2</v>
      </c>
      <c r="Q175" s="3">
        <v>0</v>
      </c>
      <c r="R175" s="3">
        <v>0</v>
      </c>
      <c r="S175" s="3">
        <v>0</v>
      </c>
      <c r="T175" s="3">
        <v>2</v>
      </c>
      <c r="U175" s="3">
        <v>0</v>
      </c>
      <c r="V175" s="3">
        <f t="shared" si="32"/>
        <v>2</v>
      </c>
      <c r="W175" s="3">
        <v>0</v>
      </c>
      <c r="X175" s="3">
        <v>0</v>
      </c>
      <c r="Y175" s="3">
        <v>0</v>
      </c>
      <c r="Z175" s="3">
        <v>2</v>
      </c>
      <c r="AA175" s="3">
        <v>0</v>
      </c>
      <c r="AB175" s="3">
        <f t="shared" si="33"/>
        <v>2</v>
      </c>
      <c r="AC175" s="6">
        <f t="shared" si="41"/>
        <v>0</v>
      </c>
      <c r="AD175" s="6">
        <f t="shared" si="42"/>
        <v>0</v>
      </c>
      <c r="AE175" s="6">
        <f t="shared" si="43"/>
        <v>0</v>
      </c>
      <c r="AF175" s="6">
        <f t="shared" si="44"/>
        <v>0</v>
      </c>
      <c r="AG175" s="6">
        <f t="shared" si="45"/>
        <v>0</v>
      </c>
      <c r="AH175" s="6">
        <f t="shared" si="34"/>
        <v>0</v>
      </c>
      <c r="AI175" s="3"/>
      <c r="AJ175" s="3">
        <f>_xlfn.XLOOKUP(K175,工作表1!A:A,工作表1!C:C)</f>
        <v>2</v>
      </c>
      <c r="AK175" s="3" t="s">
        <v>1483</v>
      </c>
      <c r="AL175" s="6">
        <f t="shared" si="35"/>
        <v>0</v>
      </c>
      <c r="AM175" s="6">
        <f t="shared" si="36"/>
        <v>0</v>
      </c>
      <c r="AN175" s="6">
        <f t="shared" si="37"/>
        <v>0</v>
      </c>
      <c r="AO175" s="6">
        <f t="shared" si="38"/>
        <v>2</v>
      </c>
      <c r="AP175" s="6">
        <f t="shared" si="39"/>
        <v>0</v>
      </c>
      <c r="AQ175" s="6">
        <f t="shared" si="40"/>
        <v>2</v>
      </c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  <c r="BC175" s="6"/>
      <c r="BD175" s="6"/>
      <c r="BE175" s="6"/>
      <c r="BF175" s="6"/>
      <c r="BG175" s="6"/>
      <c r="BH175" s="6">
        <v>2</v>
      </c>
      <c r="BI175" s="6"/>
      <c r="BJ175" s="6"/>
      <c r="BK175" s="6"/>
      <c r="BL175" s="6"/>
      <c r="BM175" s="6"/>
      <c r="BN175" s="6"/>
      <c r="BO175" s="6"/>
      <c r="BP175" s="3">
        <v>2</v>
      </c>
      <c r="BQ175" s="6">
        <f t="shared" si="31"/>
        <v>2</v>
      </c>
      <c r="BV175">
        <v>2</v>
      </c>
    </row>
    <row r="176" spans="1:74" x14ac:dyDescent="0.3">
      <c r="A176" s="3" t="s">
        <v>17</v>
      </c>
      <c r="B176" s="3">
        <v>363</v>
      </c>
      <c r="C176" s="3" t="s">
        <v>311</v>
      </c>
      <c r="D176" s="3">
        <v>4</v>
      </c>
      <c r="E176" s="3">
        <v>3</v>
      </c>
      <c r="F176" s="3" t="s">
        <v>20</v>
      </c>
      <c r="G176" s="3" t="s">
        <v>20</v>
      </c>
      <c r="H176" s="3" t="s">
        <v>313</v>
      </c>
      <c r="I176" s="3"/>
      <c r="J176" s="3" t="s">
        <v>91</v>
      </c>
      <c r="K176" s="3" t="s">
        <v>314</v>
      </c>
      <c r="L176" s="3" t="s">
        <v>24</v>
      </c>
      <c r="M176" s="3">
        <v>1</v>
      </c>
      <c r="N176" s="6"/>
      <c r="O176" s="3">
        <v>1</v>
      </c>
      <c r="P176" s="3">
        <v>1</v>
      </c>
      <c r="Q176" s="3">
        <v>0</v>
      </c>
      <c r="R176" s="3">
        <v>0</v>
      </c>
      <c r="S176" s="3">
        <v>0</v>
      </c>
      <c r="T176" s="3">
        <v>1</v>
      </c>
      <c r="U176" s="3">
        <v>0</v>
      </c>
      <c r="V176" s="3">
        <f t="shared" si="32"/>
        <v>1</v>
      </c>
      <c r="W176" s="3">
        <v>0</v>
      </c>
      <c r="X176" s="3">
        <v>0</v>
      </c>
      <c r="Y176" s="3">
        <v>0</v>
      </c>
      <c r="Z176" s="3">
        <v>1</v>
      </c>
      <c r="AA176" s="3">
        <v>0</v>
      </c>
      <c r="AB176" s="3">
        <f t="shared" si="33"/>
        <v>1</v>
      </c>
      <c r="AC176" s="6">
        <f t="shared" si="41"/>
        <v>0</v>
      </c>
      <c r="AD176" s="6">
        <f t="shared" si="42"/>
        <v>0</v>
      </c>
      <c r="AE176" s="6">
        <f t="shared" si="43"/>
        <v>0</v>
      </c>
      <c r="AF176" s="6">
        <f t="shared" si="44"/>
        <v>0</v>
      </c>
      <c r="AG176" s="6">
        <f t="shared" si="45"/>
        <v>0</v>
      </c>
      <c r="AH176" s="6">
        <f t="shared" si="34"/>
        <v>0</v>
      </c>
      <c r="AI176" s="3"/>
      <c r="AJ176" s="3">
        <f>_xlfn.XLOOKUP(K176,工作表1!A:A,工作表1!C:C)</f>
        <v>1</v>
      </c>
      <c r="AK176" s="3" t="s">
        <v>1483</v>
      </c>
      <c r="AL176" s="6">
        <f t="shared" si="35"/>
        <v>0</v>
      </c>
      <c r="AM176" s="6">
        <f t="shared" si="36"/>
        <v>0</v>
      </c>
      <c r="AN176" s="6">
        <f t="shared" si="37"/>
        <v>0</v>
      </c>
      <c r="AO176" s="6">
        <f t="shared" si="38"/>
        <v>1</v>
      </c>
      <c r="AP176" s="6">
        <f t="shared" si="39"/>
        <v>0</v>
      </c>
      <c r="AQ176" s="6">
        <f t="shared" si="40"/>
        <v>1</v>
      </c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  <c r="BC176" s="6"/>
      <c r="BD176" s="6"/>
      <c r="BE176" s="6"/>
      <c r="BF176" s="6"/>
      <c r="BG176" s="6"/>
      <c r="BH176" s="6">
        <v>1</v>
      </c>
      <c r="BI176" s="6"/>
      <c r="BJ176" s="6"/>
      <c r="BK176" s="6"/>
      <c r="BL176" s="6"/>
      <c r="BM176" s="6"/>
      <c r="BN176" s="6"/>
      <c r="BO176" s="6"/>
      <c r="BP176" s="3">
        <v>1</v>
      </c>
      <c r="BQ176" s="6">
        <f t="shared" si="31"/>
        <v>1</v>
      </c>
      <c r="BV176">
        <v>1</v>
      </c>
    </row>
    <row r="177" spans="1:70" x14ac:dyDescent="0.3">
      <c r="A177" s="3" t="s">
        <v>17</v>
      </c>
      <c r="B177" s="3">
        <v>363</v>
      </c>
      <c r="C177" s="3" t="s">
        <v>311</v>
      </c>
      <c r="D177" s="3">
        <v>3</v>
      </c>
      <c r="E177" s="3">
        <v>2</v>
      </c>
      <c r="F177" s="3" t="s">
        <v>20</v>
      </c>
      <c r="G177" s="3" t="s">
        <v>25</v>
      </c>
      <c r="H177" s="3" t="s">
        <v>304</v>
      </c>
      <c r="I177" s="3"/>
      <c r="J177" s="3" t="s">
        <v>91</v>
      </c>
      <c r="K177" s="3" t="s">
        <v>315</v>
      </c>
      <c r="L177" s="3" t="s">
        <v>24</v>
      </c>
      <c r="M177" s="3">
        <v>2</v>
      </c>
      <c r="N177" s="6"/>
      <c r="O177" s="3">
        <v>2</v>
      </c>
      <c r="P177" s="3">
        <v>2</v>
      </c>
      <c r="Q177" s="3">
        <v>0</v>
      </c>
      <c r="R177" s="3">
        <v>2</v>
      </c>
      <c r="S177" s="3">
        <v>0</v>
      </c>
      <c r="T177" s="3">
        <v>0</v>
      </c>
      <c r="U177" s="3">
        <v>0</v>
      </c>
      <c r="V177" s="3">
        <f t="shared" si="32"/>
        <v>2</v>
      </c>
      <c r="W177" s="3">
        <v>0</v>
      </c>
      <c r="X177" s="3">
        <v>2</v>
      </c>
      <c r="Y177" s="3">
        <v>0</v>
      </c>
      <c r="Z177" s="3">
        <v>0</v>
      </c>
      <c r="AA177" s="3">
        <v>0</v>
      </c>
      <c r="AB177" s="3">
        <f t="shared" si="33"/>
        <v>2</v>
      </c>
      <c r="AC177" s="6">
        <f t="shared" si="41"/>
        <v>0</v>
      </c>
      <c r="AD177" s="6">
        <f t="shared" si="42"/>
        <v>-2</v>
      </c>
      <c r="AE177" s="6">
        <f t="shared" si="43"/>
        <v>0</v>
      </c>
      <c r="AF177" s="6">
        <f t="shared" si="44"/>
        <v>0</v>
      </c>
      <c r="AG177" s="6">
        <f t="shared" si="45"/>
        <v>0</v>
      </c>
      <c r="AH177" s="6">
        <f t="shared" si="34"/>
        <v>-2</v>
      </c>
      <c r="AI177" s="3"/>
      <c r="AJ177" s="3" t="e">
        <f>_xlfn.XLOOKUP(K177,工作表1!A:A,工作表1!C:C)</f>
        <v>#N/A</v>
      </c>
      <c r="AK177" s="3"/>
      <c r="AL177" s="6">
        <f t="shared" si="35"/>
        <v>0</v>
      </c>
      <c r="AM177" s="6">
        <f t="shared" si="36"/>
        <v>0</v>
      </c>
      <c r="AN177" s="6">
        <f t="shared" si="37"/>
        <v>0</v>
      </c>
      <c r="AO177" s="6">
        <f t="shared" si="38"/>
        <v>0</v>
      </c>
      <c r="AP177" s="6">
        <f t="shared" si="39"/>
        <v>0</v>
      </c>
      <c r="AQ177" s="6">
        <f t="shared" si="40"/>
        <v>0</v>
      </c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  <c r="BC177" s="6"/>
      <c r="BD177" s="6"/>
      <c r="BE177" s="6"/>
      <c r="BF177" s="6"/>
      <c r="BG177" s="6"/>
      <c r="BH177" s="6"/>
      <c r="BI177" s="6"/>
      <c r="BJ177" s="6"/>
      <c r="BK177" s="6"/>
      <c r="BL177" s="6"/>
      <c r="BM177" s="6"/>
      <c r="BN177" s="6"/>
      <c r="BO177" s="6"/>
      <c r="BP177" s="3">
        <v>2</v>
      </c>
      <c r="BQ177" s="6">
        <f t="shared" si="31"/>
        <v>0</v>
      </c>
    </row>
    <row r="178" spans="1:70" x14ac:dyDescent="0.3">
      <c r="A178" s="3" t="s">
        <v>17</v>
      </c>
      <c r="B178" s="3">
        <v>363</v>
      </c>
      <c r="C178" s="3" t="s">
        <v>316</v>
      </c>
      <c r="D178" s="3">
        <v>4</v>
      </c>
      <c r="E178" s="3">
        <v>2</v>
      </c>
      <c r="F178" s="3" t="s">
        <v>45</v>
      </c>
      <c r="G178" s="3" t="s">
        <v>41</v>
      </c>
      <c r="H178" s="3" t="s">
        <v>317</v>
      </c>
      <c r="I178" s="3"/>
      <c r="J178" s="3" t="s">
        <v>91</v>
      </c>
      <c r="K178" s="3" t="s">
        <v>318</v>
      </c>
      <c r="L178" s="3" t="s">
        <v>24</v>
      </c>
      <c r="M178" s="3">
        <v>1</v>
      </c>
      <c r="N178" s="6"/>
      <c r="O178" s="3">
        <v>1</v>
      </c>
      <c r="P178" s="3">
        <v>1</v>
      </c>
      <c r="Q178" s="3">
        <v>0</v>
      </c>
      <c r="R178" s="3">
        <v>0</v>
      </c>
      <c r="S178" s="3">
        <v>0</v>
      </c>
      <c r="T178" s="3">
        <v>1</v>
      </c>
      <c r="U178" s="3">
        <v>0</v>
      </c>
      <c r="V178" s="3">
        <f t="shared" si="32"/>
        <v>1</v>
      </c>
      <c r="W178" s="3">
        <v>0</v>
      </c>
      <c r="X178" s="3">
        <v>0</v>
      </c>
      <c r="Y178" s="3">
        <v>0</v>
      </c>
      <c r="Z178" s="3">
        <v>1</v>
      </c>
      <c r="AA178" s="3">
        <v>0</v>
      </c>
      <c r="AB178" s="3">
        <f t="shared" si="33"/>
        <v>1</v>
      </c>
      <c r="AC178" s="6">
        <f t="shared" si="41"/>
        <v>0</v>
      </c>
      <c r="AD178" s="6">
        <f t="shared" si="42"/>
        <v>0</v>
      </c>
      <c r="AE178" s="6">
        <f t="shared" si="43"/>
        <v>0</v>
      </c>
      <c r="AF178" s="6">
        <f t="shared" si="44"/>
        <v>-1</v>
      </c>
      <c r="AG178" s="6">
        <f t="shared" si="45"/>
        <v>0</v>
      </c>
      <c r="AH178" s="6">
        <f t="shared" si="34"/>
        <v>-1</v>
      </c>
      <c r="AI178" s="3"/>
      <c r="AJ178" s="3" t="e">
        <f>_xlfn.XLOOKUP(K178,工作表1!A:A,工作表1!C:C)</f>
        <v>#N/A</v>
      </c>
      <c r="AK178" s="3"/>
      <c r="AL178" s="6">
        <f t="shared" si="35"/>
        <v>0</v>
      </c>
      <c r="AM178" s="6">
        <f t="shared" si="36"/>
        <v>0</v>
      </c>
      <c r="AN178" s="6">
        <f t="shared" si="37"/>
        <v>0</v>
      </c>
      <c r="AO178" s="6">
        <f t="shared" si="38"/>
        <v>0</v>
      </c>
      <c r="AP178" s="6">
        <f t="shared" si="39"/>
        <v>0</v>
      </c>
      <c r="AQ178" s="6">
        <f t="shared" si="40"/>
        <v>0</v>
      </c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  <c r="BC178" s="6"/>
      <c r="BD178" s="6"/>
      <c r="BE178" s="6"/>
      <c r="BF178" s="6"/>
      <c r="BG178" s="6"/>
      <c r="BH178" s="6"/>
      <c r="BI178" s="6"/>
      <c r="BJ178" s="6"/>
      <c r="BK178" s="6"/>
      <c r="BL178" s="6"/>
      <c r="BM178" s="6"/>
      <c r="BN178" s="6"/>
      <c r="BO178" s="6"/>
      <c r="BP178" s="3">
        <v>1</v>
      </c>
      <c r="BQ178" s="6">
        <f t="shared" si="31"/>
        <v>0</v>
      </c>
    </row>
    <row r="179" spans="1:70" x14ac:dyDescent="0.3">
      <c r="A179" s="3" t="s">
        <v>17</v>
      </c>
      <c r="B179" s="3">
        <v>363</v>
      </c>
      <c r="C179" s="3" t="s">
        <v>316</v>
      </c>
      <c r="D179" s="3">
        <v>4</v>
      </c>
      <c r="E179" s="3">
        <v>3</v>
      </c>
      <c r="F179" s="3" t="s">
        <v>45</v>
      </c>
      <c r="G179" s="3" t="s">
        <v>41</v>
      </c>
      <c r="H179" s="3" t="s">
        <v>319</v>
      </c>
      <c r="I179" s="3"/>
      <c r="J179" s="3" t="s">
        <v>91</v>
      </c>
      <c r="K179" s="3" t="s">
        <v>320</v>
      </c>
      <c r="L179" s="3" t="s">
        <v>24</v>
      </c>
      <c r="M179" s="3">
        <v>1</v>
      </c>
      <c r="N179" s="6"/>
      <c r="O179" s="3">
        <v>1</v>
      </c>
      <c r="P179" s="3">
        <v>1</v>
      </c>
      <c r="Q179" s="3">
        <v>0</v>
      </c>
      <c r="R179" s="3">
        <v>0</v>
      </c>
      <c r="S179" s="3">
        <v>0</v>
      </c>
      <c r="T179" s="3">
        <v>1</v>
      </c>
      <c r="U179" s="3">
        <v>0</v>
      </c>
      <c r="V179" s="3">
        <f t="shared" si="32"/>
        <v>1</v>
      </c>
      <c r="W179" s="3">
        <v>0</v>
      </c>
      <c r="X179" s="3">
        <v>0</v>
      </c>
      <c r="Y179" s="3">
        <v>0</v>
      </c>
      <c r="Z179" s="3">
        <v>1</v>
      </c>
      <c r="AA179" s="3">
        <v>0</v>
      </c>
      <c r="AB179" s="3">
        <f t="shared" si="33"/>
        <v>1</v>
      </c>
      <c r="AC179" s="6">
        <f t="shared" si="41"/>
        <v>0</v>
      </c>
      <c r="AD179" s="6">
        <f t="shared" si="42"/>
        <v>0</v>
      </c>
      <c r="AE179" s="6">
        <f t="shared" si="43"/>
        <v>0</v>
      </c>
      <c r="AF179" s="6">
        <f t="shared" si="44"/>
        <v>-1</v>
      </c>
      <c r="AG179" s="6">
        <f t="shared" si="45"/>
        <v>0</v>
      </c>
      <c r="AH179" s="6">
        <f t="shared" si="34"/>
        <v>-1</v>
      </c>
      <c r="AI179" s="3"/>
      <c r="AJ179" s="3" t="e">
        <f>_xlfn.XLOOKUP(K179,工作表1!A:A,工作表1!C:C)</f>
        <v>#N/A</v>
      </c>
      <c r="AK179" s="3"/>
      <c r="AL179" s="6">
        <f t="shared" si="35"/>
        <v>0</v>
      </c>
      <c r="AM179" s="6">
        <f t="shared" si="36"/>
        <v>0</v>
      </c>
      <c r="AN179" s="6">
        <f t="shared" si="37"/>
        <v>0</v>
      </c>
      <c r="AO179" s="6">
        <f t="shared" si="38"/>
        <v>0</v>
      </c>
      <c r="AP179" s="6">
        <f t="shared" si="39"/>
        <v>0</v>
      </c>
      <c r="AQ179" s="6">
        <f t="shared" si="40"/>
        <v>0</v>
      </c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  <c r="BC179" s="6"/>
      <c r="BD179" s="6"/>
      <c r="BE179" s="6"/>
      <c r="BF179" s="6"/>
      <c r="BG179" s="6"/>
      <c r="BH179" s="6"/>
      <c r="BI179" s="6"/>
      <c r="BJ179" s="6"/>
      <c r="BK179" s="6"/>
      <c r="BL179" s="6"/>
      <c r="BM179" s="6"/>
      <c r="BN179" s="6"/>
      <c r="BO179" s="6"/>
      <c r="BP179" s="3">
        <v>1</v>
      </c>
      <c r="BQ179" s="6">
        <f t="shared" si="31"/>
        <v>0</v>
      </c>
    </row>
    <row r="180" spans="1:70" x14ac:dyDescent="0.3">
      <c r="A180" s="3" t="s">
        <v>17</v>
      </c>
      <c r="B180" s="3">
        <v>363</v>
      </c>
      <c r="C180" s="3" t="s">
        <v>316</v>
      </c>
      <c r="D180" s="3">
        <v>3</v>
      </c>
      <c r="E180" s="3">
        <v>2</v>
      </c>
      <c r="F180" s="3" t="s">
        <v>20</v>
      </c>
      <c r="G180" s="3" t="s">
        <v>25</v>
      </c>
      <c r="H180" s="3" t="s">
        <v>304</v>
      </c>
      <c r="I180" s="3"/>
      <c r="J180" s="3" t="s">
        <v>91</v>
      </c>
      <c r="K180" s="3" t="s">
        <v>321</v>
      </c>
      <c r="L180" s="3" t="s">
        <v>24</v>
      </c>
      <c r="M180" s="3">
        <v>2</v>
      </c>
      <c r="N180" s="6"/>
      <c r="O180" s="3">
        <v>2</v>
      </c>
      <c r="P180" s="3">
        <v>2</v>
      </c>
      <c r="Q180" s="3">
        <v>0</v>
      </c>
      <c r="R180" s="3">
        <v>0</v>
      </c>
      <c r="S180" s="3">
        <v>2</v>
      </c>
      <c r="T180" s="3">
        <v>0</v>
      </c>
      <c r="U180" s="3">
        <v>0</v>
      </c>
      <c r="V180" s="3">
        <f t="shared" si="32"/>
        <v>2</v>
      </c>
      <c r="W180" s="3">
        <v>0</v>
      </c>
      <c r="X180" s="3">
        <v>0</v>
      </c>
      <c r="Y180" s="3">
        <v>2</v>
      </c>
      <c r="Z180" s="3">
        <v>0</v>
      </c>
      <c r="AA180" s="3">
        <v>0</v>
      </c>
      <c r="AB180" s="3">
        <f t="shared" si="33"/>
        <v>2</v>
      </c>
      <c r="AC180" s="6">
        <f t="shared" si="41"/>
        <v>0</v>
      </c>
      <c r="AD180" s="6">
        <f t="shared" si="42"/>
        <v>0</v>
      </c>
      <c r="AE180" s="6">
        <f t="shared" si="43"/>
        <v>-2</v>
      </c>
      <c r="AF180" s="6">
        <f t="shared" si="44"/>
        <v>0</v>
      </c>
      <c r="AG180" s="6">
        <f t="shared" si="45"/>
        <v>0</v>
      </c>
      <c r="AH180" s="6">
        <f t="shared" si="34"/>
        <v>-2</v>
      </c>
      <c r="AI180" s="3"/>
      <c r="AJ180" s="3" t="e">
        <f>_xlfn.XLOOKUP(K180,工作表1!A:A,工作表1!C:C)</f>
        <v>#N/A</v>
      </c>
      <c r="AK180" s="3"/>
      <c r="AL180" s="6">
        <f t="shared" si="35"/>
        <v>0</v>
      </c>
      <c r="AM180" s="6">
        <f t="shared" si="36"/>
        <v>0</v>
      </c>
      <c r="AN180" s="6">
        <f t="shared" si="37"/>
        <v>0</v>
      </c>
      <c r="AO180" s="6">
        <f t="shared" si="38"/>
        <v>0</v>
      </c>
      <c r="AP180" s="6">
        <f t="shared" si="39"/>
        <v>0</v>
      </c>
      <c r="AQ180" s="6">
        <f t="shared" si="40"/>
        <v>0</v>
      </c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  <c r="BC180" s="6"/>
      <c r="BD180" s="6"/>
      <c r="BE180" s="6"/>
      <c r="BF180" s="6"/>
      <c r="BG180" s="6"/>
      <c r="BH180" s="6"/>
      <c r="BI180" s="6"/>
      <c r="BJ180" s="6"/>
      <c r="BK180" s="6"/>
      <c r="BL180" s="6"/>
      <c r="BM180" s="6"/>
      <c r="BN180" s="6"/>
      <c r="BO180" s="6"/>
      <c r="BP180" s="3">
        <v>2</v>
      </c>
      <c r="BQ180" s="6">
        <f t="shared" si="31"/>
        <v>0</v>
      </c>
    </row>
    <row r="181" spans="1:70" x14ac:dyDescent="0.3">
      <c r="A181" s="3" t="s">
        <v>17</v>
      </c>
      <c r="B181" s="3">
        <v>363</v>
      </c>
      <c r="C181" s="3" t="s">
        <v>322</v>
      </c>
      <c r="D181" s="3">
        <v>8</v>
      </c>
      <c r="E181" s="3">
        <v>6</v>
      </c>
      <c r="F181" s="3" t="s">
        <v>69</v>
      </c>
      <c r="G181" s="3" t="s">
        <v>41</v>
      </c>
      <c r="H181" s="3" t="s">
        <v>204</v>
      </c>
      <c r="I181" s="3"/>
      <c r="J181" s="3" t="s">
        <v>91</v>
      </c>
      <c r="K181" s="3" t="s">
        <v>323</v>
      </c>
      <c r="L181" s="3" t="s">
        <v>24</v>
      </c>
      <c r="M181" s="3">
        <v>1</v>
      </c>
      <c r="N181" s="6"/>
      <c r="O181" s="3">
        <v>1</v>
      </c>
      <c r="P181" s="3">
        <v>1</v>
      </c>
      <c r="Q181" s="3">
        <v>0</v>
      </c>
      <c r="R181" s="3">
        <v>0</v>
      </c>
      <c r="S181" s="3">
        <v>1</v>
      </c>
      <c r="T181" s="3">
        <v>0</v>
      </c>
      <c r="U181" s="3">
        <v>0</v>
      </c>
      <c r="V181" s="3">
        <f t="shared" si="32"/>
        <v>1</v>
      </c>
      <c r="W181" s="3">
        <v>0</v>
      </c>
      <c r="X181" s="3">
        <v>0</v>
      </c>
      <c r="Y181" s="3">
        <v>1</v>
      </c>
      <c r="Z181" s="3">
        <v>0</v>
      </c>
      <c r="AA181" s="3">
        <v>0</v>
      </c>
      <c r="AB181" s="3">
        <f t="shared" si="33"/>
        <v>1</v>
      </c>
      <c r="AC181" s="6">
        <f t="shared" si="41"/>
        <v>0</v>
      </c>
      <c r="AD181" s="6">
        <f t="shared" si="42"/>
        <v>0</v>
      </c>
      <c r="AE181" s="6">
        <f t="shared" si="43"/>
        <v>-1</v>
      </c>
      <c r="AF181" s="6">
        <f t="shared" si="44"/>
        <v>0</v>
      </c>
      <c r="AG181" s="6">
        <f t="shared" si="45"/>
        <v>0</v>
      </c>
      <c r="AH181" s="6">
        <f t="shared" si="34"/>
        <v>-1</v>
      </c>
      <c r="AI181" s="3"/>
      <c r="AJ181" s="3" t="e">
        <f>_xlfn.XLOOKUP(K181,工作表1!A:A,工作表1!C:C)</f>
        <v>#N/A</v>
      </c>
      <c r="AK181" s="3"/>
      <c r="AL181" s="6">
        <f t="shared" si="35"/>
        <v>0</v>
      </c>
      <c r="AM181" s="6">
        <f t="shared" si="36"/>
        <v>0</v>
      </c>
      <c r="AN181" s="6">
        <f t="shared" si="37"/>
        <v>0</v>
      </c>
      <c r="AO181" s="6">
        <f t="shared" si="38"/>
        <v>0</v>
      </c>
      <c r="AP181" s="6">
        <f t="shared" si="39"/>
        <v>0</v>
      </c>
      <c r="AQ181" s="6">
        <f t="shared" si="40"/>
        <v>0</v>
      </c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  <c r="BC181" s="6"/>
      <c r="BD181" s="6"/>
      <c r="BE181" s="6"/>
      <c r="BF181" s="6"/>
      <c r="BG181" s="6"/>
      <c r="BH181" s="6"/>
      <c r="BI181" s="6"/>
      <c r="BJ181" s="6"/>
      <c r="BK181" s="6"/>
      <c r="BL181" s="6"/>
      <c r="BM181" s="6"/>
      <c r="BN181" s="6"/>
      <c r="BO181" s="6"/>
      <c r="BP181" s="3">
        <v>1</v>
      </c>
      <c r="BQ181" s="6">
        <f t="shared" si="31"/>
        <v>0</v>
      </c>
    </row>
    <row r="182" spans="1:70" x14ac:dyDescent="0.3">
      <c r="A182" s="3" t="s">
        <v>17</v>
      </c>
      <c r="B182" s="3">
        <v>371</v>
      </c>
      <c r="C182" s="3" t="s">
        <v>324</v>
      </c>
      <c r="D182" s="3">
        <v>1</v>
      </c>
      <c r="E182" s="3" t="s">
        <v>19</v>
      </c>
      <c r="F182" s="3" t="s">
        <v>19</v>
      </c>
      <c r="G182" s="3" t="s">
        <v>19</v>
      </c>
      <c r="H182" s="3" t="s">
        <v>101</v>
      </c>
      <c r="I182" s="3"/>
      <c r="J182" s="3" t="s">
        <v>91</v>
      </c>
      <c r="K182" s="3" t="s">
        <v>325</v>
      </c>
      <c r="L182" s="3" t="s">
        <v>24</v>
      </c>
      <c r="M182" s="3">
        <v>1</v>
      </c>
      <c r="N182" s="6"/>
      <c r="O182" s="3">
        <v>1</v>
      </c>
      <c r="P182" s="3">
        <v>1</v>
      </c>
      <c r="Q182" s="3">
        <v>0</v>
      </c>
      <c r="R182" s="3">
        <v>1</v>
      </c>
      <c r="S182" s="3">
        <v>0</v>
      </c>
      <c r="T182" s="3">
        <v>0</v>
      </c>
      <c r="U182" s="3">
        <v>0</v>
      </c>
      <c r="V182" s="3">
        <f t="shared" si="32"/>
        <v>1</v>
      </c>
      <c r="W182" s="3">
        <v>0</v>
      </c>
      <c r="X182" s="3">
        <v>1</v>
      </c>
      <c r="Y182" s="3">
        <v>0</v>
      </c>
      <c r="Z182" s="3">
        <v>0</v>
      </c>
      <c r="AA182" s="3">
        <v>0</v>
      </c>
      <c r="AB182" s="3">
        <f t="shared" si="33"/>
        <v>1</v>
      </c>
      <c r="AC182" s="6">
        <f t="shared" si="41"/>
        <v>0</v>
      </c>
      <c r="AD182" s="6">
        <f t="shared" si="42"/>
        <v>0</v>
      </c>
      <c r="AE182" s="6">
        <f t="shared" si="43"/>
        <v>0</v>
      </c>
      <c r="AF182" s="6">
        <f t="shared" si="44"/>
        <v>0</v>
      </c>
      <c r="AG182" s="6">
        <f t="shared" si="45"/>
        <v>0</v>
      </c>
      <c r="AH182" s="6">
        <f t="shared" si="34"/>
        <v>0</v>
      </c>
      <c r="AI182" s="3"/>
      <c r="AJ182" s="3" t="e">
        <f>_xlfn.XLOOKUP(K182,工作表1!A:A,工作表1!C:C)</f>
        <v>#N/A</v>
      </c>
      <c r="AK182" s="3"/>
      <c r="AL182" s="6">
        <f t="shared" si="35"/>
        <v>0</v>
      </c>
      <c r="AM182" s="6">
        <f t="shared" si="36"/>
        <v>1</v>
      </c>
      <c r="AN182" s="6">
        <f t="shared" si="37"/>
        <v>0</v>
      </c>
      <c r="AO182" s="6">
        <f t="shared" si="38"/>
        <v>0</v>
      </c>
      <c r="AP182" s="6">
        <f t="shared" si="39"/>
        <v>0</v>
      </c>
      <c r="AQ182" s="6">
        <f t="shared" si="40"/>
        <v>1</v>
      </c>
      <c r="AR182" s="6"/>
      <c r="AS182" s="6"/>
      <c r="AT182" s="6"/>
      <c r="AU182" s="6"/>
      <c r="AV182" s="6"/>
      <c r="AW182" s="6">
        <v>1</v>
      </c>
      <c r="AX182" s="6"/>
      <c r="AY182" s="6"/>
      <c r="AZ182" s="6"/>
      <c r="BA182" s="6"/>
      <c r="BB182" s="6"/>
      <c r="BC182" s="6"/>
      <c r="BD182" s="6"/>
      <c r="BE182" s="6"/>
      <c r="BF182" s="6"/>
      <c r="BG182" s="6"/>
      <c r="BH182" s="6"/>
      <c r="BI182" s="6"/>
      <c r="BJ182" s="6"/>
      <c r="BK182" s="6"/>
      <c r="BL182" s="6"/>
      <c r="BM182" s="6"/>
      <c r="BN182" s="6"/>
      <c r="BO182" s="6"/>
      <c r="BP182" s="3">
        <v>1</v>
      </c>
      <c r="BQ182" s="6">
        <f t="shared" si="31"/>
        <v>1</v>
      </c>
      <c r="BR182">
        <v>1</v>
      </c>
    </row>
    <row r="183" spans="1:70" x14ac:dyDescent="0.3">
      <c r="A183" s="3" t="s">
        <v>17</v>
      </c>
      <c r="B183" s="3">
        <v>371</v>
      </c>
      <c r="C183" s="3" t="s">
        <v>324</v>
      </c>
      <c r="D183" s="3">
        <v>0.75</v>
      </c>
      <c r="E183" s="3" t="s">
        <v>19</v>
      </c>
      <c r="F183" s="3" t="s">
        <v>19</v>
      </c>
      <c r="G183" s="3" t="s">
        <v>19</v>
      </c>
      <c r="H183" s="3" t="s">
        <v>103</v>
      </c>
      <c r="I183" s="3"/>
      <c r="J183" s="3" t="s">
        <v>91</v>
      </c>
      <c r="K183" s="3" t="s">
        <v>326</v>
      </c>
      <c r="L183" s="3" t="s">
        <v>24</v>
      </c>
      <c r="M183" s="3">
        <v>38</v>
      </c>
      <c r="N183" s="6"/>
      <c r="O183" s="3">
        <v>28</v>
      </c>
      <c r="P183" s="3">
        <v>28</v>
      </c>
      <c r="Q183" s="3">
        <v>0</v>
      </c>
      <c r="R183" s="3">
        <v>22</v>
      </c>
      <c r="S183" s="3">
        <v>0</v>
      </c>
      <c r="T183" s="3">
        <v>6</v>
      </c>
      <c r="U183" s="3">
        <v>0</v>
      </c>
      <c r="V183" s="3">
        <f t="shared" si="32"/>
        <v>28</v>
      </c>
      <c r="W183" s="3">
        <v>0</v>
      </c>
      <c r="X183" s="3">
        <v>22</v>
      </c>
      <c r="Y183" s="3">
        <v>0</v>
      </c>
      <c r="Z183" s="3">
        <v>6</v>
      </c>
      <c r="AA183" s="3">
        <v>0</v>
      </c>
      <c r="AB183" s="3">
        <f t="shared" si="33"/>
        <v>28</v>
      </c>
      <c r="AC183" s="6">
        <f t="shared" si="41"/>
        <v>0</v>
      </c>
      <c r="AD183" s="6">
        <f t="shared" si="42"/>
        <v>-22</v>
      </c>
      <c r="AE183" s="6">
        <f t="shared" si="43"/>
        <v>0</v>
      </c>
      <c r="AF183" s="6">
        <f t="shared" si="44"/>
        <v>-6</v>
      </c>
      <c r="AG183" s="6">
        <f t="shared" si="45"/>
        <v>0</v>
      </c>
      <c r="AH183" s="6">
        <f t="shared" si="34"/>
        <v>-28</v>
      </c>
      <c r="AI183" s="3"/>
      <c r="AJ183" s="3" t="e">
        <f>_xlfn.XLOOKUP(K183,工作表1!A:A,工作表1!C:C)</f>
        <v>#N/A</v>
      </c>
      <c r="AK183" s="3"/>
      <c r="AL183" s="6">
        <f t="shared" si="35"/>
        <v>0</v>
      </c>
      <c r="AM183" s="6">
        <f t="shared" si="36"/>
        <v>0</v>
      </c>
      <c r="AN183" s="6">
        <f t="shared" si="37"/>
        <v>0</v>
      </c>
      <c r="AO183" s="6">
        <f t="shared" si="38"/>
        <v>0</v>
      </c>
      <c r="AP183" s="6">
        <f t="shared" si="39"/>
        <v>0</v>
      </c>
      <c r="AQ183" s="6">
        <f t="shared" si="40"/>
        <v>0</v>
      </c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  <c r="BC183" s="6"/>
      <c r="BD183" s="6"/>
      <c r="BE183" s="6"/>
      <c r="BF183" s="6"/>
      <c r="BG183" s="6"/>
      <c r="BH183" s="6"/>
      <c r="BI183" s="6"/>
      <c r="BJ183" s="6"/>
      <c r="BK183" s="6"/>
      <c r="BL183" s="6"/>
      <c r="BM183" s="6"/>
      <c r="BN183" s="6"/>
      <c r="BO183" s="6"/>
      <c r="BP183" s="3">
        <v>28</v>
      </c>
      <c r="BQ183" s="6">
        <f t="shared" si="31"/>
        <v>0</v>
      </c>
    </row>
    <row r="184" spans="1:70" x14ac:dyDescent="0.3">
      <c r="A184" s="3" t="s">
        <v>17</v>
      </c>
      <c r="B184" s="3">
        <v>372</v>
      </c>
      <c r="C184" s="3" t="s">
        <v>327</v>
      </c>
      <c r="D184" s="3">
        <v>1.5</v>
      </c>
      <c r="E184" s="3" t="s">
        <v>19</v>
      </c>
      <c r="F184" s="3" t="s">
        <v>19</v>
      </c>
      <c r="G184" s="3" t="s">
        <v>19</v>
      </c>
      <c r="H184" s="3" t="s">
        <v>99</v>
      </c>
      <c r="I184" s="3"/>
      <c r="J184" s="3" t="s">
        <v>91</v>
      </c>
      <c r="K184" s="3" t="s">
        <v>328</v>
      </c>
      <c r="L184" s="3" t="s">
        <v>24</v>
      </c>
      <c r="M184" s="3">
        <v>1</v>
      </c>
      <c r="N184" s="6"/>
      <c r="O184" s="3">
        <v>1</v>
      </c>
      <c r="P184" s="3">
        <v>1</v>
      </c>
      <c r="Q184" s="3">
        <v>0</v>
      </c>
      <c r="R184" s="3">
        <v>1</v>
      </c>
      <c r="S184" s="3">
        <v>0</v>
      </c>
      <c r="T184" s="3">
        <v>0</v>
      </c>
      <c r="U184" s="3">
        <v>0</v>
      </c>
      <c r="V184" s="3">
        <f t="shared" si="32"/>
        <v>1</v>
      </c>
      <c r="W184" s="3">
        <v>0</v>
      </c>
      <c r="X184" s="3">
        <v>1</v>
      </c>
      <c r="Y184" s="3">
        <v>0</v>
      </c>
      <c r="Z184" s="3">
        <v>0</v>
      </c>
      <c r="AA184" s="3">
        <v>0</v>
      </c>
      <c r="AB184" s="3">
        <f t="shared" si="33"/>
        <v>1</v>
      </c>
      <c r="AC184" s="6">
        <f t="shared" si="41"/>
        <v>0</v>
      </c>
      <c r="AD184" s="6">
        <f t="shared" si="42"/>
        <v>0</v>
      </c>
      <c r="AE184" s="6">
        <f t="shared" si="43"/>
        <v>0</v>
      </c>
      <c r="AF184" s="6">
        <f t="shared" si="44"/>
        <v>0</v>
      </c>
      <c r="AG184" s="6">
        <f t="shared" si="45"/>
        <v>0</v>
      </c>
      <c r="AH184" s="6">
        <f t="shared" si="34"/>
        <v>0</v>
      </c>
      <c r="AI184" s="3"/>
      <c r="AJ184" s="3" t="e">
        <f>_xlfn.XLOOKUP(K184,工作表1!A:A,工作表1!C:C)</f>
        <v>#N/A</v>
      </c>
      <c r="AK184" s="3"/>
      <c r="AL184" s="6">
        <f t="shared" si="35"/>
        <v>0</v>
      </c>
      <c r="AM184" s="6">
        <f t="shared" si="36"/>
        <v>1</v>
      </c>
      <c r="AN184" s="6">
        <f t="shared" si="37"/>
        <v>0</v>
      </c>
      <c r="AO184" s="6">
        <f t="shared" si="38"/>
        <v>0</v>
      </c>
      <c r="AP184" s="6">
        <f t="shared" si="39"/>
        <v>0</v>
      </c>
      <c r="AQ184" s="6">
        <f t="shared" si="40"/>
        <v>1</v>
      </c>
      <c r="AR184" s="6"/>
      <c r="AS184" s="6"/>
      <c r="AT184" s="6"/>
      <c r="AU184" s="6"/>
      <c r="AV184" s="6"/>
      <c r="AW184" s="6">
        <v>1</v>
      </c>
      <c r="AX184" s="6"/>
      <c r="AY184" s="6"/>
      <c r="AZ184" s="6"/>
      <c r="BA184" s="6"/>
      <c r="BB184" s="6"/>
      <c r="BC184" s="6"/>
      <c r="BD184" s="6"/>
      <c r="BE184" s="6"/>
      <c r="BF184" s="6"/>
      <c r="BG184" s="6"/>
      <c r="BH184" s="6"/>
      <c r="BI184" s="6"/>
      <c r="BJ184" s="6"/>
      <c r="BK184" s="6"/>
      <c r="BL184" s="6"/>
      <c r="BM184" s="6"/>
      <c r="BN184" s="6"/>
      <c r="BO184" s="6"/>
      <c r="BP184" s="3">
        <v>1</v>
      </c>
      <c r="BQ184" s="6">
        <f t="shared" si="31"/>
        <v>1</v>
      </c>
      <c r="BR184">
        <v>1</v>
      </c>
    </row>
    <row r="185" spans="1:70" x14ac:dyDescent="0.3">
      <c r="A185" s="3" t="s">
        <v>17</v>
      </c>
      <c r="B185" s="3">
        <v>372</v>
      </c>
      <c r="C185" s="3" t="s">
        <v>327</v>
      </c>
      <c r="D185" s="3">
        <v>0.75</v>
      </c>
      <c r="E185" s="3" t="s">
        <v>19</v>
      </c>
      <c r="F185" s="3" t="s">
        <v>19</v>
      </c>
      <c r="G185" s="3" t="s">
        <v>19</v>
      </c>
      <c r="H185" s="3" t="s">
        <v>103</v>
      </c>
      <c r="I185" s="3"/>
      <c r="J185" s="3" t="s">
        <v>91</v>
      </c>
      <c r="K185" s="3" t="s">
        <v>329</v>
      </c>
      <c r="L185" s="3" t="s">
        <v>24</v>
      </c>
      <c r="M185" s="3">
        <v>100</v>
      </c>
      <c r="N185" s="6"/>
      <c r="O185" s="3">
        <v>38</v>
      </c>
      <c r="P185" s="3">
        <v>37</v>
      </c>
      <c r="Q185" s="3">
        <v>0</v>
      </c>
      <c r="R185" s="3">
        <v>13</v>
      </c>
      <c r="S185" s="3">
        <v>3</v>
      </c>
      <c r="T185" s="3">
        <v>21</v>
      </c>
      <c r="U185" s="3">
        <v>0</v>
      </c>
      <c r="V185" s="3">
        <f t="shared" si="32"/>
        <v>37</v>
      </c>
      <c r="W185" s="3">
        <v>0</v>
      </c>
      <c r="X185" s="3">
        <v>13</v>
      </c>
      <c r="Y185" s="3">
        <v>3</v>
      </c>
      <c r="Z185" s="3">
        <v>21</v>
      </c>
      <c r="AA185" s="3">
        <v>0</v>
      </c>
      <c r="AB185" s="3">
        <f t="shared" si="33"/>
        <v>37</v>
      </c>
      <c r="AC185" s="6">
        <f t="shared" si="41"/>
        <v>0</v>
      </c>
      <c r="AD185" s="6">
        <f t="shared" si="42"/>
        <v>25</v>
      </c>
      <c r="AE185" s="6">
        <f t="shared" si="43"/>
        <v>-3</v>
      </c>
      <c r="AF185" s="6">
        <f t="shared" si="44"/>
        <v>-21</v>
      </c>
      <c r="AG185" s="6">
        <f t="shared" si="45"/>
        <v>0</v>
      </c>
      <c r="AH185" s="6">
        <f t="shared" si="34"/>
        <v>1</v>
      </c>
      <c r="AI185" s="3"/>
      <c r="AJ185" s="3" t="e">
        <f>_xlfn.XLOOKUP(K185,工作表1!A:A,工作表1!C:C)</f>
        <v>#N/A</v>
      </c>
      <c r="AK185" s="3"/>
      <c r="AL185" s="6">
        <f t="shared" si="35"/>
        <v>0</v>
      </c>
      <c r="AM185" s="6">
        <f t="shared" si="36"/>
        <v>38</v>
      </c>
      <c r="AN185" s="6">
        <f t="shared" si="37"/>
        <v>0</v>
      </c>
      <c r="AO185" s="6">
        <f t="shared" si="38"/>
        <v>0</v>
      </c>
      <c r="AP185" s="6">
        <f t="shared" si="39"/>
        <v>0</v>
      </c>
      <c r="AQ185" s="6">
        <f t="shared" si="40"/>
        <v>38</v>
      </c>
      <c r="AR185" s="6"/>
      <c r="AS185" s="6"/>
      <c r="AT185" s="6"/>
      <c r="AU185" s="6"/>
      <c r="AV185" s="6"/>
      <c r="AW185" s="6">
        <v>38</v>
      </c>
      <c r="AX185" s="6"/>
      <c r="AY185" s="6"/>
      <c r="AZ185" s="6"/>
      <c r="BA185" s="6"/>
      <c r="BB185" s="6"/>
      <c r="BC185" s="6"/>
      <c r="BD185" s="6"/>
      <c r="BE185" s="6"/>
      <c r="BF185" s="6"/>
      <c r="BG185" s="6"/>
      <c r="BH185" s="6"/>
      <c r="BI185" s="6"/>
      <c r="BJ185" s="6"/>
      <c r="BK185" s="6"/>
      <c r="BL185" s="6"/>
      <c r="BM185" s="6"/>
      <c r="BN185" s="6"/>
      <c r="BO185" s="6"/>
      <c r="BP185" s="3">
        <v>37</v>
      </c>
      <c r="BQ185" s="6">
        <f t="shared" si="31"/>
        <v>38</v>
      </c>
      <c r="BR185" s="8">
        <v>38</v>
      </c>
    </row>
    <row r="186" spans="1:70" x14ac:dyDescent="0.3">
      <c r="A186" s="3" t="s">
        <v>17</v>
      </c>
      <c r="B186" s="3">
        <v>372</v>
      </c>
      <c r="C186" s="3" t="s">
        <v>330</v>
      </c>
      <c r="D186" s="3">
        <v>0.75</v>
      </c>
      <c r="E186" s="3" t="s">
        <v>19</v>
      </c>
      <c r="F186" s="3" t="s">
        <v>19</v>
      </c>
      <c r="G186" s="3" t="s">
        <v>19</v>
      </c>
      <c r="H186" s="3" t="s">
        <v>103</v>
      </c>
      <c r="I186" s="3"/>
      <c r="J186" s="3" t="s">
        <v>91</v>
      </c>
      <c r="K186" s="3" t="s">
        <v>331</v>
      </c>
      <c r="L186" s="3" t="s">
        <v>24</v>
      </c>
      <c r="M186" s="3">
        <v>14</v>
      </c>
      <c r="N186" s="6"/>
      <c r="O186" s="3">
        <v>5</v>
      </c>
      <c r="P186" s="3">
        <v>5</v>
      </c>
      <c r="Q186" s="3">
        <v>0</v>
      </c>
      <c r="R186" s="3">
        <v>0</v>
      </c>
      <c r="S186" s="3">
        <v>5</v>
      </c>
      <c r="T186" s="3">
        <v>0</v>
      </c>
      <c r="U186" s="3">
        <v>0</v>
      </c>
      <c r="V186" s="3">
        <f t="shared" si="32"/>
        <v>5</v>
      </c>
      <c r="W186" s="3">
        <v>0</v>
      </c>
      <c r="X186" s="3">
        <v>0</v>
      </c>
      <c r="Y186" s="3">
        <v>5</v>
      </c>
      <c r="Z186" s="3">
        <v>0</v>
      </c>
      <c r="AA186" s="3">
        <v>0</v>
      </c>
      <c r="AB186" s="3">
        <f t="shared" si="33"/>
        <v>5</v>
      </c>
      <c r="AC186" s="6">
        <f t="shared" si="41"/>
        <v>0</v>
      </c>
      <c r="AD186" s="6">
        <f t="shared" si="42"/>
        <v>0</v>
      </c>
      <c r="AE186" s="6">
        <f t="shared" si="43"/>
        <v>0</v>
      </c>
      <c r="AF186" s="6">
        <f t="shared" si="44"/>
        <v>0</v>
      </c>
      <c r="AG186" s="6">
        <f t="shared" si="45"/>
        <v>0</v>
      </c>
      <c r="AH186" s="6">
        <f t="shared" si="34"/>
        <v>0</v>
      </c>
      <c r="AI186" s="3"/>
      <c r="AJ186" s="3" t="e">
        <f>_xlfn.XLOOKUP(K186,工作表1!A:A,工作表1!C:C)</f>
        <v>#N/A</v>
      </c>
      <c r="AK186" s="3"/>
      <c r="AL186" s="6">
        <f t="shared" si="35"/>
        <v>0</v>
      </c>
      <c r="AM186" s="6">
        <f t="shared" si="36"/>
        <v>0</v>
      </c>
      <c r="AN186" s="6">
        <f t="shared" si="37"/>
        <v>5</v>
      </c>
      <c r="AO186" s="6">
        <f t="shared" si="38"/>
        <v>0</v>
      </c>
      <c r="AP186" s="6">
        <f t="shared" si="39"/>
        <v>0</v>
      </c>
      <c r="AQ186" s="6">
        <f t="shared" si="40"/>
        <v>5</v>
      </c>
      <c r="AR186" s="6"/>
      <c r="AS186" s="6"/>
      <c r="AT186" s="6"/>
      <c r="AU186" s="6"/>
      <c r="AV186" s="6"/>
      <c r="AW186" s="21"/>
      <c r="AX186" s="6"/>
      <c r="AY186" s="6"/>
      <c r="AZ186" s="6"/>
      <c r="BA186" s="21">
        <v>5</v>
      </c>
      <c r="BB186" s="6"/>
      <c r="BC186" s="6"/>
      <c r="BD186" s="6"/>
      <c r="BE186" s="6"/>
      <c r="BF186" s="6"/>
      <c r="BG186" s="6"/>
      <c r="BH186" s="6"/>
      <c r="BI186" s="6"/>
      <c r="BJ186" s="6"/>
      <c r="BK186" s="6"/>
      <c r="BL186" s="6"/>
      <c r="BM186" s="6"/>
      <c r="BN186" s="6"/>
      <c r="BO186" s="6"/>
      <c r="BP186" s="3">
        <v>5</v>
      </c>
      <c r="BQ186" s="6">
        <f t="shared" si="31"/>
        <v>5</v>
      </c>
      <c r="BR186" s="8">
        <v>5</v>
      </c>
    </row>
    <row r="187" spans="1:70" x14ac:dyDescent="0.3">
      <c r="A187" s="3" t="s">
        <v>17</v>
      </c>
      <c r="B187" s="3">
        <v>411</v>
      </c>
      <c r="C187" s="3" t="s">
        <v>332</v>
      </c>
      <c r="D187" s="3">
        <v>10</v>
      </c>
      <c r="E187" s="3" t="s">
        <v>19</v>
      </c>
      <c r="F187" s="3" t="s">
        <v>19</v>
      </c>
      <c r="G187" s="3" t="s">
        <v>19</v>
      </c>
      <c r="H187" s="3" t="s">
        <v>333</v>
      </c>
      <c r="I187" s="3"/>
      <c r="J187" s="3" t="s">
        <v>91</v>
      </c>
      <c r="K187" s="3" t="s">
        <v>334</v>
      </c>
      <c r="L187" s="3" t="s">
        <v>335</v>
      </c>
      <c r="M187" s="3">
        <v>1</v>
      </c>
      <c r="N187" s="6"/>
      <c r="O187" s="3">
        <v>1</v>
      </c>
      <c r="P187" s="3">
        <v>1</v>
      </c>
      <c r="Q187" s="3">
        <v>0</v>
      </c>
      <c r="R187" s="3">
        <v>0</v>
      </c>
      <c r="S187" s="3">
        <v>0</v>
      </c>
      <c r="T187" s="3">
        <v>1</v>
      </c>
      <c r="U187" s="3">
        <v>0</v>
      </c>
      <c r="V187" s="3">
        <f t="shared" si="32"/>
        <v>1</v>
      </c>
      <c r="W187" s="3">
        <v>0</v>
      </c>
      <c r="X187" s="3">
        <v>0</v>
      </c>
      <c r="Y187" s="3">
        <v>0</v>
      </c>
      <c r="Z187" s="3">
        <v>1</v>
      </c>
      <c r="AA187" s="3">
        <v>0</v>
      </c>
      <c r="AB187" s="3">
        <f t="shared" si="33"/>
        <v>1</v>
      </c>
      <c r="AC187" s="6">
        <f t="shared" si="41"/>
        <v>0</v>
      </c>
      <c r="AD187" s="6">
        <f t="shared" si="42"/>
        <v>0</v>
      </c>
      <c r="AE187" s="6">
        <f t="shared" si="43"/>
        <v>0</v>
      </c>
      <c r="AF187" s="6">
        <f t="shared" si="44"/>
        <v>-1</v>
      </c>
      <c r="AG187" s="6">
        <f t="shared" si="45"/>
        <v>0</v>
      </c>
      <c r="AH187" s="6">
        <f t="shared" si="34"/>
        <v>-1</v>
      </c>
      <c r="AI187" s="3"/>
      <c r="AJ187" s="3" t="e">
        <f>_xlfn.XLOOKUP(K187,工作表1!A:A,工作表1!C:C)</f>
        <v>#N/A</v>
      </c>
      <c r="AK187" s="3"/>
      <c r="AL187" s="6">
        <f t="shared" si="35"/>
        <v>0</v>
      </c>
      <c r="AM187" s="6">
        <f t="shared" si="36"/>
        <v>0</v>
      </c>
      <c r="AN187" s="6">
        <f t="shared" si="37"/>
        <v>0</v>
      </c>
      <c r="AO187" s="6">
        <f t="shared" si="38"/>
        <v>0</v>
      </c>
      <c r="AP187" s="6">
        <f t="shared" si="39"/>
        <v>0</v>
      </c>
      <c r="AQ187" s="6">
        <f t="shared" si="40"/>
        <v>0</v>
      </c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  <c r="BC187" s="6"/>
      <c r="BD187" s="6"/>
      <c r="BE187" s="6"/>
      <c r="BF187" s="6"/>
      <c r="BG187" s="6"/>
      <c r="BH187" s="6"/>
      <c r="BI187" s="6"/>
      <c r="BJ187" s="6"/>
      <c r="BK187" s="6"/>
      <c r="BL187" s="6"/>
      <c r="BM187" s="6"/>
      <c r="BN187" s="6"/>
      <c r="BO187" s="6"/>
      <c r="BP187" s="3">
        <v>1</v>
      </c>
      <c r="BQ187" s="6">
        <f t="shared" si="31"/>
        <v>0</v>
      </c>
    </row>
    <row r="188" spans="1:70" x14ac:dyDescent="0.3">
      <c r="A188" s="3" t="s">
        <v>17</v>
      </c>
      <c r="B188" s="3">
        <v>411</v>
      </c>
      <c r="C188" s="3" t="s">
        <v>332</v>
      </c>
      <c r="D188" s="3">
        <v>4</v>
      </c>
      <c r="E188" s="3" t="s">
        <v>19</v>
      </c>
      <c r="F188" s="3" t="s">
        <v>19</v>
      </c>
      <c r="G188" s="3" t="s">
        <v>19</v>
      </c>
      <c r="H188" s="3" t="s">
        <v>336</v>
      </c>
      <c r="I188" s="3"/>
      <c r="J188" s="3" t="s">
        <v>91</v>
      </c>
      <c r="K188" s="3" t="s">
        <v>337</v>
      </c>
      <c r="L188" s="3" t="s">
        <v>335</v>
      </c>
      <c r="M188" s="3">
        <v>5</v>
      </c>
      <c r="N188" s="6"/>
      <c r="O188" s="3">
        <v>5</v>
      </c>
      <c r="P188" s="3">
        <v>5</v>
      </c>
      <c r="Q188" s="3">
        <v>0</v>
      </c>
      <c r="R188" s="3">
        <v>4</v>
      </c>
      <c r="S188" s="3">
        <v>0</v>
      </c>
      <c r="T188" s="3">
        <v>1</v>
      </c>
      <c r="U188" s="3">
        <v>0</v>
      </c>
      <c r="V188" s="3">
        <f t="shared" si="32"/>
        <v>5</v>
      </c>
      <c r="W188" s="3">
        <v>0</v>
      </c>
      <c r="X188" s="3">
        <v>4</v>
      </c>
      <c r="Y188" s="3">
        <v>0</v>
      </c>
      <c r="Z188" s="3">
        <v>1</v>
      </c>
      <c r="AA188" s="3">
        <v>0</v>
      </c>
      <c r="AB188" s="3">
        <f t="shared" si="33"/>
        <v>5</v>
      </c>
      <c r="AC188" s="6">
        <f t="shared" si="41"/>
        <v>0</v>
      </c>
      <c r="AD188" s="6">
        <f t="shared" si="42"/>
        <v>-4</v>
      </c>
      <c r="AE188" s="6">
        <f t="shared" si="43"/>
        <v>0</v>
      </c>
      <c r="AF188" s="6">
        <f t="shared" si="44"/>
        <v>-1</v>
      </c>
      <c r="AG188" s="6">
        <f t="shared" si="45"/>
        <v>0</v>
      </c>
      <c r="AH188" s="6">
        <f t="shared" si="34"/>
        <v>-5</v>
      </c>
      <c r="AI188" s="3"/>
      <c r="AJ188" s="3" t="e">
        <f>_xlfn.XLOOKUP(K188,工作表1!A:A,工作表1!C:C)</f>
        <v>#N/A</v>
      </c>
      <c r="AK188" s="3"/>
      <c r="AL188" s="6">
        <f t="shared" si="35"/>
        <v>0</v>
      </c>
      <c r="AM188" s="6">
        <f t="shared" si="36"/>
        <v>0</v>
      </c>
      <c r="AN188" s="6">
        <f t="shared" si="37"/>
        <v>0</v>
      </c>
      <c r="AO188" s="6">
        <f t="shared" si="38"/>
        <v>0</v>
      </c>
      <c r="AP188" s="6">
        <f t="shared" si="39"/>
        <v>0</v>
      </c>
      <c r="AQ188" s="6">
        <f t="shared" si="40"/>
        <v>0</v>
      </c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  <c r="BC188" s="6"/>
      <c r="BD188" s="6"/>
      <c r="BE188" s="6"/>
      <c r="BF188" s="6"/>
      <c r="BG188" s="6"/>
      <c r="BH188" s="6"/>
      <c r="BI188" s="6"/>
      <c r="BJ188" s="6"/>
      <c r="BK188" s="6"/>
      <c r="BL188" s="6"/>
      <c r="BM188" s="6"/>
      <c r="BN188" s="6"/>
      <c r="BO188" s="6"/>
      <c r="BP188" s="3">
        <v>5</v>
      </c>
      <c r="BQ188" s="6">
        <f t="shared" si="31"/>
        <v>0</v>
      </c>
    </row>
    <row r="189" spans="1:70" x14ac:dyDescent="0.3">
      <c r="A189" s="3" t="s">
        <v>17</v>
      </c>
      <c r="B189" s="3">
        <v>411</v>
      </c>
      <c r="C189" s="3" t="s">
        <v>332</v>
      </c>
      <c r="D189" s="3">
        <v>3</v>
      </c>
      <c r="E189" s="3" t="s">
        <v>19</v>
      </c>
      <c r="F189" s="3" t="s">
        <v>19</v>
      </c>
      <c r="G189" s="3" t="s">
        <v>19</v>
      </c>
      <c r="H189" s="3" t="s">
        <v>338</v>
      </c>
      <c r="I189" s="3"/>
      <c r="J189" s="3" t="s">
        <v>91</v>
      </c>
      <c r="K189" s="3" t="s">
        <v>339</v>
      </c>
      <c r="L189" s="3" t="s">
        <v>335</v>
      </c>
      <c r="M189" s="3">
        <v>1</v>
      </c>
      <c r="N189" s="6"/>
      <c r="O189" s="3">
        <v>1</v>
      </c>
      <c r="P189" s="3">
        <v>1</v>
      </c>
      <c r="Q189" s="3">
        <v>0</v>
      </c>
      <c r="R189" s="3">
        <v>0</v>
      </c>
      <c r="S189" s="3">
        <v>0</v>
      </c>
      <c r="T189" s="3">
        <v>1</v>
      </c>
      <c r="U189" s="3">
        <v>0</v>
      </c>
      <c r="V189" s="3">
        <f t="shared" si="32"/>
        <v>1</v>
      </c>
      <c r="W189" s="3">
        <v>0</v>
      </c>
      <c r="X189" s="3">
        <v>0</v>
      </c>
      <c r="Y189" s="3">
        <v>0</v>
      </c>
      <c r="Z189" s="3">
        <v>1</v>
      </c>
      <c r="AA189" s="3">
        <v>0</v>
      </c>
      <c r="AB189" s="3">
        <f t="shared" si="33"/>
        <v>1</v>
      </c>
      <c r="AC189" s="6">
        <f t="shared" si="41"/>
        <v>0</v>
      </c>
      <c r="AD189" s="6">
        <f t="shared" si="42"/>
        <v>0</v>
      </c>
      <c r="AE189" s="6">
        <f t="shared" si="43"/>
        <v>0</v>
      </c>
      <c r="AF189" s="6">
        <f t="shared" si="44"/>
        <v>-1</v>
      </c>
      <c r="AG189" s="6">
        <f t="shared" si="45"/>
        <v>0</v>
      </c>
      <c r="AH189" s="6">
        <f t="shared" si="34"/>
        <v>-1</v>
      </c>
      <c r="AI189" s="3"/>
      <c r="AJ189" s="3" t="e">
        <f>_xlfn.XLOOKUP(K189,工作表1!A:A,工作表1!C:C)</f>
        <v>#N/A</v>
      </c>
      <c r="AK189" s="3"/>
      <c r="AL189" s="6">
        <f t="shared" si="35"/>
        <v>0</v>
      </c>
      <c r="AM189" s="6">
        <f t="shared" si="36"/>
        <v>0</v>
      </c>
      <c r="AN189" s="6">
        <f t="shared" si="37"/>
        <v>0</v>
      </c>
      <c r="AO189" s="6">
        <f t="shared" si="38"/>
        <v>0</v>
      </c>
      <c r="AP189" s="6">
        <f t="shared" si="39"/>
        <v>0</v>
      </c>
      <c r="AQ189" s="6">
        <f t="shared" si="40"/>
        <v>0</v>
      </c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  <c r="BC189" s="6"/>
      <c r="BD189" s="6"/>
      <c r="BE189" s="6"/>
      <c r="BF189" s="6"/>
      <c r="BG189" s="6"/>
      <c r="BH189" s="6"/>
      <c r="BI189" s="6"/>
      <c r="BJ189" s="6"/>
      <c r="BK189" s="6"/>
      <c r="BL189" s="6"/>
      <c r="BM189" s="6"/>
      <c r="BN189" s="6"/>
      <c r="BO189" s="6"/>
      <c r="BP189" s="3">
        <v>1</v>
      </c>
      <c r="BQ189" s="6">
        <f t="shared" si="31"/>
        <v>0</v>
      </c>
    </row>
    <row r="190" spans="1:70" x14ac:dyDescent="0.3">
      <c r="A190" s="3" t="s">
        <v>17</v>
      </c>
      <c r="B190" s="3">
        <v>411</v>
      </c>
      <c r="C190" s="3" t="s">
        <v>332</v>
      </c>
      <c r="D190" s="3">
        <v>2</v>
      </c>
      <c r="E190" s="3" t="s">
        <v>19</v>
      </c>
      <c r="F190" s="3" t="s">
        <v>19</v>
      </c>
      <c r="G190" s="3" t="s">
        <v>19</v>
      </c>
      <c r="H190" s="3" t="s">
        <v>340</v>
      </c>
      <c r="I190" s="3"/>
      <c r="J190" s="3" t="s">
        <v>91</v>
      </c>
      <c r="K190" s="3" t="s">
        <v>341</v>
      </c>
      <c r="L190" s="3" t="s">
        <v>335</v>
      </c>
      <c r="M190" s="3">
        <v>18</v>
      </c>
      <c r="N190" s="6"/>
      <c r="O190" s="3">
        <v>1</v>
      </c>
      <c r="P190" s="3">
        <v>1</v>
      </c>
      <c r="Q190" s="3">
        <v>0</v>
      </c>
      <c r="R190" s="3">
        <v>0</v>
      </c>
      <c r="S190" s="3">
        <v>0</v>
      </c>
      <c r="T190" s="3">
        <v>1</v>
      </c>
      <c r="U190" s="3">
        <v>0</v>
      </c>
      <c r="V190" s="3">
        <f t="shared" si="32"/>
        <v>1</v>
      </c>
      <c r="W190" s="3">
        <v>0</v>
      </c>
      <c r="X190" s="3">
        <v>0</v>
      </c>
      <c r="Y190" s="3">
        <v>0</v>
      </c>
      <c r="Z190" s="3">
        <v>1</v>
      </c>
      <c r="AA190" s="3">
        <v>0</v>
      </c>
      <c r="AB190" s="3">
        <f t="shared" si="33"/>
        <v>1</v>
      </c>
      <c r="AC190" s="6">
        <f t="shared" si="41"/>
        <v>0</v>
      </c>
      <c r="AD190" s="6">
        <f t="shared" si="42"/>
        <v>0</v>
      </c>
      <c r="AE190" s="6">
        <f t="shared" si="43"/>
        <v>0</v>
      </c>
      <c r="AF190" s="6">
        <f t="shared" si="44"/>
        <v>-1</v>
      </c>
      <c r="AG190" s="6">
        <f t="shared" si="45"/>
        <v>0</v>
      </c>
      <c r="AH190" s="6">
        <f t="shared" si="34"/>
        <v>-1</v>
      </c>
      <c r="AI190" s="3"/>
      <c r="AJ190" s="3" t="e">
        <f>_xlfn.XLOOKUP(K190,工作表1!A:A,工作表1!C:C)</f>
        <v>#N/A</v>
      </c>
      <c r="AK190" s="3"/>
      <c r="AL190" s="6">
        <f t="shared" si="35"/>
        <v>0</v>
      </c>
      <c r="AM190" s="6">
        <f t="shared" si="36"/>
        <v>0</v>
      </c>
      <c r="AN190" s="6">
        <f t="shared" si="37"/>
        <v>0</v>
      </c>
      <c r="AO190" s="6">
        <f t="shared" si="38"/>
        <v>0</v>
      </c>
      <c r="AP190" s="6">
        <f t="shared" si="39"/>
        <v>0</v>
      </c>
      <c r="AQ190" s="6">
        <f t="shared" si="40"/>
        <v>0</v>
      </c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  <c r="BC190" s="6"/>
      <c r="BD190" s="6"/>
      <c r="BE190" s="6"/>
      <c r="BF190" s="6"/>
      <c r="BG190" s="6"/>
      <c r="BH190" s="6"/>
      <c r="BI190" s="6"/>
      <c r="BJ190" s="6"/>
      <c r="BK190" s="6"/>
      <c r="BL190" s="6"/>
      <c r="BM190" s="6"/>
      <c r="BN190" s="6"/>
      <c r="BO190" s="6"/>
      <c r="BP190" s="3">
        <v>1</v>
      </c>
      <c r="BQ190" s="6">
        <f t="shared" si="31"/>
        <v>0</v>
      </c>
    </row>
    <row r="191" spans="1:70" x14ac:dyDescent="0.3">
      <c r="A191" s="3" t="s">
        <v>17</v>
      </c>
      <c r="B191" s="3">
        <v>411</v>
      </c>
      <c r="C191" s="3" t="s">
        <v>332</v>
      </c>
      <c r="D191" s="3">
        <v>1.5</v>
      </c>
      <c r="E191" s="3" t="s">
        <v>19</v>
      </c>
      <c r="F191" s="3" t="s">
        <v>19</v>
      </c>
      <c r="G191" s="3" t="s">
        <v>19</v>
      </c>
      <c r="H191" s="3" t="s">
        <v>99</v>
      </c>
      <c r="I191" s="3"/>
      <c r="J191" s="3" t="s">
        <v>91</v>
      </c>
      <c r="K191" s="3" t="s">
        <v>342</v>
      </c>
      <c r="L191" s="3" t="s">
        <v>335</v>
      </c>
      <c r="M191" s="3">
        <v>4</v>
      </c>
      <c r="N191" s="6"/>
      <c r="O191" s="3">
        <v>3</v>
      </c>
      <c r="P191" s="3">
        <v>3</v>
      </c>
      <c r="Q191" s="3">
        <v>0</v>
      </c>
      <c r="R191" s="3">
        <v>3</v>
      </c>
      <c r="S191" s="3">
        <v>0</v>
      </c>
      <c r="T191" s="3">
        <v>0</v>
      </c>
      <c r="U191" s="3">
        <v>0</v>
      </c>
      <c r="V191" s="3">
        <f t="shared" si="32"/>
        <v>3</v>
      </c>
      <c r="W191" s="3">
        <v>0</v>
      </c>
      <c r="X191" s="3">
        <v>3</v>
      </c>
      <c r="Y191" s="3">
        <v>0</v>
      </c>
      <c r="Z191" s="3">
        <v>0</v>
      </c>
      <c r="AA191" s="3">
        <v>0</v>
      </c>
      <c r="AB191" s="3">
        <f t="shared" si="33"/>
        <v>3</v>
      </c>
      <c r="AC191" s="6">
        <f t="shared" si="41"/>
        <v>0</v>
      </c>
      <c r="AD191" s="6">
        <f t="shared" si="42"/>
        <v>-3</v>
      </c>
      <c r="AE191" s="6">
        <f t="shared" si="43"/>
        <v>0</v>
      </c>
      <c r="AF191" s="6">
        <f t="shared" si="44"/>
        <v>0</v>
      </c>
      <c r="AG191" s="6">
        <f t="shared" si="45"/>
        <v>0</v>
      </c>
      <c r="AH191" s="6">
        <f t="shared" si="34"/>
        <v>-3</v>
      </c>
      <c r="AI191" s="3"/>
      <c r="AJ191" s="3" t="e">
        <f>_xlfn.XLOOKUP(K191,工作表1!A:A,工作表1!C:C)</f>
        <v>#N/A</v>
      </c>
      <c r="AK191" s="3"/>
      <c r="AL191" s="6">
        <f t="shared" si="35"/>
        <v>0</v>
      </c>
      <c r="AM191" s="6">
        <f t="shared" si="36"/>
        <v>0</v>
      </c>
      <c r="AN191" s="6">
        <f t="shared" si="37"/>
        <v>0</v>
      </c>
      <c r="AO191" s="6">
        <f t="shared" si="38"/>
        <v>0</v>
      </c>
      <c r="AP191" s="6">
        <f t="shared" si="39"/>
        <v>0</v>
      </c>
      <c r="AQ191" s="6">
        <f t="shared" si="40"/>
        <v>0</v>
      </c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  <c r="BC191" s="6"/>
      <c r="BD191" s="6"/>
      <c r="BE191" s="6"/>
      <c r="BF191" s="6"/>
      <c r="BG191" s="6"/>
      <c r="BH191" s="6"/>
      <c r="BI191" s="6"/>
      <c r="BJ191" s="6"/>
      <c r="BK191" s="6"/>
      <c r="BL191" s="6"/>
      <c r="BM191" s="6"/>
      <c r="BN191" s="6"/>
      <c r="BO191" s="6"/>
      <c r="BP191" s="3">
        <v>3</v>
      </c>
      <c r="BQ191" s="6">
        <f t="shared" si="31"/>
        <v>0</v>
      </c>
    </row>
    <row r="192" spans="1:70" x14ac:dyDescent="0.3">
      <c r="A192" s="3" t="s">
        <v>17</v>
      </c>
      <c r="B192" s="3">
        <v>411</v>
      </c>
      <c r="C192" s="3" t="s">
        <v>343</v>
      </c>
      <c r="D192" s="3">
        <v>0.75</v>
      </c>
      <c r="E192" s="3" t="s">
        <v>19</v>
      </c>
      <c r="F192" s="3" t="s">
        <v>19</v>
      </c>
      <c r="G192" s="3" t="s">
        <v>19</v>
      </c>
      <c r="H192" s="3" t="s">
        <v>103</v>
      </c>
      <c r="I192" s="3"/>
      <c r="J192" s="3" t="s">
        <v>91</v>
      </c>
      <c r="K192" s="3" t="s">
        <v>344</v>
      </c>
      <c r="L192" s="3" t="s">
        <v>335</v>
      </c>
      <c r="M192" s="3">
        <v>10</v>
      </c>
      <c r="N192" s="6"/>
      <c r="O192" s="3">
        <v>1</v>
      </c>
      <c r="P192" s="3">
        <v>1</v>
      </c>
      <c r="Q192" s="3">
        <v>0</v>
      </c>
      <c r="R192" s="3">
        <v>0</v>
      </c>
      <c r="S192" s="3">
        <v>1</v>
      </c>
      <c r="T192" s="3">
        <v>0</v>
      </c>
      <c r="U192" s="3">
        <v>0</v>
      </c>
      <c r="V192" s="3">
        <f t="shared" si="32"/>
        <v>1</v>
      </c>
      <c r="W192" s="3">
        <v>0</v>
      </c>
      <c r="X192" s="3">
        <v>0</v>
      </c>
      <c r="Y192" s="3">
        <v>1</v>
      </c>
      <c r="Z192" s="3">
        <v>0</v>
      </c>
      <c r="AA192" s="3">
        <v>0</v>
      </c>
      <c r="AB192" s="3">
        <f t="shared" si="33"/>
        <v>1</v>
      </c>
      <c r="AC192" s="6">
        <f t="shared" si="41"/>
        <v>0</v>
      </c>
      <c r="AD192" s="6">
        <f t="shared" si="42"/>
        <v>0</v>
      </c>
      <c r="AE192" s="6">
        <f t="shared" si="43"/>
        <v>-1</v>
      </c>
      <c r="AF192" s="6">
        <f t="shared" si="44"/>
        <v>0</v>
      </c>
      <c r="AG192" s="6">
        <f t="shared" si="45"/>
        <v>0</v>
      </c>
      <c r="AH192" s="6">
        <f t="shared" si="34"/>
        <v>-1</v>
      </c>
      <c r="AI192" s="3"/>
      <c r="AJ192" s="3" t="e">
        <f>_xlfn.XLOOKUP(K192,工作表1!A:A,工作表1!C:C)</f>
        <v>#N/A</v>
      </c>
      <c r="AK192" s="3"/>
      <c r="AL192" s="6">
        <f t="shared" si="35"/>
        <v>0</v>
      </c>
      <c r="AM192" s="6">
        <f t="shared" si="36"/>
        <v>0</v>
      </c>
      <c r="AN192" s="6">
        <f t="shared" si="37"/>
        <v>0</v>
      </c>
      <c r="AO192" s="6">
        <f t="shared" si="38"/>
        <v>0</v>
      </c>
      <c r="AP192" s="6">
        <f t="shared" si="39"/>
        <v>0</v>
      </c>
      <c r="AQ192" s="6">
        <f t="shared" si="40"/>
        <v>0</v>
      </c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  <c r="BC192" s="6"/>
      <c r="BD192" s="6"/>
      <c r="BE192" s="6"/>
      <c r="BF192" s="6"/>
      <c r="BG192" s="6"/>
      <c r="BH192" s="6"/>
      <c r="BI192" s="6"/>
      <c r="BJ192" s="6"/>
      <c r="BK192" s="6"/>
      <c r="BL192" s="6"/>
      <c r="BM192" s="6"/>
      <c r="BN192" s="6"/>
      <c r="BO192" s="6"/>
      <c r="BP192" s="3">
        <v>1</v>
      </c>
      <c r="BQ192" s="6">
        <f t="shared" si="31"/>
        <v>0</v>
      </c>
    </row>
    <row r="193" spans="1:70" x14ac:dyDescent="0.3">
      <c r="A193" s="3" t="s">
        <v>17</v>
      </c>
      <c r="B193" s="3">
        <v>411</v>
      </c>
      <c r="C193" s="3" t="s">
        <v>345</v>
      </c>
      <c r="D193" s="3">
        <v>1</v>
      </c>
      <c r="E193" s="3" t="s">
        <v>19</v>
      </c>
      <c r="F193" s="3" t="s">
        <v>19</v>
      </c>
      <c r="G193" s="3" t="s">
        <v>19</v>
      </c>
      <c r="H193" s="3" t="s">
        <v>101</v>
      </c>
      <c r="I193" s="3"/>
      <c r="J193" s="3" t="s">
        <v>91</v>
      </c>
      <c r="K193" s="3" t="s">
        <v>346</v>
      </c>
      <c r="L193" s="3" t="s">
        <v>335</v>
      </c>
      <c r="M193" s="3">
        <v>14</v>
      </c>
      <c r="N193" s="6"/>
      <c r="O193" s="3">
        <v>12</v>
      </c>
      <c r="P193" s="3">
        <v>12</v>
      </c>
      <c r="Q193" s="3">
        <v>0</v>
      </c>
      <c r="R193" s="3">
        <v>0</v>
      </c>
      <c r="S193" s="3">
        <v>1</v>
      </c>
      <c r="T193" s="3">
        <v>11</v>
      </c>
      <c r="U193" s="3">
        <v>0</v>
      </c>
      <c r="V193" s="3">
        <f t="shared" si="32"/>
        <v>12</v>
      </c>
      <c r="W193" s="3">
        <v>0</v>
      </c>
      <c r="X193" s="3">
        <v>0</v>
      </c>
      <c r="Y193" s="3">
        <v>1</v>
      </c>
      <c r="Z193" s="3">
        <v>11</v>
      </c>
      <c r="AA193" s="3">
        <v>0</v>
      </c>
      <c r="AB193" s="3">
        <f t="shared" si="33"/>
        <v>12</v>
      </c>
      <c r="AC193" s="6">
        <f t="shared" si="41"/>
        <v>0</v>
      </c>
      <c r="AD193" s="6">
        <f t="shared" si="42"/>
        <v>0</v>
      </c>
      <c r="AE193" s="6">
        <f t="shared" si="43"/>
        <v>-1</v>
      </c>
      <c r="AF193" s="6">
        <f t="shared" si="44"/>
        <v>-11</v>
      </c>
      <c r="AG193" s="6">
        <f t="shared" si="45"/>
        <v>0</v>
      </c>
      <c r="AH193" s="6">
        <f t="shared" si="34"/>
        <v>-12</v>
      </c>
      <c r="AI193" s="3"/>
      <c r="AJ193" s="3">
        <f>_xlfn.XLOOKUP(K193,工作表1!A:A,工作表1!C:C)</f>
        <v>11</v>
      </c>
      <c r="AK193" s="3" t="s">
        <v>1483</v>
      </c>
      <c r="AL193" s="6">
        <f t="shared" si="35"/>
        <v>0</v>
      </c>
      <c r="AM193" s="6">
        <f t="shared" si="36"/>
        <v>0</v>
      </c>
      <c r="AN193" s="6">
        <f t="shared" si="37"/>
        <v>0</v>
      </c>
      <c r="AO193" s="6">
        <f t="shared" si="38"/>
        <v>0</v>
      </c>
      <c r="AP193" s="6">
        <f t="shared" si="39"/>
        <v>0</v>
      </c>
      <c r="AQ193" s="6">
        <f t="shared" si="40"/>
        <v>0</v>
      </c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  <c r="BC193" s="6"/>
      <c r="BD193" s="6"/>
      <c r="BE193" s="6"/>
      <c r="BF193" s="6"/>
      <c r="BG193" s="6"/>
      <c r="BH193" s="6"/>
      <c r="BI193" s="6"/>
      <c r="BJ193" s="6"/>
      <c r="BK193" s="6"/>
      <c r="BL193" s="6"/>
      <c r="BM193" s="6"/>
      <c r="BN193" s="6"/>
      <c r="BO193" s="6"/>
      <c r="BP193" s="3">
        <v>12</v>
      </c>
      <c r="BQ193" s="6">
        <f t="shared" si="31"/>
        <v>0</v>
      </c>
    </row>
    <row r="194" spans="1:70" x14ac:dyDescent="0.3">
      <c r="A194" s="3" t="s">
        <v>17</v>
      </c>
      <c r="B194" s="3">
        <v>411</v>
      </c>
      <c r="C194" s="3" t="s">
        <v>347</v>
      </c>
      <c r="D194" s="3">
        <v>8</v>
      </c>
      <c r="E194" s="3" t="s">
        <v>19</v>
      </c>
      <c r="F194" s="3" t="s">
        <v>19</v>
      </c>
      <c r="G194" s="3" t="s">
        <v>19</v>
      </c>
      <c r="H194" s="3" t="s">
        <v>348</v>
      </c>
      <c r="I194" s="3"/>
      <c r="J194" s="3" t="s">
        <v>91</v>
      </c>
      <c r="K194" s="3" t="s">
        <v>349</v>
      </c>
      <c r="L194" s="3" t="s">
        <v>335</v>
      </c>
      <c r="M194" s="3">
        <v>1</v>
      </c>
      <c r="N194" s="6"/>
      <c r="O194" s="3">
        <v>1</v>
      </c>
      <c r="P194" s="3">
        <v>1</v>
      </c>
      <c r="Q194" s="3">
        <v>0</v>
      </c>
      <c r="R194" s="3">
        <v>0</v>
      </c>
      <c r="S194" s="3">
        <v>0</v>
      </c>
      <c r="T194" s="3">
        <v>1</v>
      </c>
      <c r="U194" s="3">
        <v>0</v>
      </c>
      <c r="V194" s="3">
        <f t="shared" si="32"/>
        <v>1</v>
      </c>
      <c r="W194" s="3">
        <v>0</v>
      </c>
      <c r="X194" s="3">
        <v>0</v>
      </c>
      <c r="Y194" s="3">
        <v>0</v>
      </c>
      <c r="Z194" s="3">
        <v>1</v>
      </c>
      <c r="AA194" s="3">
        <v>0</v>
      </c>
      <c r="AB194" s="3">
        <f t="shared" si="33"/>
        <v>1</v>
      </c>
      <c r="AC194" s="6">
        <f t="shared" si="41"/>
        <v>0</v>
      </c>
      <c r="AD194" s="6">
        <f t="shared" si="42"/>
        <v>0</v>
      </c>
      <c r="AE194" s="6">
        <f t="shared" si="43"/>
        <v>0</v>
      </c>
      <c r="AF194" s="6">
        <f t="shared" si="44"/>
        <v>-1</v>
      </c>
      <c r="AG194" s="6">
        <f t="shared" si="45"/>
        <v>0</v>
      </c>
      <c r="AH194" s="6">
        <f t="shared" si="34"/>
        <v>-1</v>
      </c>
      <c r="AI194" s="3"/>
      <c r="AJ194" s="3" t="e">
        <f>_xlfn.XLOOKUP(K194,工作表1!A:A,工作表1!C:C)</f>
        <v>#N/A</v>
      </c>
      <c r="AK194" s="3"/>
      <c r="AL194" s="6">
        <f t="shared" si="35"/>
        <v>0</v>
      </c>
      <c r="AM194" s="6">
        <f t="shared" si="36"/>
        <v>0</v>
      </c>
      <c r="AN194" s="6">
        <f t="shared" si="37"/>
        <v>0</v>
      </c>
      <c r="AO194" s="6">
        <f t="shared" si="38"/>
        <v>0</v>
      </c>
      <c r="AP194" s="6">
        <f t="shared" si="39"/>
        <v>0</v>
      </c>
      <c r="AQ194" s="6">
        <f t="shared" si="40"/>
        <v>0</v>
      </c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  <c r="BC194" s="6"/>
      <c r="BD194" s="6"/>
      <c r="BE194" s="6"/>
      <c r="BF194" s="6"/>
      <c r="BG194" s="6"/>
      <c r="BH194" s="6"/>
      <c r="BI194" s="6"/>
      <c r="BJ194" s="6"/>
      <c r="BK194" s="6"/>
      <c r="BL194" s="6"/>
      <c r="BM194" s="6"/>
      <c r="BN194" s="6"/>
      <c r="BO194" s="6"/>
      <c r="BP194" s="3">
        <v>1</v>
      </c>
      <c r="BQ194" s="6">
        <f t="shared" si="31"/>
        <v>0</v>
      </c>
    </row>
    <row r="195" spans="1:70" x14ac:dyDescent="0.3">
      <c r="A195" s="3" t="s">
        <v>17</v>
      </c>
      <c r="B195" s="3">
        <v>411</v>
      </c>
      <c r="C195" s="3" t="s">
        <v>347</v>
      </c>
      <c r="D195" s="3">
        <v>3</v>
      </c>
      <c r="E195" s="3" t="s">
        <v>19</v>
      </c>
      <c r="F195" s="3" t="s">
        <v>19</v>
      </c>
      <c r="G195" s="3" t="s">
        <v>19</v>
      </c>
      <c r="H195" s="3" t="s">
        <v>338</v>
      </c>
      <c r="I195" s="3"/>
      <c r="J195" s="3" t="s">
        <v>91</v>
      </c>
      <c r="K195" s="3" t="s">
        <v>350</v>
      </c>
      <c r="L195" s="3" t="s">
        <v>335</v>
      </c>
      <c r="M195" s="3">
        <v>5</v>
      </c>
      <c r="N195" s="6"/>
      <c r="O195" s="3">
        <v>5</v>
      </c>
      <c r="P195" s="3">
        <v>5</v>
      </c>
      <c r="Q195" s="3">
        <v>0</v>
      </c>
      <c r="R195" s="3">
        <v>0</v>
      </c>
      <c r="S195" s="3">
        <v>0</v>
      </c>
      <c r="T195" s="3">
        <v>5</v>
      </c>
      <c r="U195" s="3">
        <v>0</v>
      </c>
      <c r="V195" s="3">
        <f t="shared" si="32"/>
        <v>5</v>
      </c>
      <c r="W195" s="3">
        <v>0</v>
      </c>
      <c r="X195" s="3">
        <v>0</v>
      </c>
      <c r="Y195" s="3">
        <v>0</v>
      </c>
      <c r="Z195" s="3">
        <v>5</v>
      </c>
      <c r="AA195" s="3">
        <v>0</v>
      </c>
      <c r="AB195" s="3">
        <f t="shared" si="33"/>
        <v>5</v>
      </c>
      <c r="AC195" s="6">
        <f t="shared" si="41"/>
        <v>0</v>
      </c>
      <c r="AD195" s="6">
        <f t="shared" si="42"/>
        <v>0</v>
      </c>
      <c r="AE195" s="6">
        <f t="shared" si="43"/>
        <v>0</v>
      </c>
      <c r="AF195" s="6">
        <f t="shared" si="44"/>
        <v>-5</v>
      </c>
      <c r="AG195" s="6">
        <f t="shared" si="45"/>
        <v>0</v>
      </c>
      <c r="AH195" s="6">
        <f t="shared" si="34"/>
        <v>-5</v>
      </c>
      <c r="AI195" s="3"/>
      <c r="AJ195" s="3" t="e">
        <f>_xlfn.XLOOKUP(K195,工作表1!A:A,工作表1!C:C)</f>
        <v>#N/A</v>
      </c>
      <c r="AK195" s="3"/>
      <c r="AL195" s="6">
        <f t="shared" si="35"/>
        <v>0</v>
      </c>
      <c r="AM195" s="6">
        <f t="shared" si="36"/>
        <v>0</v>
      </c>
      <c r="AN195" s="6">
        <f t="shared" si="37"/>
        <v>0</v>
      </c>
      <c r="AO195" s="6">
        <f t="shared" si="38"/>
        <v>0</v>
      </c>
      <c r="AP195" s="6">
        <f t="shared" si="39"/>
        <v>0</v>
      </c>
      <c r="AQ195" s="6">
        <f t="shared" si="40"/>
        <v>0</v>
      </c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  <c r="BC195" s="6"/>
      <c r="BD195" s="6"/>
      <c r="BE195" s="6"/>
      <c r="BF195" s="6"/>
      <c r="BG195" s="6"/>
      <c r="BH195" s="6"/>
      <c r="BI195" s="6"/>
      <c r="BJ195" s="6"/>
      <c r="BK195" s="6"/>
      <c r="BL195" s="6"/>
      <c r="BM195" s="6"/>
      <c r="BN195" s="6"/>
      <c r="BO195" s="6"/>
      <c r="BP195" s="3">
        <v>5</v>
      </c>
      <c r="BQ195" s="6">
        <f t="shared" si="31"/>
        <v>0</v>
      </c>
    </row>
    <row r="196" spans="1:70" x14ac:dyDescent="0.3">
      <c r="A196" s="3" t="s">
        <v>17</v>
      </c>
      <c r="B196" s="3">
        <v>411</v>
      </c>
      <c r="C196" s="3" t="s">
        <v>347</v>
      </c>
      <c r="D196" s="3">
        <v>2</v>
      </c>
      <c r="E196" s="3" t="s">
        <v>19</v>
      </c>
      <c r="F196" s="3" t="s">
        <v>19</v>
      </c>
      <c r="G196" s="3" t="s">
        <v>19</v>
      </c>
      <c r="H196" s="3" t="s">
        <v>340</v>
      </c>
      <c r="I196" s="3"/>
      <c r="J196" s="3" t="s">
        <v>91</v>
      </c>
      <c r="K196" s="3" t="s">
        <v>351</v>
      </c>
      <c r="L196" s="3" t="s">
        <v>335</v>
      </c>
      <c r="M196" s="3">
        <v>29</v>
      </c>
      <c r="N196" s="6"/>
      <c r="O196" s="3">
        <v>15</v>
      </c>
      <c r="P196" s="3">
        <v>15</v>
      </c>
      <c r="Q196" s="3">
        <v>0</v>
      </c>
      <c r="R196" s="3">
        <v>0</v>
      </c>
      <c r="S196" s="3">
        <v>8</v>
      </c>
      <c r="T196" s="3">
        <v>7</v>
      </c>
      <c r="U196" s="3">
        <v>0</v>
      </c>
      <c r="V196" s="3">
        <f t="shared" si="32"/>
        <v>15</v>
      </c>
      <c r="W196" s="3">
        <v>0</v>
      </c>
      <c r="X196" s="3">
        <v>0</v>
      </c>
      <c r="Y196" s="3">
        <v>8</v>
      </c>
      <c r="Z196" s="3">
        <v>7</v>
      </c>
      <c r="AA196" s="3">
        <v>0</v>
      </c>
      <c r="AB196" s="3">
        <f t="shared" si="33"/>
        <v>15</v>
      </c>
      <c r="AC196" s="6">
        <f t="shared" si="41"/>
        <v>0</v>
      </c>
      <c r="AD196" s="6">
        <f t="shared" si="42"/>
        <v>0</v>
      </c>
      <c r="AE196" s="6">
        <f t="shared" si="43"/>
        <v>-8</v>
      </c>
      <c r="AF196" s="6">
        <f t="shared" si="44"/>
        <v>-7</v>
      </c>
      <c r="AG196" s="6">
        <f t="shared" si="45"/>
        <v>0</v>
      </c>
      <c r="AH196" s="6">
        <f t="shared" si="34"/>
        <v>-15</v>
      </c>
      <c r="AI196" s="3"/>
      <c r="AJ196" s="3" t="e">
        <f>_xlfn.XLOOKUP(K196,工作表1!A:A,工作表1!C:C)</f>
        <v>#N/A</v>
      </c>
      <c r="AK196" s="3"/>
      <c r="AL196" s="6">
        <f t="shared" si="35"/>
        <v>0</v>
      </c>
      <c r="AM196" s="6">
        <f t="shared" si="36"/>
        <v>0</v>
      </c>
      <c r="AN196" s="6">
        <f t="shared" si="37"/>
        <v>0</v>
      </c>
      <c r="AO196" s="6">
        <f t="shared" si="38"/>
        <v>0</v>
      </c>
      <c r="AP196" s="6">
        <f t="shared" si="39"/>
        <v>0</v>
      </c>
      <c r="AQ196" s="6">
        <f t="shared" si="40"/>
        <v>0</v>
      </c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  <c r="BC196" s="6"/>
      <c r="BD196" s="6"/>
      <c r="BE196" s="6"/>
      <c r="BF196" s="6"/>
      <c r="BG196" s="6"/>
      <c r="BH196" s="6"/>
      <c r="BI196" s="6"/>
      <c r="BJ196" s="6"/>
      <c r="BK196" s="6"/>
      <c r="BL196" s="6"/>
      <c r="BM196" s="6"/>
      <c r="BN196" s="6"/>
      <c r="BO196" s="6"/>
      <c r="BP196" s="3">
        <v>15</v>
      </c>
      <c r="BQ196" s="6">
        <f t="shared" si="31"/>
        <v>0</v>
      </c>
    </row>
    <row r="197" spans="1:70" x14ac:dyDescent="0.3">
      <c r="A197" s="3" t="s">
        <v>17</v>
      </c>
      <c r="B197" s="3">
        <v>412</v>
      </c>
      <c r="C197" s="3" t="s">
        <v>352</v>
      </c>
      <c r="D197" s="3">
        <v>1.5</v>
      </c>
      <c r="E197" s="3" t="s">
        <v>19</v>
      </c>
      <c r="F197" s="3" t="s">
        <v>25</v>
      </c>
      <c r="G197" s="3" t="s">
        <v>19</v>
      </c>
      <c r="H197" s="3" t="s">
        <v>73</v>
      </c>
      <c r="I197" s="3">
        <v>5.08</v>
      </c>
      <c r="J197" s="3" t="s">
        <v>91</v>
      </c>
      <c r="K197" s="3" t="s">
        <v>353</v>
      </c>
      <c r="L197" s="3" t="s">
        <v>24</v>
      </c>
      <c r="M197" s="3">
        <v>26</v>
      </c>
      <c r="N197" s="6"/>
      <c r="O197" s="3">
        <v>19</v>
      </c>
      <c r="P197" s="3">
        <v>19</v>
      </c>
      <c r="Q197" s="3">
        <v>0</v>
      </c>
      <c r="R197" s="3">
        <v>14</v>
      </c>
      <c r="S197" s="3">
        <v>3</v>
      </c>
      <c r="T197" s="3">
        <v>2</v>
      </c>
      <c r="U197" s="3">
        <v>0</v>
      </c>
      <c r="V197" s="3">
        <f t="shared" si="32"/>
        <v>19</v>
      </c>
      <c r="W197" s="3">
        <v>0</v>
      </c>
      <c r="X197" s="3">
        <v>14</v>
      </c>
      <c r="Y197" s="3">
        <v>3</v>
      </c>
      <c r="Z197" s="3">
        <v>2</v>
      </c>
      <c r="AA197" s="3">
        <v>0</v>
      </c>
      <c r="AB197" s="3">
        <f t="shared" si="33"/>
        <v>19</v>
      </c>
      <c r="AC197" s="6">
        <f t="shared" si="41"/>
        <v>0</v>
      </c>
      <c r="AD197" s="6">
        <f t="shared" si="42"/>
        <v>0</v>
      </c>
      <c r="AE197" s="6">
        <f t="shared" si="43"/>
        <v>0</v>
      </c>
      <c r="AF197" s="6">
        <f t="shared" si="44"/>
        <v>0</v>
      </c>
      <c r="AG197" s="6">
        <f t="shared" si="45"/>
        <v>0</v>
      </c>
      <c r="AH197" s="6">
        <f t="shared" si="34"/>
        <v>0</v>
      </c>
      <c r="AI197" s="3"/>
      <c r="AJ197" s="3" t="e">
        <f>_xlfn.XLOOKUP(K197,工作表1!A:A,工作表1!C:C)</f>
        <v>#N/A</v>
      </c>
      <c r="AK197" s="3"/>
      <c r="AL197" s="6">
        <f t="shared" si="35"/>
        <v>0</v>
      </c>
      <c r="AM197" s="6">
        <f t="shared" si="36"/>
        <v>14</v>
      </c>
      <c r="AN197" s="6">
        <f t="shared" si="37"/>
        <v>3</v>
      </c>
      <c r="AO197" s="6">
        <f t="shared" si="38"/>
        <v>2</v>
      </c>
      <c r="AP197" s="6">
        <f t="shared" si="39"/>
        <v>0</v>
      </c>
      <c r="AQ197" s="6">
        <f t="shared" si="40"/>
        <v>19</v>
      </c>
      <c r="AR197" s="6"/>
      <c r="AS197" s="6"/>
      <c r="AT197" s="6"/>
      <c r="AU197" s="6"/>
      <c r="AV197" s="6"/>
      <c r="AW197" s="18">
        <v>14</v>
      </c>
      <c r="AX197" s="6"/>
      <c r="AY197" s="6"/>
      <c r="AZ197" s="6"/>
      <c r="BA197" s="18">
        <v>3</v>
      </c>
      <c r="BB197" s="6"/>
      <c r="BC197" s="6"/>
      <c r="BD197" s="6"/>
      <c r="BE197" s="6"/>
      <c r="BF197" s="18">
        <v>2</v>
      </c>
      <c r="BG197" s="6"/>
      <c r="BH197" s="6"/>
      <c r="BI197" s="6"/>
      <c r="BJ197" s="6"/>
      <c r="BK197" s="6"/>
      <c r="BL197" s="6"/>
      <c r="BM197" s="6"/>
      <c r="BN197" s="6"/>
      <c r="BO197" s="6"/>
      <c r="BP197" s="3">
        <v>19</v>
      </c>
      <c r="BQ197" s="6">
        <f t="shared" si="31"/>
        <v>19</v>
      </c>
      <c r="BR197">
        <v>19</v>
      </c>
    </row>
    <row r="198" spans="1:70" x14ac:dyDescent="0.3">
      <c r="A198" s="3" t="s">
        <v>17</v>
      </c>
      <c r="B198" s="3">
        <v>412</v>
      </c>
      <c r="C198" s="3" t="s">
        <v>352</v>
      </c>
      <c r="D198" s="3">
        <v>1</v>
      </c>
      <c r="E198" s="3" t="s">
        <v>19</v>
      </c>
      <c r="F198" s="3" t="s">
        <v>41</v>
      </c>
      <c r="G198" s="3" t="s">
        <v>19</v>
      </c>
      <c r="H198" s="3" t="s">
        <v>59</v>
      </c>
      <c r="I198" s="3">
        <v>6.35</v>
      </c>
      <c r="J198" s="3" t="s">
        <v>91</v>
      </c>
      <c r="K198" s="3" t="s">
        <v>354</v>
      </c>
      <c r="L198" s="3" t="s">
        <v>24</v>
      </c>
      <c r="M198" s="3">
        <v>1</v>
      </c>
      <c r="N198" s="6"/>
      <c r="O198" s="3">
        <v>1</v>
      </c>
      <c r="P198" s="3">
        <v>1</v>
      </c>
      <c r="Q198" s="3">
        <v>0</v>
      </c>
      <c r="R198" s="3">
        <v>0</v>
      </c>
      <c r="S198" s="3">
        <v>1</v>
      </c>
      <c r="T198" s="3">
        <v>0</v>
      </c>
      <c r="U198" s="3">
        <v>0</v>
      </c>
      <c r="V198" s="3">
        <f t="shared" si="32"/>
        <v>1</v>
      </c>
      <c r="W198" s="3">
        <v>0</v>
      </c>
      <c r="X198" s="3">
        <v>0</v>
      </c>
      <c r="Y198" s="3">
        <v>1</v>
      </c>
      <c r="Z198" s="3">
        <v>0</v>
      </c>
      <c r="AA198" s="3">
        <v>0</v>
      </c>
      <c r="AB198" s="3">
        <f t="shared" si="33"/>
        <v>1</v>
      </c>
      <c r="AC198" s="6">
        <f t="shared" si="41"/>
        <v>0</v>
      </c>
      <c r="AD198" s="6">
        <f t="shared" si="42"/>
        <v>0</v>
      </c>
      <c r="AE198" s="6">
        <f t="shared" si="43"/>
        <v>-1</v>
      </c>
      <c r="AF198" s="6">
        <f t="shared" si="44"/>
        <v>0</v>
      </c>
      <c r="AG198" s="6">
        <f t="shared" si="45"/>
        <v>0</v>
      </c>
      <c r="AH198" s="6">
        <f t="shared" si="34"/>
        <v>-1</v>
      </c>
      <c r="AI198" s="3"/>
      <c r="AJ198" s="3" t="e">
        <f>_xlfn.XLOOKUP(K198,工作表1!A:A,工作表1!C:C)</f>
        <v>#N/A</v>
      </c>
      <c r="AK198" s="3"/>
      <c r="AL198" s="6">
        <f t="shared" si="35"/>
        <v>0</v>
      </c>
      <c r="AM198" s="6">
        <f t="shared" si="36"/>
        <v>0</v>
      </c>
      <c r="AN198" s="6">
        <f t="shared" si="37"/>
        <v>0</v>
      </c>
      <c r="AO198" s="6">
        <f t="shared" si="38"/>
        <v>0</v>
      </c>
      <c r="AP198" s="6">
        <f t="shared" si="39"/>
        <v>0</v>
      </c>
      <c r="AQ198" s="6">
        <f t="shared" si="40"/>
        <v>0</v>
      </c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  <c r="BC198" s="6"/>
      <c r="BD198" s="6"/>
      <c r="BE198" s="6"/>
      <c r="BF198" s="6"/>
      <c r="BG198" s="6"/>
      <c r="BH198" s="6"/>
      <c r="BI198" s="6"/>
      <c r="BJ198" s="6"/>
      <c r="BK198" s="6"/>
      <c r="BL198" s="6"/>
      <c r="BM198" s="6"/>
      <c r="BN198" s="6"/>
      <c r="BO198" s="6"/>
      <c r="BP198" s="3">
        <v>1</v>
      </c>
      <c r="BQ198" s="6">
        <f t="shared" si="31"/>
        <v>0</v>
      </c>
    </row>
    <row r="199" spans="1:70" x14ac:dyDescent="0.3">
      <c r="A199" s="3" t="s">
        <v>17</v>
      </c>
      <c r="B199" s="3">
        <v>412</v>
      </c>
      <c r="C199" s="3" t="s">
        <v>352</v>
      </c>
      <c r="D199" s="3">
        <v>1</v>
      </c>
      <c r="E199" s="3" t="s">
        <v>19</v>
      </c>
      <c r="F199" s="3" t="s">
        <v>25</v>
      </c>
      <c r="G199" s="3" t="s">
        <v>19</v>
      </c>
      <c r="H199" s="3" t="s">
        <v>76</v>
      </c>
      <c r="I199" s="3">
        <v>4.55</v>
      </c>
      <c r="J199" s="3" t="s">
        <v>91</v>
      </c>
      <c r="K199" s="3" t="s">
        <v>355</v>
      </c>
      <c r="L199" s="3" t="s">
        <v>24</v>
      </c>
      <c r="M199" s="3">
        <v>86</v>
      </c>
      <c r="N199" s="6"/>
      <c r="O199" s="3">
        <v>47</v>
      </c>
      <c r="P199" s="3">
        <v>46</v>
      </c>
      <c r="Q199" s="3">
        <v>0</v>
      </c>
      <c r="R199" s="3">
        <v>3</v>
      </c>
      <c r="S199" s="3">
        <v>32</v>
      </c>
      <c r="T199" s="3">
        <v>11</v>
      </c>
      <c r="U199" s="3">
        <v>0</v>
      </c>
      <c r="V199" s="3">
        <f t="shared" si="32"/>
        <v>46</v>
      </c>
      <c r="W199" s="3">
        <v>0</v>
      </c>
      <c r="X199" s="3">
        <v>3</v>
      </c>
      <c r="Y199" s="3">
        <v>32</v>
      </c>
      <c r="Z199" s="3">
        <v>11</v>
      </c>
      <c r="AA199" s="3">
        <v>0</v>
      </c>
      <c r="AB199" s="3">
        <f t="shared" si="33"/>
        <v>46</v>
      </c>
      <c r="AC199" s="6">
        <f t="shared" si="41"/>
        <v>0</v>
      </c>
      <c r="AD199" s="6">
        <f t="shared" si="42"/>
        <v>0</v>
      </c>
      <c r="AE199" s="6">
        <f t="shared" si="43"/>
        <v>-4</v>
      </c>
      <c r="AF199" s="6">
        <f t="shared" si="44"/>
        <v>-11</v>
      </c>
      <c r="AG199" s="6">
        <f t="shared" si="45"/>
        <v>0</v>
      </c>
      <c r="AH199" s="6">
        <f t="shared" si="34"/>
        <v>-15</v>
      </c>
      <c r="AI199" s="3"/>
      <c r="AJ199" s="3" t="e">
        <f>_xlfn.XLOOKUP(K199,工作表1!A:A,工作表1!C:C)</f>
        <v>#N/A</v>
      </c>
      <c r="AK199" s="3"/>
      <c r="AL199" s="6">
        <f t="shared" si="35"/>
        <v>0</v>
      </c>
      <c r="AM199" s="6">
        <f t="shared" si="36"/>
        <v>3</v>
      </c>
      <c r="AN199" s="6">
        <f t="shared" si="37"/>
        <v>28</v>
      </c>
      <c r="AO199" s="6">
        <f t="shared" si="38"/>
        <v>0</v>
      </c>
      <c r="AP199" s="6">
        <f t="shared" si="39"/>
        <v>0</v>
      </c>
      <c r="AQ199" s="6">
        <f t="shared" si="40"/>
        <v>31</v>
      </c>
      <c r="AR199" s="6"/>
      <c r="AS199" s="6"/>
      <c r="AT199" s="6"/>
      <c r="AU199" s="6"/>
      <c r="AV199" s="6"/>
      <c r="AW199" s="18">
        <v>3</v>
      </c>
      <c r="AX199" s="6"/>
      <c r="AY199" s="6"/>
      <c r="AZ199" s="6"/>
      <c r="BA199" s="18">
        <v>28</v>
      </c>
      <c r="BB199" s="6"/>
      <c r="BC199" s="6"/>
      <c r="BD199" s="6"/>
      <c r="BE199" s="6"/>
      <c r="BF199" s="6"/>
      <c r="BG199" s="6"/>
      <c r="BH199" s="6"/>
      <c r="BI199" s="6"/>
      <c r="BJ199" s="6"/>
      <c r="BK199" s="6"/>
      <c r="BL199" s="6"/>
      <c r="BM199" s="6"/>
      <c r="BN199" s="6"/>
      <c r="BO199" s="6"/>
      <c r="BP199" s="3">
        <v>46</v>
      </c>
      <c r="BQ199" s="6">
        <f t="shared" ref="BQ199:BQ262" si="46">SUM(BR199:FN199)</f>
        <v>31</v>
      </c>
      <c r="BR199">
        <v>31</v>
      </c>
    </row>
    <row r="200" spans="1:70" x14ac:dyDescent="0.3">
      <c r="A200" s="3" t="s">
        <v>17</v>
      </c>
      <c r="B200" s="3">
        <v>412</v>
      </c>
      <c r="C200" s="3" t="s">
        <v>352</v>
      </c>
      <c r="D200" s="3">
        <v>0.75</v>
      </c>
      <c r="E200" s="3" t="s">
        <v>19</v>
      </c>
      <c r="F200" s="3" t="s">
        <v>25</v>
      </c>
      <c r="G200" s="3" t="s">
        <v>19</v>
      </c>
      <c r="H200" s="3" t="s">
        <v>78</v>
      </c>
      <c r="I200" s="3">
        <v>3.91</v>
      </c>
      <c r="J200" s="3" t="s">
        <v>91</v>
      </c>
      <c r="K200" s="3" t="s">
        <v>356</v>
      </c>
      <c r="L200" s="3" t="s">
        <v>24</v>
      </c>
      <c r="M200" s="3">
        <v>70</v>
      </c>
      <c r="N200" s="6"/>
      <c r="O200" s="3">
        <v>30</v>
      </c>
      <c r="P200" s="3">
        <v>30</v>
      </c>
      <c r="Q200" s="3">
        <v>0</v>
      </c>
      <c r="R200" s="3">
        <v>22</v>
      </c>
      <c r="S200" s="3">
        <v>6</v>
      </c>
      <c r="T200" s="3">
        <v>2</v>
      </c>
      <c r="U200" s="3">
        <v>0</v>
      </c>
      <c r="V200" s="3">
        <f t="shared" ref="V200:V263" si="47">SUM(Q200:U200)</f>
        <v>30</v>
      </c>
      <c r="W200" s="3">
        <v>0</v>
      </c>
      <c r="X200" s="3">
        <v>22</v>
      </c>
      <c r="Y200" s="3">
        <v>6</v>
      </c>
      <c r="Z200" s="3">
        <v>2</v>
      </c>
      <c r="AA200" s="3">
        <v>0</v>
      </c>
      <c r="AB200" s="3">
        <f t="shared" ref="AB200:AB263" si="48">SUM(W200:AA200)</f>
        <v>30</v>
      </c>
      <c r="AC200" s="6">
        <f t="shared" si="41"/>
        <v>0</v>
      </c>
      <c r="AD200" s="6">
        <f t="shared" si="42"/>
        <v>1</v>
      </c>
      <c r="AE200" s="6">
        <f t="shared" si="43"/>
        <v>0</v>
      </c>
      <c r="AF200" s="6">
        <f t="shared" si="44"/>
        <v>0</v>
      </c>
      <c r="AG200" s="6">
        <f t="shared" si="45"/>
        <v>0</v>
      </c>
      <c r="AH200" s="6">
        <f t="shared" ref="AH200:AH263" si="49">AQ200-AB200</f>
        <v>1</v>
      </c>
      <c r="AI200" s="3"/>
      <c r="AJ200" s="3" t="e">
        <f>_xlfn.XLOOKUP(K200,工作表1!A:A,工作表1!C:C)</f>
        <v>#N/A</v>
      </c>
      <c r="AK200" s="3"/>
      <c r="AL200" s="6">
        <f t="shared" ref="AL200:AL263" si="50">SUM(AR200:AV200)</f>
        <v>0</v>
      </c>
      <c r="AM200" s="6">
        <f t="shared" ref="AM200:AM263" si="51">SUM(AW200:AZ200)</f>
        <v>23</v>
      </c>
      <c r="AN200" s="6">
        <f t="shared" ref="AN200:AN263" si="52">SUM(BA200:BE200)</f>
        <v>6</v>
      </c>
      <c r="AO200" s="6">
        <f t="shared" ref="AO200:AO263" si="53">SUM(BF200:BI200)</f>
        <v>2</v>
      </c>
      <c r="AP200" s="6">
        <f t="shared" ref="AP200:AP263" si="54">SUM(BJ200:BN200)</f>
        <v>0</v>
      </c>
      <c r="AQ200" s="6">
        <f t="shared" ref="AQ200:AQ263" si="55">SUM(AL200:AP200)</f>
        <v>31</v>
      </c>
      <c r="AR200" s="6"/>
      <c r="AS200" s="6"/>
      <c r="AT200" s="6"/>
      <c r="AU200" s="6"/>
      <c r="AV200" s="6"/>
      <c r="AW200" s="18">
        <v>23</v>
      </c>
      <c r="AX200" s="6"/>
      <c r="AY200" s="6"/>
      <c r="AZ200" s="6"/>
      <c r="BA200" s="18">
        <v>6</v>
      </c>
      <c r="BB200" s="6"/>
      <c r="BC200" s="6"/>
      <c r="BD200" s="6"/>
      <c r="BE200" s="6"/>
      <c r="BF200" s="18">
        <v>2</v>
      </c>
      <c r="BG200" s="6"/>
      <c r="BH200" s="6"/>
      <c r="BI200" s="6"/>
      <c r="BJ200" s="6"/>
      <c r="BK200" s="6"/>
      <c r="BL200" s="6"/>
      <c r="BM200" s="6"/>
      <c r="BN200" s="6"/>
      <c r="BO200" s="6"/>
      <c r="BP200" s="3">
        <v>30</v>
      </c>
      <c r="BQ200" s="6">
        <f t="shared" si="46"/>
        <v>31</v>
      </c>
      <c r="BR200">
        <v>31</v>
      </c>
    </row>
    <row r="201" spans="1:70" x14ac:dyDescent="0.3">
      <c r="A201" s="3" t="s">
        <v>17</v>
      </c>
      <c r="B201" s="3">
        <v>412</v>
      </c>
      <c r="C201" s="3" t="s">
        <v>352</v>
      </c>
      <c r="D201" s="3">
        <v>0.5</v>
      </c>
      <c r="E201" s="3" t="s">
        <v>19</v>
      </c>
      <c r="F201" s="3" t="s">
        <v>25</v>
      </c>
      <c r="G201" s="3" t="s">
        <v>19</v>
      </c>
      <c r="H201" s="3" t="s">
        <v>81</v>
      </c>
      <c r="I201" s="3">
        <v>3.73</v>
      </c>
      <c r="J201" s="3" t="s">
        <v>91</v>
      </c>
      <c r="K201" s="3" t="s">
        <v>357</v>
      </c>
      <c r="L201" s="3" t="s">
        <v>24</v>
      </c>
      <c r="M201" s="3">
        <v>473</v>
      </c>
      <c r="N201" s="6"/>
      <c r="O201" s="3">
        <v>28</v>
      </c>
      <c r="P201" s="3">
        <v>28</v>
      </c>
      <c r="Q201" s="3">
        <v>0</v>
      </c>
      <c r="R201" s="3">
        <v>28</v>
      </c>
      <c r="S201" s="3">
        <v>0</v>
      </c>
      <c r="T201" s="3">
        <v>0</v>
      </c>
      <c r="U201" s="3">
        <v>0</v>
      </c>
      <c r="V201" s="3">
        <f t="shared" si="47"/>
        <v>28</v>
      </c>
      <c r="W201" s="3">
        <v>0</v>
      </c>
      <c r="X201" s="3">
        <v>28</v>
      </c>
      <c r="Y201" s="3">
        <v>0</v>
      </c>
      <c r="Z201" s="3">
        <v>0</v>
      </c>
      <c r="AA201" s="3">
        <v>0</v>
      </c>
      <c r="AB201" s="3">
        <f t="shared" si="48"/>
        <v>28</v>
      </c>
      <c r="AC201" s="6">
        <f t="shared" si="41"/>
        <v>0</v>
      </c>
      <c r="AD201" s="6">
        <f t="shared" si="42"/>
        <v>5</v>
      </c>
      <c r="AE201" s="6">
        <f t="shared" si="43"/>
        <v>0</v>
      </c>
      <c r="AF201" s="6">
        <f t="shared" si="44"/>
        <v>0</v>
      </c>
      <c r="AG201" s="6">
        <f t="shared" si="45"/>
        <v>0</v>
      </c>
      <c r="AH201" s="6">
        <f t="shared" si="49"/>
        <v>5</v>
      </c>
      <c r="AI201" s="3"/>
      <c r="AJ201" s="3" t="e">
        <f>_xlfn.XLOOKUP(K201,工作表1!A:A,工作表1!C:C)</f>
        <v>#N/A</v>
      </c>
      <c r="AK201" s="3"/>
      <c r="AL201" s="6">
        <f t="shared" si="50"/>
        <v>0</v>
      </c>
      <c r="AM201" s="6">
        <f t="shared" si="51"/>
        <v>33</v>
      </c>
      <c r="AN201" s="6">
        <f t="shared" si="52"/>
        <v>0</v>
      </c>
      <c r="AO201" s="6">
        <f t="shared" si="53"/>
        <v>0</v>
      </c>
      <c r="AP201" s="6">
        <f t="shared" si="54"/>
        <v>0</v>
      </c>
      <c r="AQ201" s="6">
        <f t="shared" si="55"/>
        <v>33</v>
      </c>
      <c r="AR201" s="6"/>
      <c r="AS201" s="6"/>
      <c r="AT201" s="6"/>
      <c r="AU201" s="6"/>
      <c r="AV201" s="6"/>
      <c r="AW201" s="6">
        <v>33</v>
      </c>
      <c r="AX201" s="6"/>
      <c r="AY201" s="6"/>
      <c r="AZ201" s="6"/>
      <c r="BA201" s="6"/>
      <c r="BB201" s="6"/>
      <c r="BC201" s="6"/>
      <c r="BD201" s="6"/>
      <c r="BE201" s="6"/>
      <c r="BF201" s="6"/>
      <c r="BG201" s="6"/>
      <c r="BH201" s="6"/>
      <c r="BI201" s="6"/>
      <c r="BJ201" s="6"/>
      <c r="BK201" s="6"/>
      <c r="BL201" s="6"/>
      <c r="BM201" s="6"/>
      <c r="BN201" s="6"/>
      <c r="BO201" s="6"/>
      <c r="BP201" s="3">
        <v>28</v>
      </c>
      <c r="BQ201" s="6">
        <f t="shared" si="46"/>
        <v>33</v>
      </c>
      <c r="BR201">
        <v>33</v>
      </c>
    </row>
    <row r="202" spans="1:70" x14ac:dyDescent="0.3">
      <c r="A202" s="3" t="s">
        <v>17</v>
      </c>
      <c r="B202" s="3">
        <v>412</v>
      </c>
      <c r="C202" s="3" t="s">
        <v>358</v>
      </c>
      <c r="D202" s="3">
        <v>1.5</v>
      </c>
      <c r="E202" s="3" t="s">
        <v>19</v>
      </c>
      <c r="F202" s="3" t="s">
        <v>25</v>
      </c>
      <c r="G202" s="3" t="s">
        <v>19</v>
      </c>
      <c r="H202" s="3" t="s">
        <v>73</v>
      </c>
      <c r="I202" s="3">
        <v>5.08</v>
      </c>
      <c r="J202" s="3" t="s">
        <v>91</v>
      </c>
      <c r="K202" s="3" t="s">
        <v>359</v>
      </c>
      <c r="L202" s="3" t="s">
        <v>24</v>
      </c>
      <c r="M202" s="3">
        <v>4</v>
      </c>
      <c r="N202" s="6"/>
      <c r="O202" s="3">
        <v>4</v>
      </c>
      <c r="P202" s="3">
        <v>4</v>
      </c>
      <c r="Q202" s="3">
        <v>0</v>
      </c>
      <c r="R202" s="3">
        <v>0</v>
      </c>
      <c r="S202" s="3">
        <v>4</v>
      </c>
      <c r="T202" s="3">
        <v>0</v>
      </c>
      <c r="U202" s="3">
        <v>0</v>
      </c>
      <c r="V202" s="3">
        <f t="shared" si="47"/>
        <v>4</v>
      </c>
      <c r="W202" s="3">
        <v>0</v>
      </c>
      <c r="X202" s="3">
        <v>0</v>
      </c>
      <c r="Y202" s="3">
        <v>4</v>
      </c>
      <c r="Z202" s="3">
        <v>0</v>
      </c>
      <c r="AA202" s="3">
        <v>0</v>
      </c>
      <c r="AB202" s="3">
        <f t="shared" si="48"/>
        <v>4</v>
      </c>
      <c r="AC202" s="6">
        <f t="shared" si="41"/>
        <v>0</v>
      </c>
      <c r="AD202" s="6">
        <f t="shared" si="42"/>
        <v>0</v>
      </c>
      <c r="AE202" s="6">
        <f t="shared" si="43"/>
        <v>-4</v>
      </c>
      <c r="AF202" s="6">
        <f t="shared" si="44"/>
        <v>0</v>
      </c>
      <c r="AG202" s="6">
        <f t="shared" si="45"/>
        <v>0</v>
      </c>
      <c r="AH202" s="6">
        <f t="shared" si="49"/>
        <v>-4</v>
      </c>
      <c r="AI202" s="3"/>
      <c r="AJ202" s="3" t="e">
        <f>_xlfn.XLOOKUP(K202,工作表1!A:A,工作表1!C:C)</f>
        <v>#N/A</v>
      </c>
      <c r="AK202" s="3"/>
      <c r="AL202" s="6">
        <f t="shared" si="50"/>
        <v>0</v>
      </c>
      <c r="AM202" s="6">
        <f t="shared" si="51"/>
        <v>0</v>
      </c>
      <c r="AN202" s="6">
        <f t="shared" si="52"/>
        <v>0</v>
      </c>
      <c r="AO202" s="6">
        <f t="shared" si="53"/>
        <v>0</v>
      </c>
      <c r="AP202" s="6">
        <f t="shared" si="54"/>
        <v>0</v>
      </c>
      <c r="AQ202" s="6">
        <f t="shared" si="55"/>
        <v>0</v>
      </c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  <c r="BC202" s="6"/>
      <c r="BD202" s="6"/>
      <c r="BE202" s="6"/>
      <c r="BF202" s="6"/>
      <c r="BG202" s="6"/>
      <c r="BH202" s="6"/>
      <c r="BI202" s="6"/>
      <c r="BJ202" s="6"/>
      <c r="BK202" s="6"/>
      <c r="BL202" s="6"/>
      <c r="BM202" s="6"/>
      <c r="BN202" s="6"/>
      <c r="BO202" s="6"/>
      <c r="BP202" s="3">
        <v>4</v>
      </c>
      <c r="BQ202" s="6">
        <f t="shared" si="46"/>
        <v>0</v>
      </c>
    </row>
    <row r="203" spans="1:70" x14ac:dyDescent="0.3">
      <c r="A203" s="3" t="s">
        <v>17</v>
      </c>
      <c r="B203" s="3">
        <v>412</v>
      </c>
      <c r="C203" s="3" t="s">
        <v>358</v>
      </c>
      <c r="D203" s="3">
        <v>1</v>
      </c>
      <c r="E203" s="3" t="s">
        <v>19</v>
      </c>
      <c r="F203" s="3" t="s">
        <v>41</v>
      </c>
      <c r="G203" s="3" t="s">
        <v>19</v>
      </c>
      <c r="H203" s="3" t="s">
        <v>59</v>
      </c>
      <c r="I203" s="3">
        <v>6.35</v>
      </c>
      <c r="J203" s="3" t="s">
        <v>91</v>
      </c>
      <c r="K203" s="3" t="s">
        <v>360</v>
      </c>
      <c r="L203" s="3" t="s">
        <v>24</v>
      </c>
      <c r="M203" s="3">
        <v>11</v>
      </c>
      <c r="N203" s="6"/>
      <c r="O203" s="3">
        <v>5</v>
      </c>
      <c r="P203" s="3">
        <v>5</v>
      </c>
      <c r="Q203" s="3">
        <v>0</v>
      </c>
      <c r="R203" s="3">
        <v>0</v>
      </c>
      <c r="S203" s="3">
        <v>5</v>
      </c>
      <c r="T203" s="3">
        <v>0</v>
      </c>
      <c r="U203" s="3">
        <v>0</v>
      </c>
      <c r="V203" s="3">
        <f t="shared" si="47"/>
        <v>5</v>
      </c>
      <c r="W203" s="3">
        <v>0</v>
      </c>
      <c r="X203" s="3">
        <v>0</v>
      </c>
      <c r="Y203" s="3">
        <v>5</v>
      </c>
      <c r="Z203" s="3">
        <v>0</v>
      </c>
      <c r="AA203" s="3">
        <v>0</v>
      </c>
      <c r="AB203" s="3">
        <f t="shared" si="48"/>
        <v>5</v>
      </c>
      <c r="AC203" s="6">
        <f t="shared" si="41"/>
        <v>0</v>
      </c>
      <c r="AD203" s="6">
        <f t="shared" si="42"/>
        <v>0</v>
      </c>
      <c r="AE203" s="6">
        <f t="shared" si="43"/>
        <v>-5</v>
      </c>
      <c r="AF203" s="6">
        <f t="shared" si="44"/>
        <v>0</v>
      </c>
      <c r="AG203" s="6">
        <f t="shared" si="45"/>
        <v>0</v>
      </c>
      <c r="AH203" s="6">
        <f t="shared" si="49"/>
        <v>-5</v>
      </c>
      <c r="AI203" s="3"/>
      <c r="AJ203" s="3" t="e">
        <f>_xlfn.XLOOKUP(K203,工作表1!A:A,工作表1!C:C)</f>
        <v>#N/A</v>
      </c>
      <c r="AK203" s="3"/>
      <c r="AL203" s="6">
        <f t="shared" si="50"/>
        <v>0</v>
      </c>
      <c r="AM203" s="6">
        <f t="shared" si="51"/>
        <v>0</v>
      </c>
      <c r="AN203" s="6">
        <f t="shared" si="52"/>
        <v>0</v>
      </c>
      <c r="AO203" s="6">
        <f t="shared" si="53"/>
        <v>0</v>
      </c>
      <c r="AP203" s="6">
        <f t="shared" si="54"/>
        <v>0</v>
      </c>
      <c r="AQ203" s="6">
        <f t="shared" si="55"/>
        <v>0</v>
      </c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  <c r="BC203" s="6"/>
      <c r="BD203" s="6"/>
      <c r="BE203" s="6"/>
      <c r="BF203" s="6"/>
      <c r="BG203" s="6"/>
      <c r="BH203" s="6"/>
      <c r="BI203" s="6"/>
      <c r="BJ203" s="6"/>
      <c r="BK203" s="6"/>
      <c r="BL203" s="6"/>
      <c r="BM203" s="6"/>
      <c r="BN203" s="6"/>
      <c r="BO203" s="6"/>
      <c r="BP203" s="3">
        <v>5</v>
      </c>
      <c r="BQ203" s="6">
        <f t="shared" si="46"/>
        <v>0</v>
      </c>
    </row>
    <row r="204" spans="1:70" x14ac:dyDescent="0.3">
      <c r="A204" s="3" t="s">
        <v>17</v>
      </c>
      <c r="B204" s="3">
        <v>412</v>
      </c>
      <c r="C204" s="3" t="s">
        <v>358</v>
      </c>
      <c r="D204" s="3">
        <v>1</v>
      </c>
      <c r="E204" s="3" t="s">
        <v>19</v>
      </c>
      <c r="F204" s="3" t="s">
        <v>25</v>
      </c>
      <c r="G204" s="3" t="s">
        <v>19</v>
      </c>
      <c r="H204" s="3" t="s">
        <v>76</v>
      </c>
      <c r="I204" s="3">
        <v>4.55</v>
      </c>
      <c r="J204" s="3" t="s">
        <v>91</v>
      </c>
      <c r="K204" s="3" t="s">
        <v>361</v>
      </c>
      <c r="L204" s="3" t="s">
        <v>24</v>
      </c>
      <c r="M204" s="3">
        <v>8</v>
      </c>
      <c r="N204" s="6"/>
      <c r="O204" s="3">
        <v>8</v>
      </c>
      <c r="P204" s="3">
        <v>8</v>
      </c>
      <c r="Q204" s="3">
        <v>0</v>
      </c>
      <c r="R204" s="3">
        <v>0</v>
      </c>
      <c r="S204" s="3">
        <v>8</v>
      </c>
      <c r="T204" s="3">
        <v>0</v>
      </c>
      <c r="U204" s="3">
        <v>0</v>
      </c>
      <c r="V204" s="3">
        <f t="shared" si="47"/>
        <v>8</v>
      </c>
      <c r="W204" s="3">
        <v>0</v>
      </c>
      <c r="X204" s="3">
        <v>0</v>
      </c>
      <c r="Y204" s="3">
        <v>8</v>
      </c>
      <c r="Z204" s="3">
        <v>0</v>
      </c>
      <c r="AA204" s="3">
        <v>0</v>
      </c>
      <c r="AB204" s="3">
        <f t="shared" si="48"/>
        <v>8</v>
      </c>
      <c r="AC204" s="6">
        <f t="shared" si="41"/>
        <v>0</v>
      </c>
      <c r="AD204" s="6">
        <f t="shared" si="42"/>
        <v>0</v>
      </c>
      <c r="AE204" s="6">
        <f t="shared" si="43"/>
        <v>-8</v>
      </c>
      <c r="AF204" s="6">
        <f t="shared" si="44"/>
        <v>0</v>
      </c>
      <c r="AG204" s="6">
        <f t="shared" si="45"/>
        <v>0</v>
      </c>
      <c r="AH204" s="6">
        <f t="shared" si="49"/>
        <v>-8</v>
      </c>
      <c r="AI204" s="3"/>
      <c r="AJ204" s="3" t="e">
        <f>_xlfn.XLOOKUP(K204,工作表1!A:A,工作表1!C:C)</f>
        <v>#N/A</v>
      </c>
      <c r="AK204" s="3"/>
      <c r="AL204" s="6">
        <f t="shared" si="50"/>
        <v>0</v>
      </c>
      <c r="AM204" s="6">
        <f t="shared" si="51"/>
        <v>0</v>
      </c>
      <c r="AN204" s="6">
        <f t="shared" si="52"/>
        <v>0</v>
      </c>
      <c r="AO204" s="6">
        <f t="shared" si="53"/>
        <v>0</v>
      </c>
      <c r="AP204" s="6">
        <f t="shared" si="54"/>
        <v>0</v>
      </c>
      <c r="AQ204" s="6">
        <f t="shared" si="55"/>
        <v>0</v>
      </c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  <c r="BC204" s="6"/>
      <c r="BD204" s="6"/>
      <c r="BE204" s="6"/>
      <c r="BF204" s="6"/>
      <c r="BG204" s="6"/>
      <c r="BH204" s="6"/>
      <c r="BI204" s="6"/>
      <c r="BJ204" s="6"/>
      <c r="BK204" s="6"/>
      <c r="BL204" s="6"/>
      <c r="BM204" s="6"/>
      <c r="BN204" s="6"/>
      <c r="BO204" s="6"/>
      <c r="BP204" s="3">
        <v>8</v>
      </c>
      <c r="BQ204" s="6">
        <f t="shared" si="46"/>
        <v>0</v>
      </c>
    </row>
    <row r="205" spans="1:70" x14ac:dyDescent="0.3">
      <c r="A205" s="3" t="s">
        <v>17</v>
      </c>
      <c r="B205" s="3">
        <v>412</v>
      </c>
      <c r="C205" s="3" t="s">
        <v>362</v>
      </c>
      <c r="D205" s="3">
        <v>1</v>
      </c>
      <c r="E205" s="3" t="s">
        <v>19</v>
      </c>
      <c r="F205" s="3" t="s">
        <v>25</v>
      </c>
      <c r="G205" s="3" t="s">
        <v>19</v>
      </c>
      <c r="H205" s="3" t="s">
        <v>76</v>
      </c>
      <c r="I205" s="3">
        <v>4.55</v>
      </c>
      <c r="J205" s="3" t="s">
        <v>91</v>
      </c>
      <c r="K205" s="3" t="s">
        <v>363</v>
      </c>
      <c r="L205" s="3" t="s">
        <v>24</v>
      </c>
      <c r="M205" s="3">
        <v>4</v>
      </c>
      <c r="N205" s="6"/>
      <c r="O205" s="3">
        <v>3</v>
      </c>
      <c r="P205" s="3">
        <v>3</v>
      </c>
      <c r="Q205" s="3">
        <v>0</v>
      </c>
      <c r="R205" s="3">
        <v>0</v>
      </c>
      <c r="S205" s="3">
        <v>3</v>
      </c>
      <c r="T205" s="3">
        <v>0</v>
      </c>
      <c r="U205" s="3">
        <v>0</v>
      </c>
      <c r="V205" s="3">
        <f t="shared" si="47"/>
        <v>3</v>
      </c>
      <c r="W205" s="3">
        <v>0</v>
      </c>
      <c r="X205" s="3">
        <v>0</v>
      </c>
      <c r="Y205" s="3">
        <v>3</v>
      </c>
      <c r="Z205" s="3">
        <v>0</v>
      </c>
      <c r="AA205" s="3">
        <v>0</v>
      </c>
      <c r="AB205" s="3">
        <f t="shared" si="48"/>
        <v>3</v>
      </c>
      <c r="AC205" s="6">
        <f t="shared" si="41"/>
        <v>0</v>
      </c>
      <c r="AD205" s="6">
        <f t="shared" si="42"/>
        <v>0</v>
      </c>
      <c r="AE205" s="6">
        <f t="shared" si="43"/>
        <v>-1</v>
      </c>
      <c r="AF205" s="6">
        <f t="shared" si="44"/>
        <v>0</v>
      </c>
      <c r="AG205" s="6">
        <f t="shared" si="45"/>
        <v>0</v>
      </c>
      <c r="AH205" s="6">
        <f t="shared" si="49"/>
        <v>-1</v>
      </c>
      <c r="AI205" s="3"/>
      <c r="AJ205" s="3" t="e">
        <f>_xlfn.XLOOKUP(K205,工作表1!A:A,工作表1!C:C)</f>
        <v>#N/A</v>
      </c>
      <c r="AK205" s="3"/>
      <c r="AL205" s="6">
        <f t="shared" si="50"/>
        <v>0</v>
      </c>
      <c r="AM205" s="6">
        <f t="shared" si="51"/>
        <v>0</v>
      </c>
      <c r="AN205" s="6">
        <f t="shared" si="52"/>
        <v>2</v>
      </c>
      <c r="AO205" s="6">
        <f t="shared" si="53"/>
        <v>0</v>
      </c>
      <c r="AP205" s="6">
        <f t="shared" si="54"/>
        <v>0</v>
      </c>
      <c r="AQ205" s="6">
        <f t="shared" si="55"/>
        <v>2</v>
      </c>
      <c r="AR205" s="6"/>
      <c r="AS205" s="6"/>
      <c r="AT205" s="6"/>
      <c r="AU205" s="6"/>
      <c r="AV205" s="6"/>
      <c r="AW205" s="18"/>
      <c r="AX205" s="6"/>
      <c r="AY205" s="6"/>
      <c r="AZ205" s="6"/>
      <c r="BA205" s="18">
        <v>2</v>
      </c>
      <c r="BB205" s="6"/>
      <c r="BC205" s="6"/>
      <c r="BD205" s="6"/>
      <c r="BE205" s="6"/>
      <c r="BF205" s="6"/>
      <c r="BG205" s="6"/>
      <c r="BH205" s="6"/>
      <c r="BI205" s="6"/>
      <c r="BJ205" s="6"/>
      <c r="BK205" s="6"/>
      <c r="BL205" s="6"/>
      <c r="BM205" s="6"/>
      <c r="BN205" s="6"/>
      <c r="BO205" s="6"/>
      <c r="BP205" s="3">
        <v>3</v>
      </c>
      <c r="BQ205" s="6">
        <f t="shared" si="46"/>
        <v>2</v>
      </c>
      <c r="BR205">
        <v>2</v>
      </c>
    </row>
    <row r="206" spans="1:70" x14ac:dyDescent="0.3">
      <c r="A206" s="3" t="s">
        <v>17</v>
      </c>
      <c r="B206" s="3">
        <v>412</v>
      </c>
      <c r="C206" s="3" t="s">
        <v>362</v>
      </c>
      <c r="D206" s="3">
        <v>0.75</v>
      </c>
      <c r="E206" s="3" t="s">
        <v>19</v>
      </c>
      <c r="F206" s="3" t="s">
        <v>25</v>
      </c>
      <c r="G206" s="3" t="s">
        <v>19</v>
      </c>
      <c r="H206" s="3" t="s">
        <v>78</v>
      </c>
      <c r="I206" s="3">
        <v>3.91</v>
      </c>
      <c r="J206" s="3" t="s">
        <v>91</v>
      </c>
      <c r="K206" s="3" t="s">
        <v>364</v>
      </c>
      <c r="L206" s="3" t="s">
        <v>24</v>
      </c>
      <c r="M206" s="3">
        <v>3</v>
      </c>
      <c r="N206" s="6"/>
      <c r="O206" s="3">
        <v>2</v>
      </c>
      <c r="P206" s="3">
        <v>2</v>
      </c>
      <c r="Q206" s="3">
        <v>0</v>
      </c>
      <c r="R206" s="3">
        <v>0</v>
      </c>
      <c r="S206" s="3">
        <v>0</v>
      </c>
      <c r="T206" s="3">
        <v>2</v>
      </c>
      <c r="U206" s="3">
        <v>0</v>
      </c>
      <c r="V206" s="3">
        <f t="shared" si="47"/>
        <v>2</v>
      </c>
      <c r="W206" s="3">
        <v>0</v>
      </c>
      <c r="X206" s="3">
        <v>0</v>
      </c>
      <c r="Y206" s="3">
        <v>0</v>
      </c>
      <c r="Z206" s="3">
        <v>2</v>
      </c>
      <c r="AA206" s="3">
        <v>0</v>
      </c>
      <c r="AB206" s="3">
        <f t="shared" si="48"/>
        <v>2</v>
      </c>
      <c r="AC206" s="6">
        <f t="shared" si="41"/>
        <v>0</v>
      </c>
      <c r="AD206" s="6">
        <f t="shared" si="42"/>
        <v>0</v>
      </c>
      <c r="AE206" s="6">
        <f t="shared" si="43"/>
        <v>0</v>
      </c>
      <c r="AF206" s="6">
        <f t="shared" si="44"/>
        <v>-2</v>
      </c>
      <c r="AG206" s="6">
        <f t="shared" si="45"/>
        <v>0</v>
      </c>
      <c r="AH206" s="6">
        <f t="shared" si="49"/>
        <v>-2</v>
      </c>
      <c r="AI206" s="3"/>
      <c r="AJ206" s="3" t="e">
        <f>_xlfn.XLOOKUP(K206,工作表1!A:A,工作表1!C:C)</f>
        <v>#N/A</v>
      </c>
      <c r="AK206" s="3"/>
      <c r="AL206" s="6">
        <f t="shared" si="50"/>
        <v>0</v>
      </c>
      <c r="AM206" s="6">
        <f t="shared" si="51"/>
        <v>0</v>
      </c>
      <c r="AN206" s="6">
        <f t="shared" si="52"/>
        <v>0</v>
      </c>
      <c r="AO206" s="6">
        <f t="shared" si="53"/>
        <v>0</v>
      </c>
      <c r="AP206" s="6">
        <f t="shared" si="54"/>
        <v>0</v>
      </c>
      <c r="AQ206" s="6">
        <f t="shared" si="55"/>
        <v>0</v>
      </c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  <c r="BC206" s="6"/>
      <c r="BD206" s="6"/>
      <c r="BE206" s="6"/>
      <c r="BF206" s="6"/>
      <c r="BG206" s="6"/>
      <c r="BH206" s="6"/>
      <c r="BI206" s="6"/>
      <c r="BJ206" s="6"/>
      <c r="BK206" s="6"/>
      <c r="BL206" s="6"/>
      <c r="BM206" s="6"/>
      <c r="BN206" s="6"/>
      <c r="BO206" s="6"/>
      <c r="BP206" s="3">
        <v>2</v>
      </c>
      <c r="BQ206" s="6">
        <f t="shared" si="46"/>
        <v>0</v>
      </c>
    </row>
    <row r="207" spans="1:70" x14ac:dyDescent="0.3">
      <c r="A207" s="3" t="s">
        <v>17</v>
      </c>
      <c r="B207" s="3">
        <v>412</v>
      </c>
      <c r="C207" s="3" t="s">
        <v>365</v>
      </c>
      <c r="D207" s="3">
        <v>1.5</v>
      </c>
      <c r="E207" s="3" t="s">
        <v>19</v>
      </c>
      <c r="F207" s="3" t="s">
        <v>25</v>
      </c>
      <c r="G207" s="3" t="s">
        <v>19</v>
      </c>
      <c r="H207" s="3" t="s">
        <v>73</v>
      </c>
      <c r="I207" s="3">
        <v>5.08</v>
      </c>
      <c r="J207" s="3" t="s">
        <v>91</v>
      </c>
      <c r="K207" s="3" t="s">
        <v>366</v>
      </c>
      <c r="L207" s="3" t="s">
        <v>24</v>
      </c>
      <c r="M207" s="3">
        <v>14</v>
      </c>
      <c r="N207" s="6"/>
      <c r="O207" s="3">
        <v>6</v>
      </c>
      <c r="P207" s="3">
        <v>6</v>
      </c>
      <c r="Q207" s="3">
        <v>0</v>
      </c>
      <c r="R207" s="3">
        <v>2</v>
      </c>
      <c r="S207" s="3">
        <v>0</v>
      </c>
      <c r="T207" s="3">
        <v>4</v>
      </c>
      <c r="U207" s="3">
        <v>0</v>
      </c>
      <c r="V207" s="3">
        <f t="shared" si="47"/>
        <v>6</v>
      </c>
      <c r="W207" s="3">
        <v>0</v>
      </c>
      <c r="X207" s="3">
        <v>2</v>
      </c>
      <c r="Y207" s="3">
        <v>0</v>
      </c>
      <c r="Z207" s="3">
        <v>4</v>
      </c>
      <c r="AA207" s="3">
        <v>0</v>
      </c>
      <c r="AB207" s="3">
        <f t="shared" si="48"/>
        <v>6</v>
      </c>
      <c r="AC207" s="6">
        <f t="shared" si="41"/>
        <v>0</v>
      </c>
      <c r="AD207" s="6">
        <f t="shared" si="42"/>
        <v>0</v>
      </c>
      <c r="AE207" s="6">
        <f t="shared" si="43"/>
        <v>0</v>
      </c>
      <c r="AF207" s="6">
        <f t="shared" si="44"/>
        <v>-4</v>
      </c>
      <c r="AG207" s="6">
        <f t="shared" si="45"/>
        <v>0</v>
      </c>
      <c r="AH207" s="6">
        <f t="shared" si="49"/>
        <v>-4</v>
      </c>
      <c r="AI207" s="3"/>
      <c r="AJ207" s="3" t="e">
        <f>_xlfn.XLOOKUP(K207,工作表1!A:A,工作表1!C:C)</f>
        <v>#N/A</v>
      </c>
      <c r="AK207" s="3"/>
      <c r="AL207" s="6">
        <f t="shared" si="50"/>
        <v>0</v>
      </c>
      <c r="AM207" s="6">
        <f t="shared" si="51"/>
        <v>2</v>
      </c>
      <c r="AN207" s="6">
        <f t="shared" si="52"/>
        <v>0</v>
      </c>
      <c r="AO207" s="6">
        <f t="shared" si="53"/>
        <v>0</v>
      </c>
      <c r="AP207" s="6">
        <f t="shared" si="54"/>
        <v>0</v>
      </c>
      <c r="AQ207" s="6">
        <f t="shared" si="55"/>
        <v>2</v>
      </c>
      <c r="AR207" s="6"/>
      <c r="AS207" s="6"/>
      <c r="AT207" s="6"/>
      <c r="AU207" s="6"/>
      <c r="AV207" s="6"/>
      <c r="AW207" s="6">
        <v>2</v>
      </c>
      <c r="AX207" s="6"/>
      <c r="AY207" s="6"/>
      <c r="AZ207" s="6"/>
      <c r="BA207" s="6"/>
      <c r="BB207" s="6"/>
      <c r="BC207" s="6"/>
      <c r="BD207" s="6"/>
      <c r="BE207" s="6"/>
      <c r="BF207" s="6"/>
      <c r="BG207" s="6"/>
      <c r="BH207" s="6"/>
      <c r="BI207" s="6"/>
      <c r="BJ207" s="6"/>
      <c r="BK207" s="6"/>
      <c r="BL207" s="6"/>
      <c r="BM207" s="6"/>
      <c r="BN207" s="6"/>
      <c r="BO207" s="6"/>
      <c r="BP207" s="3">
        <v>6</v>
      </c>
      <c r="BQ207" s="6">
        <f t="shared" si="46"/>
        <v>2</v>
      </c>
      <c r="BR207">
        <v>2</v>
      </c>
    </row>
    <row r="208" spans="1:70" x14ac:dyDescent="0.3">
      <c r="A208" s="3" t="s">
        <v>17</v>
      </c>
      <c r="B208" s="3">
        <v>412</v>
      </c>
      <c r="C208" s="3" t="s">
        <v>365</v>
      </c>
      <c r="D208" s="3">
        <v>1</v>
      </c>
      <c r="E208" s="3" t="s">
        <v>19</v>
      </c>
      <c r="F208" s="3" t="s">
        <v>25</v>
      </c>
      <c r="G208" s="3" t="s">
        <v>19</v>
      </c>
      <c r="H208" s="3" t="s">
        <v>76</v>
      </c>
      <c r="I208" s="3">
        <v>4.55</v>
      </c>
      <c r="J208" s="3" t="s">
        <v>91</v>
      </c>
      <c r="K208" s="3" t="s">
        <v>367</v>
      </c>
      <c r="L208" s="3" t="s">
        <v>24</v>
      </c>
      <c r="M208" s="3">
        <v>98</v>
      </c>
      <c r="N208" s="6"/>
      <c r="O208" s="3">
        <v>72</v>
      </c>
      <c r="P208" s="3">
        <v>72</v>
      </c>
      <c r="Q208" s="3">
        <v>0</v>
      </c>
      <c r="R208" s="3">
        <v>13</v>
      </c>
      <c r="S208" s="3">
        <v>44</v>
      </c>
      <c r="T208" s="3">
        <v>15</v>
      </c>
      <c r="U208" s="3">
        <v>0</v>
      </c>
      <c r="V208" s="3">
        <f t="shared" si="47"/>
        <v>72</v>
      </c>
      <c r="W208" s="3">
        <v>0</v>
      </c>
      <c r="X208" s="3">
        <v>13</v>
      </c>
      <c r="Y208" s="3">
        <v>44</v>
      </c>
      <c r="Z208" s="3">
        <v>15</v>
      </c>
      <c r="AA208" s="3">
        <v>0</v>
      </c>
      <c r="AB208" s="3">
        <f t="shared" si="48"/>
        <v>72</v>
      </c>
      <c r="AC208" s="6">
        <f t="shared" si="41"/>
        <v>0</v>
      </c>
      <c r="AD208" s="6">
        <f t="shared" si="42"/>
        <v>0</v>
      </c>
      <c r="AE208" s="6">
        <f t="shared" si="43"/>
        <v>-30</v>
      </c>
      <c r="AF208" s="6">
        <f t="shared" si="44"/>
        <v>-15</v>
      </c>
      <c r="AG208" s="6">
        <f t="shared" si="45"/>
        <v>0</v>
      </c>
      <c r="AH208" s="6">
        <f t="shared" si="49"/>
        <v>-45</v>
      </c>
      <c r="AI208" s="3"/>
      <c r="AJ208" s="3" t="e">
        <f>_xlfn.XLOOKUP(K208,工作表1!A:A,工作表1!C:C)</f>
        <v>#N/A</v>
      </c>
      <c r="AK208" s="3"/>
      <c r="AL208" s="6">
        <f t="shared" si="50"/>
        <v>0</v>
      </c>
      <c r="AM208" s="6">
        <f t="shared" si="51"/>
        <v>13</v>
      </c>
      <c r="AN208" s="6">
        <f t="shared" si="52"/>
        <v>14</v>
      </c>
      <c r="AO208" s="6">
        <f t="shared" si="53"/>
        <v>0</v>
      </c>
      <c r="AP208" s="6">
        <f t="shared" si="54"/>
        <v>0</v>
      </c>
      <c r="AQ208" s="6">
        <f t="shared" si="55"/>
        <v>27</v>
      </c>
      <c r="AR208" s="6"/>
      <c r="AS208" s="6"/>
      <c r="AT208" s="6"/>
      <c r="AU208" s="6"/>
      <c r="AV208" s="6"/>
      <c r="AW208" s="18">
        <v>13</v>
      </c>
      <c r="AX208" s="6"/>
      <c r="AY208" s="6"/>
      <c r="AZ208" s="6"/>
      <c r="BA208" s="18">
        <v>14</v>
      </c>
      <c r="BB208" s="6"/>
      <c r="BC208" s="6"/>
      <c r="BD208" s="6"/>
      <c r="BE208" s="6"/>
      <c r="BF208" s="6"/>
      <c r="BG208" s="6"/>
      <c r="BH208" s="6"/>
      <c r="BI208" s="6"/>
      <c r="BJ208" s="6"/>
      <c r="BK208" s="6"/>
      <c r="BL208" s="6"/>
      <c r="BM208" s="6"/>
      <c r="BN208" s="6"/>
      <c r="BO208" s="6"/>
      <c r="BP208" s="3">
        <v>72</v>
      </c>
      <c r="BQ208" s="6">
        <f t="shared" si="46"/>
        <v>27</v>
      </c>
      <c r="BR208">
        <v>27</v>
      </c>
    </row>
    <row r="209" spans="1:70" x14ac:dyDescent="0.3">
      <c r="A209" s="3" t="s">
        <v>17</v>
      </c>
      <c r="B209" s="3">
        <v>412</v>
      </c>
      <c r="C209" s="3" t="s">
        <v>365</v>
      </c>
      <c r="D209" s="3">
        <v>0.75</v>
      </c>
      <c r="E209" s="3" t="s">
        <v>19</v>
      </c>
      <c r="F209" s="3" t="s">
        <v>25</v>
      </c>
      <c r="G209" s="3" t="s">
        <v>19</v>
      </c>
      <c r="H209" s="3" t="s">
        <v>78</v>
      </c>
      <c r="I209" s="3">
        <v>3.91</v>
      </c>
      <c r="J209" s="3" t="s">
        <v>91</v>
      </c>
      <c r="K209" s="3" t="s">
        <v>368</v>
      </c>
      <c r="L209" s="3" t="s">
        <v>24</v>
      </c>
      <c r="M209" s="3">
        <v>51</v>
      </c>
      <c r="N209" s="6"/>
      <c r="O209" s="3">
        <v>28</v>
      </c>
      <c r="P209" s="3">
        <v>28</v>
      </c>
      <c r="Q209" s="3">
        <v>0</v>
      </c>
      <c r="R209" s="3">
        <v>14</v>
      </c>
      <c r="S209" s="3">
        <v>10</v>
      </c>
      <c r="T209" s="3">
        <v>4</v>
      </c>
      <c r="U209" s="3">
        <v>0</v>
      </c>
      <c r="V209" s="3">
        <f t="shared" si="47"/>
        <v>28</v>
      </c>
      <c r="W209" s="3">
        <v>0</v>
      </c>
      <c r="X209" s="3">
        <v>14</v>
      </c>
      <c r="Y209" s="3">
        <v>10</v>
      </c>
      <c r="Z209" s="3">
        <v>4</v>
      </c>
      <c r="AA209" s="3">
        <v>0</v>
      </c>
      <c r="AB209" s="3">
        <f t="shared" si="48"/>
        <v>28</v>
      </c>
      <c r="AC209" s="6">
        <f t="shared" si="41"/>
        <v>0</v>
      </c>
      <c r="AD209" s="6">
        <f t="shared" si="42"/>
        <v>0</v>
      </c>
      <c r="AE209" s="6">
        <f t="shared" si="43"/>
        <v>-9</v>
      </c>
      <c r="AF209" s="6">
        <f t="shared" si="44"/>
        <v>0</v>
      </c>
      <c r="AG209" s="6">
        <f t="shared" si="45"/>
        <v>0</v>
      </c>
      <c r="AH209" s="6">
        <f t="shared" si="49"/>
        <v>-9</v>
      </c>
      <c r="AI209" s="3"/>
      <c r="AJ209" s="3" t="e">
        <f>_xlfn.XLOOKUP(K209,工作表1!A:A,工作表1!C:C)</f>
        <v>#N/A</v>
      </c>
      <c r="AK209" s="3"/>
      <c r="AL209" s="6">
        <f t="shared" si="50"/>
        <v>0</v>
      </c>
      <c r="AM209" s="6">
        <f t="shared" si="51"/>
        <v>14</v>
      </c>
      <c r="AN209" s="6">
        <f t="shared" si="52"/>
        <v>1</v>
      </c>
      <c r="AO209" s="6">
        <f t="shared" si="53"/>
        <v>4</v>
      </c>
      <c r="AP209" s="6">
        <f t="shared" si="54"/>
        <v>0</v>
      </c>
      <c r="AQ209" s="6">
        <f t="shared" si="55"/>
        <v>19</v>
      </c>
      <c r="AR209" s="6"/>
      <c r="AS209" s="6"/>
      <c r="AT209" s="6"/>
      <c r="AU209" s="6"/>
      <c r="AV209" s="6"/>
      <c r="AW209" s="18">
        <v>14</v>
      </c>
      <c r="AX209" s="6"/>
      <c r="AY209" s="6"/>
      <c r="AZ209" s="6"/>
      <c r="BA209" s="18">
        <v>1</v>
      </c>
      <c r="BB209" s="6"/>
      <c r="BC209" s="6"/>
      <c r="BD209" s="6"/>
      <c r="BE209" s="6"/>
      <c r="BF209" s="18">
        <v>4</v>
      </c>
      <c r="BG209" s="6"/>
      <c r="BH209" s="6"/>
      <c r="BI209" s="6"/>
      <c r="BJ209" s="6"/>
      <c r="BK209" s="6"/>
      <c r="BL209" s="6"/>
      <c r="BM209" s="6"/>
      <c r="BN209" s="6"/>
      <c r="BO209" s="6"/>
      <c r="BP209" s="3">
        <v>28</v>
      </c>
      <c r="BQ209" s="6">
        <f t="shared" si="46"/>
        <v>19</v>
      </c>
      <c r="BR209">
        <v>19</v>
      </c>
    </row>
    <row r="210" spans="1:70" x14ac:dyDescent="0.3">
      <c r="A210" s="3" t="s">
        <v>17</v>
      </c>
      <c r="B210" s="3">
        <v>412</v>
      </c>
      <c r="C210" s="3" t="s">
        <v>365</v>
      </c>
      <c r="D210" s="3">
        <v>0.5</v>
      </c>
      <c r="E210" s="3" t="s">
        <v>19</v>
      </c>
      <c r="F210" s="3" t="s">
        <v>25</v>
      </c>
      <c r="G210" s="3" t="s">
        <v>19</v>
      </c>
      <c r="H210" s="3" t="s">
        <v>81</v>
      </c>
      <c r="I210" s="3">
        <v>3.73</v>
      </c>
      <c r="J210" s="3" t="s">
        <v>91</v>
      </c>
      <c r="K210" s="3" t="s">
        <v>369</v>
      </c>
      <c r="L210" s="3" t="s">
        <v>24</v>
      </c>
      <c r="M210" s="3">
        <v>77</v>
      </c>
      <c r="N210" s="6"/>
      <c r="O210" s="3">
        <v>8</v>
      </c>
      <c r="P210" s="3">
        <v>8</v>
      </c>
      <c r="Q210" s="3">
        <v>0</v>
      </c>
      <c r="R210" s="3">
        <v>0</v>
      </c>
      <c r="S210" s="3">
        <v>4</v>
      </c>
      <c r="T210" s="3">
        <v>4</v>
      </c>
      <c r="U210" s="3">
        <v>0</v>
      </c>
      <c r="V210" s="3">
        <f t="shared" si="47"/>
        <v>8</v>
      </c>
      <c r="W210" s="3">
        <v>0</v>
      </c>
      <c r="X210" s="3">
        <v>0</v>
      </c>
      <c r="Y210" s="3">
        <v>4</v>
      </c>
      <c r="Z210" s="3">
        <v>4</v>
      </c>
      <c r="AA210" s="3">
        <v>0</v>
      </c>
      <c r="AB210" s="3">
        <f t="shared" si="48"/>
        <v>8</v>
      </c>
      <c r="AC210" s="6">
        <f t="shared" si="41"/>
        <v>0</v>
      </c>
      <c r="AD210" s="6">
        <f t="shared" si="42"/>
        <v>0</v>
      </c>
      <c r="AE210" s="6">
        <f t="shared" si="43"/>
        <v>-2</v>
      </c>
      <c r="AF210" s="6">
        <f t="shared" si="44"/>
        <v>-4</v>
      </c>
      <c r="AG210" s="6">
        <f t="shared" si="45"/>
        <v>0</v>
      </c>
      <c r="AH210" s="6">
        <f t="shared" si="49"/>
        <v>-6</v>
      </c>
      <c r="AI210" s="3"/>
      <c r="AJ210" s="3" t="e">
        <f>_xlfn.XLOOKUP(K210,工作表1!A:A,工作表1!C:C)</f>
        <v>#N/A</v>
      </c>
      <c r="AK210" s="3"/>
      <c r="AL210" s="6">
        <f t="shared" si="50"/>
        <v>0</v>
      </c>
      <c r="AM210" s="6">
        <f t="shared" si="51"/>
        <v>0</v>
      </c>
      <c r="AN210" s="6">
        <f t="shared" si="52"/>
        <v>2</v>
      </c>
      <c r="AO210" s="6">
        <f t="shared" si="53"/>
        <v>0</v>
      </c>
      <c r="AP210" s="6">
        <f t="shared" si="54"/>
        <v>0</v>
      </c>
      <c r="AQ210" s="6">
        <f t="shared" si="55"/>
        <v>2</v>
      </c>
      <c r="AR210" s="6"/>
      <c r="AS210" s="6"/>
      <c r="AT210" s="6"/>
      <c r="AU210" s="6"/>
      <c r="AV210" s="6"/>
      <c r="AW210" s="18"/>
      <c r="AX210" s="6"/>
      <c r="AY210" s="6"/>
      <c r="AZ210" s="6"/>
      <c r="BA210" s="6">
        <v>2</v>
      </c>
      <c r="BB210" s="6"/>
      <c r="BC210" s="6"/>
      <c r="BD210" s="6"/>
      <c r="BE210" s="6"/>
      <c r="BF210" s="6"/>
      <c r="BG210" s="6"/>
      <c r="BH210" s="6"/>
      <c r="BI210" s="6"/>
      <c r="BJ210" s="6"/>
      <c r="BK210" s="6"/>
      <c r="BL210" s="6"/>
      <c r="BM210" s="6"/>
      <c r="BN210" s="6"/>
      <c r="BO210" s="6"/>
      <c r="BP210" s="3">
        <v>8</v>
      </c>
      <c r="BQ210" s="6">
        <f t="shared" si="46"/>
        <v>2</v>
      </c>
      <c r="BR210">
        <v>2</v>
      </c>
    </row>
    <row r="211" spans="1:70" x14ac:dyDescent="0.3">
      <c r="A211" s="3" t="s">
        <v>17</v>
      </c>
      <c r="B211" s="3">
        <v>412</v>
      </c>
      <c r="C211" s="3" t="s">
        <v>370</v>
      </c>
      <c r="D211" s="3">
        <v>0.75</v>
      </c>
      <c r="E211" s="3" t="s">
        <v>19</v>
      </c>
      <c r="F211" s="3" t="s">
        <v>41</v>
      </c>
      <c r="G211" s="3" t="s">
        <v>19</v>
      </c>
      <c r="H211" s="3" t="s">
        <v>61</v>
      </c>
      <c r="I211" s="3">
        <v>5.56</v>
      </c>
      <c r="J211" s="3" t="s">
        <v>91</v>
      </c>
      <c r="K211" s="3" t="s">
        <v>371</v>
      </c>
      <c r="L211" s="3" t="s">
        <v>24</v>
      </c>
      <c r="M211" s="3">
        <v>3</v>
      </c>
      <c r="N211" s="6"/>
      <c r="O211" s="3">
        <v>2</v>
      </c>
      <c r="P211" s="3">
        <v>2</v>
      </c>
      <c r="Q211" s="3">
        <v>0</v>
      </c>
      <c r="R211" s="3">
        <v>0</v>
      </c>
      <c r="S211" s="3">
        <v>2</v>
      </c>
      <c r="T211" s="3">
        <v>0</v>
      </c>
      <c r="U211" s="3">
        <v>0</v>
      </c>
      <c r="V211" s="3">
        <f t="shared" si="47"/>
        <v>2</v>
      </c>
      <c r="W211" s="3">
        <v>0</v>
      </c>
      <c r="X211" s="3">
        <v>0</v>
      </c>
      <c r="Y211" s="3">
        <v>2</v>
      </c>
      <c r="Z211" s="3">
        <v>0</v>
      </c>
      <c r="AA211" s="3">
        <v>0</v>
      </c>
      <c r="AB211" s="3">
        <f t="shared" si="48"/>
        <v>2</v>
      </c>
      <c r="AC211" s="6">
        <f t="shared" si="41"/>
        <v>0</v>
      </c>
      <c r="AD211" s="6">
        <f t="shared" si="42"/>
        <v>0</v>
      </c>
      <c r="AE211" s="6">
        <f t="shared" si="43"/>
        <v>-2</v>
      </c>
      <c r="AF211" s="6">
        <f t="shared" si="44"/>
        <v>0</v>
      </c>
      <c r="AG211" s="6">
        <f t="shared" si="45"/>
        <v>0</v>
      </c>
      <c r="AH211" s="6">
        <f t="shared" si="49"/>
        <v>-2</v>
      </c>
      <c r="AI211" s="3"/>
      <c r="AJ211" s="3" t="e">
        <f>_xlfn.XLOOKUP(K211,工作表1!A:A,工作表1!C:C)</f>
        <v>#N/A</v>
      </c>
      <c r="AK211" s="3"/>
      <c r="AL211" s="6">
        <f t="shared" si="50"/>
        <v>0</v>
      </c>
      <c r="AM211" s="6">
        <f t="shared" si="51"/>
        <v>0</v>
      </c>
      <c r="AN211" s="6">
        <f t="shared" si="52"/>
        <v>0</v>
      </c>
      <c r="AO211" s="6">
        <f t="shared" si="53"/>
        <v>0</v>
      </c>
      <c r="AP211" s="6">
        <f t="shared" si="54"/>
        <v>0</v>
      </c>
      <c r="AQ211" s="6">
        <f t="shared" si="55"/>
        <v>0</v>
      </c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  <c r="BC211" s="6"/>
      <c r="BD211" s="6"/>
      <c r="BE211" s="6"/>
      <c r="BF211" s="6"/>
      <c r="BG211" s="6"/>
      <c r="BH211" s="6"/>
      <c r="BI211" s="6"/>
      <c r="BJ211" s="6"/>
      <c r="BK211" s="6"/>
      <c r="BL211" s="6"/>
      <c r="BM211" s="6"/>
      <c r="BN211" s="6"/>
      <c r="BO211" s="6"/>
      <c r="BP211" s="3">
        <v>2</v>
      </c>
      <c r="BQ211" s="6">
        <f t="shared" si="46"/>
        <v>0</v>
      </c>
    </row>
    <row r="212" spans="1:70" x14ac:dyDescent="0.3">
      <c r="A212" s="3" t="s">
        <v>17</v>
      </c>
      <c r="B212" s="3">
        <v>412</v>
      </c>
      <c r="C212" s="3" t="s">
        <v>370</v>
      </c>
      <c r="D212" s="3">
        <v>0.5</v>
      </c>
      <c r="E212" s="3" t="s">
        <v>19</v>
      </c>
      <c r="F212" s="3" t="s">
        <v>25</v>
      </c>
      <c r="G212" s="3" t="s">
        <v>19</v>
      </c>
      <c r="H212" s="3" t="s">
        <v>81</v>
      </c>
      <c r="I212" s="3">
        <v>3.73</v>
      </c>
      <c r="J212" s="3" t="s">
        <v>91</v>
      </c>
      <c r="K212" s="3" t="s">
        <v>372</v>
      </c>
      <c r="L212" s="3" t="s">
        <v>24</v>
      </c>
      <c r="M212" s="3">
        <v>2</v>
      </c>
      <c r="N212" s="6"/>
      <c r="O212" s="3">
        <v>2</v>
      </c>
      <c r="P212" s="3">
        <v>2</v>
      </c>
      <c r="Q212" s="3">
        <v>0</v>
      </c>
      <c r="R212" s="3">
        <v>0</v>
      </c>
      <c r="S212" s="3">
        <v>2</v>
      </c>
      <c r="T212" s="3">
        <v>0</v>
      </c>
      <c r="U212" s="3">
        <v>0</v>
      </c>
      <c r="V212" s="3">
        <f t="shared" si="47"/>
        <v>2</v>
      </c>
      <c r="W212" s="3">
        <v>0</v>
      </c>
      <c r="X212" s="3">
        <v>0</v>
      </c>
      <c r="Y212" s="3">
        <v>2</v>
      </c>
      <c r="Z212" s="3">
        <v>0</v>
      </c>
      <c r="AA212" s="3">
        <v>0</v>
      </c>
      <c r="AB212" s="3">
        <f t="shared" si="48"/>
        <v>2</v>
      </c>
      <c r="AC212" s="6">
        <f t="shared" si="41"/>
        <v>0</v>
      </c>
      <c r="AD212" s="6">
        <f t="shared" si="42"/>
        <v>0</v>
      </c>
      <c r="AE212" s="6">
        <f t="shared" si="43"/>
        <v>-2</v>
      </c>
      <c r="AF212" s="6">
        <f t="shared" si="44"/>
        <v>0</v>
      </c>
      <c r="AG212" s="6">
        <f t="shared" si="45"/>
        <v>0</v>
      </c>
      <c r="AH212" s="6">
        <f t="shared" si="49"/>
        <v>-2</v>
      </c>
      <c r="AI212" s="3"/>
      <c r="AJ212" s="3" t="e">
        <f>_xlfn.XLOOKUP(K212,工作表1!A:A,工作表1!C:C)</f>
        <v>#N/A</v>
      </c>
      <c r="AK212" s="3"/>
      <c r="AL212" s="6">
        <f t="shared" si="50"/>
        <v>0</v>
      </c>
      <c r="AM212" s="6">
        <f t="shared" si="51"/>
        <v>0</v>
      </c>
      <c r="AN212" s="6">
        <f t="shared" si="52"/>
        <v>0</v>
      </c>
      <c r="AO212" s="6">
        <f t="shared" si="53"/>
        <v>0</v>
      </c>
      <c r="AP212" s="6">
        <f t="shared" si="54"/>
        <v>0</v>
      </c>
      <c r="AQ212" s="6">
        <f t="shared" si="55"/>
        <v>0</v>
      </c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  <c r="BC212" s="6"/>
      <c r="BD212" s="6"/>
      <c r="BE212" s="6"/>
      <c r="BF212" s="6"/>
      <c r="BG212" s="6"/>
      <c r="BH212" s="6"/>
      <c r="BI212" s="6"/>
      <c r="BJ212" s="6"/>
      <c r="BK212" s="6"/>
      <c r="BL212" s="6"/>
      <c r="BM212" s="6"/>
      <c r="BN212" s="6"/>
      <c r="BO212" s="6"/>
      <c r="BP212" s="3">
        <v>2</v>
      </c>
      <c r="BQ212" s="6">
        <f t="shared" si="46"/>
        <v>0</v>
      </c>
    </row>
    <row r="213" spans="1:70" x14ac:dyDescent="0.3">
      <c r="A213" s="3" t="s">
        <v>17</v>
      </c>
      <c r="B213" s="3">
        <v>415</v>
      </c>
      <c r="C213" s="3" t="s">
        <v>373</v>
      </c>
      <c r="D213" s="3">
        <v>10</v>
      </c>
      <c r="E213" s="3" t="s">
        <v>19</v>
      </c>
      <c r="F213" s="3" t="s">
        <v>20</v>
      </c>
      <c r="G213" s="3" t="s">
        <v>19</v>
      </c>
      <c r="H213" s="3" t="s">
        <v>374</v>
      </c>
      <c r="I213" s="3">
        <v>9.27</v>
      </c>
      <c r="J213" s="3" t="s">
        <v>91</v>
      </c>
      <c r="K213" s="3" t="s">
        <v>375</v>
      </c>
      <c r="L213" s="3" t="s">
        <v>24</v>
      </c>
      <c r="M213" s="3">
        <v>2</v>
      </c>
      <c r="N213" s="6"/>
      <c r="O213" s="3">
        <v>1</v>
      </c>
      <c r="P213" s="3">
        <v>1</v>
      </c>
      <c r="Q213" s="3">
        <v>0</v>
      </c>
      <c r="R213" s="3">
        <v>0</v>
      </c>
      <c r="S213" s="3">
        <v>0</v>
      </c>
      <c r="T213" s="3">
        <v>1</v>
      </c>
      <c r="U213" s="3">
        <v>0</v>
      </c>
      <c r="V213" s="3">
        <f t="shared" si="47"/>
        <v>1</v>
      </c>
      <c r="W213" s="3">
        <v>0</v>
      </c>
      <c r="X213" s="3">
        <v>0</v>
      </c>
      <c r="Y213" s="3">
        <v>0</v>
      </c>
      <c r="Z213" s="3">
        <v>1</v>
      </c>
      <c r="AA213" s="3">
        <v>0</v>
      </c>
      <c r="AB213" s="3">
        <f t="shared" si="48"/>
        <v>1</v>
      </c>
      <c r="AC213" s="6">
        <f t="shared" si="41"/>
        <v>0</v>
      </c>
      <c r="AD213" s="6">
        <f t="shared" si="42"/>
        <v>0</v>
      </c>
      <c r="AE213" s="6">
        <f t="shared" si="43"/>
        <v>0</v>
      </c>
      <c r="AF213" s="6">
        <f t="shared" si="44"/>
        <v>0</v>
      </c>
      <c r="AG213" s="6">
        <f t="shared" si="45"/>
        <v>0</v>
      </c>
      <c r="AH213" s="6">
        <f t="shared" si="49"/>
        <v>0</v>
      </c>
      <c r="AI213" s="3"/>
      <c r="AJ213" s="3" t="e">
        <f>_xlfn.XLOOKUP(K213,工作表1!A:A,工作表1!C:C)</f>
        <v>#N/A</v>
      </c>
      <c r="AK213" s="3"/>
      <c r="AL213" s="6">
        <f t="shared" si="50"/>
        <v>0</v>
      </c>
      <c r="AM213" s="6">
        <f t="shared" si="51"/>
        <v>0</v>
      </c>
      <c r="AN213" s="6">
        <f t="shared" si="52"/>
        <v>0</v>
      </c>
      <c r="AO213" s="6">
        <f t="shared" si="53"/>
        <v>1</v>
      </c>
      <c r="AP213" s="6">
        <f t="shared" si="54"/>
        <v>0</v>
      </c>
      <c r="AQ213" s="6">
        <f t="shared" si="55"/>
        <v>1</v>
      </c>
      <c r="AR213" s="6"/>
      <c r="AS213" s="6"/>
      <c r="AT213" s="6"/>
      <c r="AU213" s="6"/>
      <c r="AV213" s="6"/>
      <c r="AW213" s="18"/>
      <c r="AX213" s="6"/>
      <c r="AY213" s="6"/>
      <c r="AZ213" s="6"/>
      <c r="BA213" s="6"/>
      <c r="BB213" s="6"/>
      <c r="BC213" s="6"/>
      <c r="BD213" s="6"/>
      <c r="BE213" s="6"/>
      <c r="BF213" s="18">
        <v>1</v>
      </c>
      <c r="BG213" s="6"/>
      <c r="BH213" s="6"/>
      <c r="BI213" s="6"/>
      <c r="BJ213" s="6"/>
      <c r="BK213" s="6"/>
      <c r="BL213" s="6"/>
      <c r="BM213" s="6"/>
      <c r="BN213" s="6"/>
      <c r="BO213" s="6"/>
      <c r="BP213" s="3">
        <v>1</v>
      </c>
      <c r="BQ213" s="6">
        <f t="shared" si="46"/>
        <v>1</v>
      </c>
      <c r="BR213">
        <v>1</v>
      </c>
    </row>
    <row r="214" spans="1:70" x14ac:dyDescent="0.3">
      <c r="A214" s="3" t="s">
        <v>17</v>
      </c>
      <c r="B214" s="3">
        <v>415</v>
      </c>
      <c r="C214" s="3" t="s">
        <v>373</v>
      </c>
      <c r="D214" s="3">
        <v>8</v>
      </c>
      <c r="E214" s="3" t="s">
        <v>19</v>
      </c>
      <c r="F214" s="3" t="s">
        <v>20</v>
      </c>
      <c r="G214" s="3" t="s">
        <v>19</v>
      </c>
      <c r="H214" s="3" t="s">
        <v>21</v>
      </c>
      <c r="I214" s="3">
        <v>8.18</v>
      </c>
      <c r="J214" s="3" t="s">
        <v>91</v>
      </c>
      <c r="K214" s="3" t="s">
        <v>376</v>
      </c>
      <c r="L214" s="3" t="s">
        <v>24</v>
      </c>
      <c r="M214" s="3">
        <v>35</v>
      </c>
      <c r="N214" s="6"/>
      <c r="O214" s="3">
        <v>8</v>
      </c>
      <c r="P214" s="3">
        <v>8</v>
      </c>
      <c r="Q214" s="3">
        <v>0</v>
      </c>
      <c r="R214" s="3">
        <v>4</v>
      </c>
      <c r="S214" s="3">
        <v>0</v>
      </c>
      <c r="T214" s="3">
        <v>4</v>
      </c>
      <c r="U214" s="3">
        <v>0</v>
      </c>
      <c r="V214" s="3">
        <f t="shared" si="47"/>
        <v>8</v>
      </c>
      <c r="W214" s="3">
        <v>0</v>
      </c>
      <c r="X214" s="3">
        <v>4</v>
      </c>
      <c r="Y214" s="3">
        <v>0</v>
      </c>
      <c r="Z214" s="3">
        <v>4</v>
      </c>
      <c r="AA214" s="3">
        <v>0</v>
      </c>
      <c r="AB214" s="3">
        <f t="shared" si="48"/>
        <v>8</v>
      </c>
      <c r="AC214" s="6">
        <f t="shared" si="41"/>
        <v>0</v>
      </c>
      <c r="AD214" s="6">
        <f t="shared" si="42"/>
        <v>0</v>
      </c>
      <c r="AE214" s="6">
        <f t="shared" si="43"/>
        <v>0</v>
      </c>
      <c r="AF214" s="6">
        <f t="shared" si="44"/>
        <v>0</v>
      </c>
      <c r="AG214" s="6">
        <f t="shared" si="45"/>
        <v>0</v>
      </c>
      <c r="AH214" s="6">
        <f t="shared" si="49"/>
        <v>0</v>
      </c>
      <c r="AI214" s="3"/>
      <c r="AJ214" s="3" t="e">
        <f>_xlfn.XLOOKUP(K214,工作表1!A:A,工作表1!C:C)</f>
        <v>#N/A</v>
      </c>
      <c r="AK214" s="3"/>
      <c r="AL214" s="6">
        <f t="shared" si="50"/>
        <v>0</v>
      </c>
      <c r="AM214" s="6">
        <f t="shared" si="51"/>
        <v>4</v>
      </c>
      <c r="AN214" s="6">
        <f t="shared" si="52"/>
        <v>0</v>
      </c>
      <c r="AO214" s="6">
        <f t="shared" si="53"/>
        <v>4</v>
      </c>
      <c r="AP214" s="6">
        <f t="shared" si="54"/>
        <v>0</v>
      </c>
      <c r="AQ214" s="6">
        <f t="shared" si="55"/>
        <v>8</v>
      </c>
      <c r="AR214" s="6"/>
      <c r="AS214" s="6"/>
      <c r="AT214" s="6"/>
      <c r="AU214" s="6"/>
      <c r="AV214" s="6"/>
      <c r="AW214" s="18">
        <v>4</v>
      </c>
      <c r="AX214" s="6"/>
      <c r="AY214" s="6"/>
      <c r="AZ214" s="6"/>
      <c r="BA214" s="6"/>
      <c r="BB214" s="6"/>
      <c r="BC214" s="6"/>
      <c r="BD214" s="6"/>
      <c r="BE214" s="6"/>
      <c r="BF214" s="18">
        <v>4</v>
      </c>
      <c r="BG214" s="6"/>
      <c r="BH214" s="6"/>
      <c r="BI214" s="6"/>
      <c r="BJ214" s="6"/>
      <c r="BK214" s="6"/>
      <c r="BL214" s="6"/>
      <c r="BM214" s="6"/>
      <c r="BN214" s="6"/>
      <c r="BO214" s="6"/>
      <c r="BP214" s="3">
        <v>8</v>
      </c>
      <c r="BQ214" s="6">
        <f t="shared" si="46"/>
        <v>8</v>
      </c>
      <c r="BR214">
        <v>8</v>
      </c>
    </row>
    <row r="215" spans="1:70" x14ac:dyDescent="0.3">
      <c r="A215" s="3" t="s">
        <v>17</v>
      </c>
      <c r="B215" s="3">
        <v>415</v>
      </c>
      <c r="C215" s="3" t="s">
        <v>373</v>
      </c>
      <c r="D215" s="3">
        <v>6</v>
      </c>
      <c r="E215" s="3" t="s">
        <v>19</v>
      </c>
      <c r="F215" s="3" t="s">
        <v>20</v>
      </c>
      <c r="G215" s="3" t="s">
        <v>19</v>
      </c>
      <c r="H215" s="3" t="s">
        <v>28</v>
      </c>
      <c r="I215" s="3">
        <v>7.11</v>
      </c>
      <c r="J215" s="3" t="s">
        <v>91</v>
      </c>
      <c r="K215" s="3" t="s">
        <v>377</v>
      </c>
      <c r="L215" s="3" t="s">
        <v>24</v>
      </c>
      <c r="M215" s="3">
        <v>65</v>
      </c>
      <c r="N215" s="6"/>
      <c r="O215" s="3">
        <v>5</v>
      </c>
      <c r="P215" s="3">
        <v>5</v>
      </c>
      <c r="Q215" s="3">
        <v>0</v>
      </c>
      <c r="R215" s="3">
        <v>1</v>
      </c>
      <c r="S215" s="3">
        <v>0</v>
      </c>
      <c r="T215" s="3">
        <v>4</v>
      </c>
      <c r="U215" s="3">
        <v>0</v>
      </c>
      <c r="V215" s="3">
        <f t="shared" si="47"/>
        <v>5</v>
      </c>
      <c r="W215" s="3">
        <v>0</v>
      </c>
      <c r="X215" s="3">
        <v>1</v>
      </c>
      <c r="Y215" s="3">
        <v>0</v>
      </c>
      <c r="Z215" s="3">
        <v>4</v>
      </c>
      <c r="AA215" s="3">
        <v>0</v>
      </c>
      <c r="AB215" s="3">
        <f t="shared" si="48"/>
        <v>5</v>
      </c>
      <c r="AC215" s="6">
        <f t="shared" ref="AC215:AC278" si="56">AL215-W215</f>
        <v>0</v>
      </c>
      <c r="AD215" s="6">
        <f t="shared" ref="AD215:AD278" si="57">AM215-X215</f>
        <v>0</v>
      </c>
      <c r="AE215" s="6">
        <f t="shared" ref="AE215:AE278" si="58">AN215-Y215</f>
        <v>0</v>
      </c>
      <c r="AF215" s="6">
        <f t="shared" ref="AF215:AF278" si="59">AO215-Z215</f>
        <v>0</v>
      </c>
      <c r="AG215" s="6">
        <f t="shared" ref="AG215:AG278" si="60">AP215-AA215</f>
        <v>0</v>
      </c>
      <c r="AH215" s="6">
        <f t="shared" si="49"/>
        <v>0</v>
      </c>
      <c r="AI215" s="3"/>
      <c r="AJ215" s="3" t="e">
        <f>_xlfn.XLOOKUP(K215,工作表1!A:A,工作表1!C:C)</f>
        <v>#N/A</v>
      </c>
      <c r="AK215" s="3"/>
      <c r="AL215" s="6">
        <f t="shared" si="50"/>
        <v>0</v>
      </c>
      <c r="AM215" s="6">
        <f t="shared" si="51"/>
        <v>1</v>
      </c>
      <c r="AN215" s="6">
        <f t="shared" si="52"/>
        <v>0</v>
      </c>
      <c r="AO215" s="6">
        <f t="shared" si="53"/>
        <v>4</v>
      </c>
      <c r="AP215" s="6">
        <f t="shared" si="54"/>
        <v>0</v>
      </c>
      <c r="AQ215" s="6">
        <f t="shared" si="55"/>
        <v>5</v>
      </c>
      <c r="AR215" s="6"/>
      <c r="AS215" s="6"/>
      <c r="AT215" s="6"/>
      <c r="AU215" s="6"/>
      <c r="AV215" s="6"/>
      <c r="AW215" s="21">
        <v>1</v>
      </c>
      <c r="AX215" s="6"/>
      <c r="AY215" s="6"/>
      <c r="AZ215" s="6"/>
      <c r="BA215" s="6"/>
      <c r="BB215" s="6"/>
      <c r="BC215" s="6"/>
      <c r="BD215" s="6"/>
      <c r="BE215" s="6"/>
      <c r="BF215" s="21">
        <v>4</v>
      </c>
      <c r="BG215" s="6"/>
      <c r="BH215" s="6"/>
      <c r="BI215" s="6"/>
      <c r="BJ215" s="6"/>
      <c r="BK215" s="6"/>
      <c r="BL215" s="6"/>
      <c r="BM215" s="6"/>
      <c r="BN215" s="6"/>
      <c r="BO215" s="6"/>
      <c r="BP215" s="3">
        <v>5</v>
      </c>
      <c r="BQ215" s="6">
        <f t="shared" si="46"/>
        <v>5</v>
      </c>
      <c r="BR215">
        <v>5</v>
      </c>
    </row>
    <row r="216" spans="1:70" x14ac:dyDescent="0.3">
      <c r="A216" s="3" t="s">
        <v>17</v>
      </c>
      <c r="B216" s="3">
        <v>415</v>
      </c>
      <c r="C216" s="3" t="s">
        <v>373</v>
      </c>
      <c r="D216" s="3">
        <v>4</v>
      </c>
      <c r="E216" s="3" t="s">
        <v>19</v>
      </c>
      <c r="F216" s="3" t="s">
        <v>20</v>
      </c>
      <c r="G216" s="3" t="s">
        <v>19</v>
      </c>
      <c r="H216" s="3" t="s">
        <v>30</v>
      </c>
      <c r="I216" s="3">
        <v>6.02</v>
      </c>
      <c r="J216" s="3" t="s">
        <v>91</v>
      </c>
      <c r="K216" s="3" t="s">
        <v>378</v>
      </c>
      <c r="L216" s="3" t="s">
        <v>24</v>
      </c>
      <c r="M216" s="3">
        <v>53</v>
      </c>
      <c r="N216" s="6"/>
      <c r="O216" s="3">
        <v>20</v>
      </c>
      <c r="P216" s="3">
        <v>20</v>
      </c>
      <c r="Q216" s="3">
        <v>0</v>
      </c>
      <c r="R216" s="3">
        <v>11</v>
      </c>
      <c r="S216" s="3">
        <v>1</v>
      </c>
      <c r="T216" s="3">
        <v>8</v>
      </c>
      <c r="U216" s="3">
        <v>0</v>
      </c>
      <c r="V216" s="3">
        <f t="shared" si="47"/>
        <v>20</v>
      </c>
      <c r="W216" s="3">
        <v>0</v>
      </c>
      <c r="X216" s="3">
        <v>11</v>
      </c>
      <c r="Y216" s="3">
        <v>1</v>
      </c>
      <c r="Z216" s="3">
        <v>8</v>
      </c>
      <c r="AA216" s="3">
        <v>0</v>
      </c>
      <c r="AB216" s="3">
        <f t="shared" si="48"/>
        <v>20</v>
      </c>
      <c r="AC216" s="6">
        <f t="shared" si="56"/>
        <v>0</v>
      </c>
      <c r="AD216" s="6">
        <f t="shared" si="57"/>
        <v>0</v>
      </c>
      <c r="AE216" s="6">
        <f t="shared" si="58"/>
        <v>0</v>
      </c>
      <c r="AF216" s="6">
        <f t="shared" si="59"/>
        <v>-5</v>
      </c>
      <c r="AG216" s="6">
        <f t="shared" si="60"/>
        <v>0</v>
      </c>
      <c r="AH216" s="6">
        <f t="shared" si="49"/>
        <v>-5</v>
      </c>
      <c r="AI216" s="3"/>
      <c r="AJ216" s="3" t="e">
        <f>_xlfn.XLOOKUP(K216,工作表1!A:A,工作表1!C:C)</f>
        <v>#N/A</v>
      </c>
      <c r="AK216" s="3"/>
      <c r="AL216" s="6">
        <f t="shared" si="50"/>
        <v>0</v>
      </c>
      <c r="AM216" s="6">
        <f t="shared" si="51"/>
        <v>11</v>
      </c>
      <c r="AN216" s="6">
        <f t="shared" si="52"/>
        <v>1</v>
      </c>
      <c r="AO216" s="6">
        <f t="shared" si="53"/>
        <v>3</v>
      </c>
      <c r="AP216" s="6">
        <f t="shared" si="54"/>
        <v>0</v>
      </c>
      <c r="AQ216" s="6">
        <f t="shared" si="55"/>
        <v>15</v>
      </c>
      <c r="AR216" s="6"/>
      <c r="AS216" s="6"/>
      <c r="AT216" s="6"/>
      <c r="AU216" s="6"/>
      <c r="AV216" s="6"/>
      <c r="AW216" s="18">
        <v>11</v>
      </c>
      <c r="AX216" s="6"/>
      <c r="AY216" s="6"/>
      <c r="AZ216" s="6"/>
      <c r="BA216" s="18">
        <v>1</v>
      </c>
      <c r="BB216" s="6"/>
      <c r="BC216" s="6"/>
      <c r="BD216" s="6"/>
      <c r="BE216" s="6"/>
      <c r="BF216" s="18">
        <v>3</v>
      </c>
      <c r="BG216" s="6"/>
      <c r="BH216" s="6"/>
      <c r="BI216" s="6"/>
      <c r="BJ216" s="6"/>
      <c r="BK216" s="6"/>
      <c r="BL216" s="6"/>
      <c r="BM216" s="6"/>
      <c r="BN216" s="6"/>
      <c r="BO216" s="6"/>
      <c r="BP216" s="3">
        <v>20</v>
      </c>
      <c r="BQ216" s="6">
        <f t="shared" si="46"/>
        <v>15</v>
      </c>
      <c r="BR216">
        <v>15</v>
      </c>
    </row>
    <row r="217" spans="1:70" x14ac:dyDescent="0.3">
      <c r="A217" s="3" t="s">
        <v>17</v>
      </c>
      <c r="B217" s="3">
        <v>415</v>
      </c>
      <c r="C217" s="3" t="s">
        <v>373</v>
      </c>
      <c r="D217" s="3">
        <v>3</v>
      </c>
      <c r="E217" s="3" t="s">
        <v>19</v>
      </c>
      <c r="F217" s="3" t="s">
        <v>20</v>
      </c>
      <c r="G217" s="3" t="s">
        <v>19</v>
      </c>
      <c r="H217" s="3" t="s">
        <v>32</v>
      </c>
      <c r="I217" s="3">
        <v>5.49</v>
      </c>
      <c r="J217" s="3" t="s">
        <v>91</v>
      </c>
      <c r="K217" s="3" t="s">
        <v>379</v>
      </c>
      <c r="L217" s="3" t="s">
        <v>24</v>
      </c>
      <c r="M217" s="3">
        <v>36</v>
      </c>
      <c r="N217" s="6"/>
      <c r="O217" s="3">
        <v>9</v>
      </c>
      <c r="P217" s="3">
        <v>9</v>
      </c>
      <c r="Q217" s="3">
        <v>0</v>
      </c>
      <c r="R217" s="3">
        <v>4</v>
      </c>
      <c r="S217" s="3">
        <v>1</v>
      </c>
      <c r="T217" s="3">
        <v>4</v>
      </c>
      <c r="U217" s="3">
        <v>0</v>
      </c>
      <c r="V217" s="3">
        <f t="shared" si="47"/>
        <v>9</v>
      </c>
      <c r="W217" s="3">
        <v>0</v>
      </c>
      <c r="X217" s="3">
        <v>4</v>
      </c>
      <c r="Y217" s="3">
        <v>1</v>
      </c>
      <c r="Z217" s="3">
        <v>4</v>
      </c>
      <c r="AA217" s="3">
        <v>0</v>
      </c>
      <c r="AB217" s="3">
        <f t="shared" si="48"/>
        <v>9</v>
      </c>
      <c r="AC217" s="6">
        <f t="shared" si="56"/>
        <v>0</v>
      </c>
      <c r="AD217" s="6">
        <f t="shared" si="57"/>
        <v>0</v>
      </c>
      <c r="AE217" s="6">
        <f t="shared" si="58"/>
        <v>0</v>
      </c>
      <c r="AF217" s="6">
        <f t="shared" si="59"/>
        <v>-1</v>
      </c>
      <c r="AG217" s="6">
        <f t="shared" si="60"/>
        <v>0</v>
      </c>
      <c r="AH217" s="6">
        <f t="shared" si="49"/>
        <v>-1</v>
      </c>
      <c r="AI217" s="3"/>
      <c r="AJ217" s="3" t="e">
        <f>_xlfn.XLOOKUP(K217,工作表1!A:A,工作表1!C:C)</f>
        <v>#N/A</v>
      </c>
      <c r="AK217" s="3"/>
      <c r="AL217" s="6">
        <f t="shared" si="50"/>
        <v>0</v>
      </c>
      <c r="AM217" s="6">
        <f t="shared" si="51"/>
        <v>4</v>
      </c>
      <c r="AN217" s="6">
        <f t="shared" si="52"/>
        <v>1</v>
      </c>
      <c r="AO217" s="6">
        <f t="shared" si="53"/>
        <v>3</v>
      </c>
      <c r="AP217" s="6">
        <f t="shared" si="54"/>
        <v>0</v>
      </c>
      <c r="AQ217" s="6">
        <f t="shared" si="55"/>
        <v>8</v>
      </c>
      <c r="AR217" s="6"/>
      <c r="AS217" s="6"/>
      <c r="AT217" s="6"/>
      <c r="AU217" s="6"/>
      <c r="AV217" s="6"/>
      <c r="AW217" s="18">
        <v>4</v>
      </c>
      <c r="AX217" s="6"/>
      <c r="AY217" s="6"/>
      <c r="AZ217" s="6"/>
      <c r="BA217" s="18">
        <v>1</v>
      </c>
      <c r="BB217" s="6"/>
      <c r="BC217" s="6"/>
      <c r="BD217" s="6"/>
      <c r="BE217" s="6"/>
      <c r="BF217" s="18">
        <v>3</v>
      </c>
      <c r="BG217" s="6"/>
      <c r="BH217" s="6"/>
      <c r="BI217" s="6"/>
      <c r="BJ217" s="6"/>
      <c r="BK217" s="6"/>
      <c r="BL217" s="6"/>
      <c r="BM217" s="6"/>
      <c r="BN217" s="6"/>
      <c r="BO217" s="6"/>
      <c r="BP217" s="3">
        <v>9</v>
      </c>
      <c r="BQ217" s="6">
        <f t="shared" si="46"/>
        <v>8</v>
      </c>
      <c r="BR217">
        <v>8</v>
      </c>
    </row>
    <row r="218" spans="1:70" x14ac:dyDescent="0.3">
      <c r="A218" s="3" t="s">
        <v>17</v>
      </c>
      <c r="B218" s="3">
        <v>415</v>
      </c>
      <c r="C218" s="3" t="s">
        <v>373</v>
      </c>
      <c r="D218" s="3">
        <v>2</v>
      </c>
      <c r="E218" s="3" t="s">
        <v>19</v>
      </c>
      <c r="F218" s="3" t="s">
        <v>25</v>
      </c>
      <c r="G218" s="3" t="s">
        <v>19</v>
      </c>
      <c r="H218" s="3" t="s">
        <v>34</v>
      </c>
      <c r="I218" s="3">
        <v>5.54</v>
      </c>
      <c r="J218" s="3" t="s">
        <v>91</v>
      </c>
      <c r="K218" s="3" t="s">
        <v>380</v>
      </c>
      <c r="L218" s="3" t="s">
        <v>24</v>
      </c>
      <c r="M218" s="3">
        <v>30</v>
      </c>
      <c r="N218" s="6"/>
      <c r="O218" s="3">
        <v>7</v>
      </c>
      <c r="P218" s="3">
        <v>7</v>
      </c>
      <c r="Q218" s="3">
        <v>0</v>
      </c>
      <c r="R218" s="3">
        <v>1</v>
      </c>
      <c r="S218" s="3">
        <v>3</v>
      </c>
      <c r="T218" s="3">
        <v>3</v>
      </c>
      <c r="U218" s="3">
        <v>0</v>
      </c>
      <c r="V218" s="3">
        <f t="shared" si="47"/>
        <v>7</v>
      </c>
      <c r="W218" s="3">
        <v>0</v>
      </c>
      <c r="X218" s="3">
        <v>1</v>
      </c>
      <c r="Y218" s="3">
        <v>3</v>
      </c>
      <c r="Z218" s="3">
        <v>3</v>
      </c>
      <c r="AA218" s="3">
        <v>0</v>
      </c>
      <c r="AB218" s="3">
        <f t="shared" si="48"/>
        <v>7</v>
      </c>
      <c r="AC218" s="6">
        <f t="shared" si="56"/>
        <v>0</v>
      </c>
      <c r="AD218" s="6">
        <f t="shared" si="57"/>
        <v>0</v>
      </c>
      <c r="AE218" s="6">
        <f t="shared" si="58"/>
        <v>0</v>
      </c>
      <c r="AF218" s="6">
        <f t="shared" si="59"/>
        <v>-3</v>
      </c>
      <c r="AG218" s="6">
        <f t="shared" si="60"/>
        <v>0</v>
      </c>
      <c r="AH218" s="6">
        <f t="shared" si="49"/>
        <v>-3</v>
      </c>
      <c r="AI218" s="3"/>
      <c r="AJ218" s="3" t="e">
        <f>_xlfn.XLOOKUP(K218,工作表1!A:A,工作表1!C:C)</f>
        <v>#N/A</v>
      </c>
      <c r="AK218" s="3"/>
      <c r="AL218" s="6">
        <f t="shared" si="50"/>
        <v>0</v>
      </c>
      <c r="AM218" s="6">
        <f t="shared" si="51"/>
        <v>1</v>
      </c>
      <c r="AN218" s="6">
        <f t="shared" si="52"/>
        <v>3</v>
      </c>
      <c r="AO218" s="6">
        <f t="shared" si="53"/>
        <v>0</v>
      </c>
      <c r="AP218" s="6">
        <f t="shared" si="54"/>
        <v>0</v>
      </c>
      <c r="AQ218" s="6">
        <f t="shared" si="55"/>
        <v>4</v>
      </c>
      <c r="AR218" s="6"/>
      <c r="AS218" s="6"/>
      <c r="AT218" s="6"/>
      <c r="AU218" s="6"/>
      <c r="AV218" s="6"/>
      <c r="AW218" s="18">
        <v>1</v>
      </c>
      <c r="AX218" s="6"/>
      <c r="AY218" s="6"/>
      <c r="AZ218" s="6"/>
      <c r="BA218" s="18">
        <v>3</v>
      </c>
      <c r="BB218" s="6"/>
      <c r="BC218" s="6"/>
      <c r="BD218" s="6"/>
      <c r="BE218" s="6"/>
      <c r="BF218" s="6"/>
      <c r="BG218" s="6"/>
      <c r="BH218" s="6"/>
      <c r="BI218" s="6"/>
      <c r="BJ218" s="6"/>
      <c r="BK218" s="6"/>
      <c r="BL218" s="6"/>
      <c r="BM218" s="6"/>
      <c r="BN218" s="6"/>
      <c r="BO218" s="6"/>
      <c r="BP218" s="3">
        <v>7</v>
      </c>
      <c r="BQ218" s="6">
        <f t="shared" si="46"/>
        <v>4</v>
      </c>
      <c r="BR218">
        <v>4</v>
      </c>
    </row>
    <row r="219" spans="1:70" x14ac:dyDescent="0.3">
      <c r="A219" s="3" t="s">
        <v>17</v>
      </c>
      <c r="B219" s="3">
        <v>415</v>
      </c>
      <c r="C219" s="3" t="s">
        <v>381</v>
      </c>
      <c r="D219" s="3">
        <v>4</v>
      </c>
      <c r="E219" s="3" t="s">
        <v>19</v>
      </c>
      <c r="F219" s="3" t="s">
        <v>20</v>
      </c>
      <c r="G219" s="3" t="s">
        <v>19</v>
      </c>
      <c r="H219" s="3" t="s">
        <v>30</v>
      </c>
      <c r="I219" s="3">
        <v>6.02</v>
      </c>
      <c r="J219" s="3" t="s">
        <v>91</v>
      </c>
      <c r="K219" s="3" t="s">
        <v>382</v>
      </c>
      <c r="L219" s="3" t="s">
        <v>24</v>
      </c>
      <c r="M219" s="3">
        <v>23</v>
      </c>
      <c r="N219" s="6"/>
      <c r="O219" s="3">
        <v>1</v>
      </c>
      <c r="P219" s="3">
        <v>1</v>
      </c>
      <c r="Q219" s="3">
        <v>0</v>
      </c>
      <c r="R219" s="3">
        <v>0</v>
      </c>
      <c r="S219" s="3">
        <v>1</v>
      </c>
      <c r="T219" s="3">
        <v>0</v>
      </c>
      <c r="U219" s="3">
        <v>0</v>
      </c>
      <c r="V219" s="3">
        <f t="shared" si="47"/>
        <v>1</v>
      </c>
      <c r="W219" s="3">
        <v>0</v>
      </c>
      <c r="X219" s="3">
        <v>0</v>
      </c>
      <c r="Y219" s="3">
        <v>1</v>
      </c>
      <c r="Z219" s="3">
        <v>0</v>
      </c>
      <c r="AA219" s="3">
        <v>0</v>
      </c>
      <c r="AB219" s="3">
        <f t="shared" si="48"/>
        <v>1</v>
      </c>
      <c r="AC219" s="6">
        <f t="shared" si="56"/>
        <v>0</v>
      </c>
      <c r="AD219" s="6">
        <f t="shared" si="57"/>
        <v>0</v>
      </c>
      <c r="AE219" s="6">
        <f t="shared" si="58"/>
        <v>-1</v>
      </c>
      <c r="AF219" s="6">
        <f t="shared" si="59"/>
        <v>0</v>
      </c>
      <c r="AG219" s="6">
        <f t="shared" si="60"/>
        <v>0</v>
      </c>
      <c r="AH219" s="6">
        <f t="shared" si="49"/>
        <v>-1</v>
      </c>
      <c r="AI219" s="3"/>
      <c r="AJ219" s="3" t="e">
        <f>_xlfn.XLOOKUP(K219,工作表1!A:A,工作表1!C:C)</f>
        <v>#N/A</v>
      </c>
      <c r="AK219" s="3"/>
      <c r="AL219" s="6">
        <f t="shared" si="50"/>
        <v>0</v>
      </c>
      <c r="AM219" s="6">
        <f t="shared" si="51"/>
        <v>0</v>
      </c>
      <c r="AN219" s="6">
        <f t="shared" si="52"/>
        <v>0</v>
      </c>
      <c r="AO219" s="6">
        <f t="shared" si="53"/>
        <v>0</v>
      </c>
      <c r="AP219" s="6">
        <f t="shared" si="54"/>
        <v>0</v>
      </c>
      <c r="AQ219" s="6">
        <f t="shared" si="55"/>
        <v>0</v>
      </c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  <c r="BC219" s="6"/>
      <c r="BD219" s="6"/>
      <c r="BE219" s="6"/>
      <c r="BF219" s="6"/>
      <c r="BG219" s="6"/>
      <c r="BH219" s="6"/>
      <c r="BI219" s="6"/>
      <c r="BJ219" s="6"/>
      <c r="BK219" s="6"/>
      <c r="BL219" s="6"/>
      <c r="BM219" s="6"/>
      <c r="BN219" s="6"/>
      <c r="BO219" s="6"/>
      <c r="BP219" s="3">
        <v>1</v>
      </c>
      <c r="BQ219" s="6">
        <f t="shared" si="46"/>
        <v>0</v>
      </c>
    </row>
    <row r="220" spans="1:70" x14ac:dyDescent="0.3">
      <c r="A220" s="3" t="s">
        <v>17</v>
      </c>
      <c r="B220" s="3">
        <v>415</v>
      </c>
      <c r="C220" s="3" t="s">
        <v>381</v>
      </c>
      <c r="D220" s="3">
        <v>2</v>
      </c>
      <c r="E220" s="3" t="s">
        <v>19</v>
      </c>
      <c r="F220" s="3" t="s">
        <v>41</v>
      </c>
      <c r="G220" s="3" t="s">
        <v>19</v>
      </c>
      <c r="H220" s="3" t="s">
        <v>54</v>
      </c>
      <c r="I220" s="3">
        <v>8.74</v>
      </c>
      <c r="J220" s="3" t="s">
        <v>91</v>
      </c>
      <c r="K220" s="3" t="s">
        <v>383</v>
      </c>
      <c r="L220" s="3" t="s">
        <v>24</v>
      </c>
      <c r="M220" s="3">
        <v>3</v>
      </c>
      <c r="N220" s="6"/>
      <c r="O220" s="3">
        <v>1</v>
      </c>
      <c r="P220" s="3">
        <v>1</v>
      </c>
      <c r="Q220" s="3">
        <v>0</v>
      </c>
      <c r="R220" s="3">
        <v>0</v>
      </c>
      <c r="S220" s="3">
        <v>1</v>
      </c>
      <c r="T220" s="3">
        <v>0</v>
      </c>
      <c r="U220" s="3">
        <v>0</v>
      </c>
      <c r="V220" s="3">
        <f t="shared" si="47"/>
        <v>1</v>
      </c>
      <c r="W220" s="3">
        <v>0</v>
      </c>
      <c r="X220" s="3">
        <v>0</v>
      </c>
      <c r="Y220" s="3">
        <v>1</v>
      </c>
      <c r="Z220" s="3">
        <v>0</v>
      </c>
      <c r="AA220" s="3">
        <v>0</v>
      </c>
      <c r="AB220" s="3">
        <f t="shared" si="48"/>
        <v>1</v>
      </c>
      <c r="AC220" s="6">
        <f t="shared" si="56"/>
        <v>0</v>
      </c>
      <c r="AD220" s="6">
        <f t="shared" si="57"/>
        <v>0</v>
      </c>
      <c r="AE220" s="6">
        <f t="shared" si="58"/>
        <v>-1</v>
      </c>
      <c r="AF220" s="6">
        <f t="shared" si="59"/>
        <v>0</v>
      </c>
      <c r="AG220" s="6">
        <f t="shared" si="60"/>
        <v>0</v>
      </c>
      <c r="AH220" s="6">
        <f t="shared" si="49"/>
        <v>-1</v>
      </c>
      <c r="AI220" s="3"/>
      <c r="AJ220" s="3" t="e">
        <f>_xlfn.XLOOKUP(K220,工作表1!A:A,工作表1!C:C)</f>
        <v>#N/A</v>
      </c>
      <c r="AK220" s="3"/>
      <c r="AL220" s="6">
        <f t="shared" si="50"/>
        <v>0</v>
      </c>
      <c r="AM220" s="6">
        <f t="shared" si="51"/>
        <v>0</v>
      </c>
      <c r="AN220" s="6">
        <f t="shared" si="52"/>
        <v>0</v>
      </c>
      <c r="AO220" s="6">
        <f t="shared" si="53"/>
        <v>0</v>
      </c>
      <c r="AP220" s="6">
        <f t="shared" si="54"/>
        <v>0</v>
      </c>
      <c r="AQ220" s="6">
        <f t="shared" si="55"/>
        <v>0</v>
      </c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  <c r="BC220" s="6"/>
      <c r="BD220" s="6"/>
      <c r="BE220" s="6"/>
      <c r="BF220" s="6"/>
      <c r="BG220" s="6"/>
      <c r="BH220" s="6"/>
      <c r="BI220" s="6"/>
      <c r="BJ220" s="6"/>
      <c r="BK220" s="6"/>
      <c r="BL220" s="6"/>
      <c r="BM220" s="6"/>
      <c r="BN220" s="6"/>
      <c r="BO220" s="6"/>
      <c r="BP220" s="3">
        <v>1</v>
      </c>
      <c r="BQ220" s="6">
        <f t="shared" si="46"/>
        <v>0</v>
      </c>
    </row>
    <row r="221" spans="1:70" x14ac:dyDescent="0.3">
      <c r="A221" s="3" t="s">
        <v>17</v>
      </c>
      <c r="B221" s="3">
        <v>415</v>
      </c>
      <c r="C221" s="3" t="s">
        <v>381</v>
      </c>
      <c r="D221" s="3">
        <v>2</v>
      </c>
      <c r="E221" s="3" t="s">
        <v>19</v>
      </c>
      <c r="F221" s="3" t="s">
        <v>25</v>
      </c>
      <c r="G221" s="3" t="s">
        <v>19</v>
      </c>
      <c r="H221" s="3" t="s">
        <v>34</v>
      </c>
      <c r="I221" s="3">
        <v>5.54</v>
      </c>
      <c r="J221" s="3" t="s">
        <v>91</v>
      </c>
      <c r="K221" s="3" t="s">
        <v>384</v>
      </c>
      <c r="L221" s="3" t="s">
        <v>24</v>
      </c>
      <c r="M221" s="3">
        <v>3</v>
      </c>
      <c r="N221" s="6"/>
      <c r="O221" s="3">
        <v>1</v>
      </c>
      <c r="P221" s="3">
        <v>1</v>
      </c>
      <c r="Q221" s="3">
        <v>0</v>
      </c>
      <c r="R221" s="3">
        <v>0</v>
      </c>
      <c r="S221" s="3">
        <v>1</v>
      </c>
      <c r="T221" s="3">
        <v>0</v>
      </c>
      <c r="U221" s="3">
        <v>0</v>
      </c>
      <c r="V221" s="3">
        <f t="shared" si="47"/>
        <v>1</v>
      </c>
      <c r="W221" s="3">
        <v>0</v>
      </c>
      <c r="X221" s="3">
        <v>0</v>
      </c>
      <c r="Y221" s="3">
        <v>1</v>
      </c>
      <c r="Z221" s="3">
        <v>0</v>
      </c>
      <c r="AA221" s="3">
        <v>0</v>
      </c>
      <c r="AB221" s="3">
        <f t="shared" si="48"/>
        <v>1</v>
      </c>
      <c r="AC221" s="6">
        <f t="shared" si="56"/>
        <v>0</v>
      </c>
      <c r="AD221" s="6">
        <f t="shared" si="57"/>
        <v>0</v>
      </c>
      <c r="AE221" s="6">
        <f t="shared" si="58"/>
        <v>-1</v>
      </c>
      <c r="AF221" s="6">
        <f t="shared" si="59"/>
        <v>0</v>
      </c>
      <c r="AG221" s="6">
        <f t="shared" si="60"/>
        <v>0</v>
      </c>
      <c r="AH221" s="6">
        <f t="shared" si="49"/>
        <v>-1</v>
      </c>
      <c r="AI221" s="3"/>
      <c r="AJ221" s="3" t="e">
        <f>_xlfn.XLOOKUP(K221,工作表1!A:A,工作表1!C:C)</f>
        <v>#N/A</v>
      </c>
      <c r="AK221" s="3"/>
      <c r="AL221" s="6">
        <f t="shared" si="50"/>
        <v>0</v>
      </c>
      <c r="AM221" s="6">
        <f t="shared" si="51"/>
        <v>0</v>
      </c>
      <c r="AN221" s="6">
        <f t="shared" si="52"/>
        <v>0</v>
      </c>
      <c r="AO221" s="6">
        <f t="shared" si="53"/>
        <v>0</v>
      </c>
      <c r="AP221" s="6">
        <f t="shared" si="54"/>
        <v>0</v>
      </c>
      <c r="AQ221" s="6">
        <f t="shared" si="55"/>
        <v>0</v>
      </c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  <c r="BC221" s="6"/>
      <c r="BD221" s="6"/>
      <c r="BE221" s="6"/>
      <c r="BF221" s="6"/>
      <c r="BG221" s="6"/>
      <c r="BH221" s="6"/>
      <c r="BI221" s="6"/>
      <c r="BJ221" s="6"/>
      <c r="BK221" s="6"/>
      <c r="BL221" s="6"/>
      <c r="BM221" s="6"/>
      <c r="BN221" s="6"/>
      <c r="BO221" s="6"/>
      <c r="BP221" s="3">
        <v>1</v>
      </c>
      <c r="BQ221" s="6">
        <f t="shared" si="46"/>
        <v>0</v>
      </c>
    </row>
    <row r="222" spans="1:70" x14ac:dyDescent="0.3">
      <c r="A222" s="3" t="s">
        <v>17</v>
      </c>
      <c r="B222" s="3">
        <v>415</v>
      </c>
      <c r="C222" s="3" t="s">
        <v>385</v>
      </c>
      <c r="D222" s="3">
        <v>6</v>
      </c>
      <c r="E222" s="3" t="s">
        <v>19</v>
      </c>
      <c r="F222" s="3" t="s">
        <v>41</v>
      </c>
      <c r="G222" s="3" t="s">
        <v>19</v>
      </c>
      <c r="H222" s="3" t="s">
        <v>42</v>
      </c>
      <c r="I222" s="3">
        <v>18.260000000000002</v>
      </c>
      <c r="J222" s="3" t="s">
        <v>91</v>
      </c>
      <c r="K222" s="3" t="s">
        <v>386</v>
      </c>
      <c r="L222" s="3" t="s">
        <v>24</v>
      </c>
      <c r="M222" s="3">
        <v>1</v>
      </c>
      <c r="N222" s="6"/>
      <c r="O222" s="3">
        <v>1</v>
      </c>
      <c r="P222" s="3">
        <v>1</v>
      </c>
      <c r="Q222" s="3">
        <v>0</v>
      </c>
      <c r="R222" s="3">
        <v>0</v>
      </c>
      <c r="S222" s="3">
        <v>0</v>
      </c>
      <c r="T222" s="3">
        <v>1</v>
      </c>
      <c r="U222" s="3">
        <v>0</v>
      </c>
      <c r="V222" s="3">
        <f t="shared" si="47"/>
        <v>1</v>
      </c>
      <c r="W222" s="3">
        <v>0</v>
      </c>
      <c r="X222" s="3">
        <v>0</v>
      </c>
      <c r="Y222" s="3">
        <v>0</v>
      </c>
      <c r="Z222" s="3">
        <v>1</v>
      </c>
      <c r="AA222" s="3">
        <v>0</v>
      </c>
      <c r="AB222" s="3">
        <f t="shared" si="48"/>
        <v>1</v>
      </c>
      <c r="AC222" s="6">
        <f t="shared" si="56"/>
        <v>0</v>
      </c>
      <c r="AD222" s="6">
        <f t="shared" si="57"/>
        <v>0</v>
      </c>
      <c r="AE222" s="6">
        <f t="shared" si="58"/>
        <v>0</v>
      </c>
      <c r="AF222" s="6">
        <f t="shared" si="59"/>
        <v>-1</v>
      </c>
      <c r="AG222" s="6">
        <f t="shared" si="60"/>
        <v>0</v>
      </c>
      <c r="AH222" s="6">
        <f t="shared" si="49"/>
        <v>-1</v>
      </c>
      <c r="AI222" s="3"/>
      <c r="AJ222" s="3">
        <f>_xlfn.XLOOKUP(K222,工作表1!A:A,工作表1!C:C)</f>
        <v>1</v>
      </c>
      <c r="AK222" s="3" t="s">
        <v>1483</v>
      </c>
      <c r="AL222" s="6">
        <f t="shared" si="50"/>
        <v>0</v>
      </c>
      <c r="AM222" s="6">
        <f t="shared" si="51"/>
        <v>0</v>
      </c>
      <c r="AN222" s="6">
        <f t="shared" si="52"/>
        <v>0</v>
      </c>
      <c r="AO222" s="6">
        <f t="shared" si="53"/>
        <v>0</v>
      </c>
      <c r="AP222" s="6">
        <f t="shared" si="54"/>
        <v>0</v>
      </c>
      <c r="AQ222" s="6">
        <f t="shared" si="55"/>
        <v>0</v>
      </c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  <c r="BC222" s="6"/>
      <c r="BD222" s="6"/>
      <c r="BE222" s="6"/>
      <c r="BF222" s="6"/>
      <c r="BG222" s="6"/>
      <c r="BH222" s="6"/>
      <c r="BI222" s="6"/>
      <c r="BJ222" s="6"/>
      <c r="BK222" s="6"/>
      <c r="BL222" s="6"/>
      <c r="BM222" s="6"/>
      <c r="BN222" s="6"/>
      <c r="BO222" s="6"/>
      <c r="BP222" s="3">
        <v>1</v>
      </c>
      <c r="BQ222" s="6">
        <f t="shared" si="46"/>
        <v>0</v>
      </c>
    </row>
    <row r="223" spans="1:70" x14ac:dyDescent="0.3">
      <c r="A223" s="3" t="s">
        <v>17</v>
      </c>
      <c r="B223" s="3">
        <v>415</v>
      </c>
      <c r="C223" s="3" t="s">
        <v>385</v>
      </c>
      <c r="D223" s="3">
        <v>2</v>
      </c>
      <c r="E223" s="3" t="s">
        <v>19</v>
      </c>
      <c r="F223" s="3" t="s">
        <v>41</v>
      </c>
      <c r="G223" s="3" t="s">
        <v>19</v>
      </c>
      <c r="H223" s="3" t="s">
        <v>54</v>
      </c>
      <c r="I223" s="3">
        <v>8.74</v>
      </c>
      <c r="J223" s="3" t="s">
        <v>91</v>
      </c>
      <c r="K223" s="3" t="s">
        <v>387</v>
      </c>
      <c r="L223" s="3" t="s">
        <v>24</v>
      </c>
      <c r="M223" s="3">
        <v>7</v>
      </c>
      <c r="N223" s="6"/>
      <c r="O223" s="3">
        <v>7</v>
      </c>
      <c r="P223" s="3">
        <v>7</v>
      </c>
      <c r="Q223" s="3">
        <v>0</v>
      </c>
      <c r="R223" s="3">
        <v>0</v>
      </c>
      <c r="S223" s="3">
        <v>7</v>
      </c>
      <c r="T223" s="3">
        <v>0</v>
      </c>
      <c r="U223" s="3">
        <v>0</v>
      </c>
      <c r="V223" s="3">
        <f t="shared" si="47"/>
        <v>7</v>
      </c>
      <c r="W223" s="3">
        <v>0</v>
      </c>
      <c r="X223" s="3">
        <v>0</v>
      </c>
      <c r="Y223" s="3">
        <v>7</v>
      </c>
      <c r="Z223" s="3">
        <v>0</v>
      </c>
      <c r="AA223" s="3">
        <v>0</v>
      </c>
      <c r="AB223" s="3">
        <f t="shared" si="48"/>
        <v>7</v>
      </c>
      <c r="AC223" s="6">
        <f t="shared" si="56"/>
        <v>0</v>
      </c>
      <c r="AD223" s="6">
        <f t="shared" si="57"/>
        <v>0</v>
      </c>
      <c r="AE223" s="6">
        <f t="shared" si="58"/>
        <v>-7</v>
      </c>
      <c r="AF223" s="6">
        <f t="shared" si="59"/>
        <v>0</v>
      </c>
      <c r="AG223" s="6">
        <f t="shared" si="60"/>
        <v>0</v>
      </c>
      <c r="AH223" s="6">
        <f t="shared" si="49"/>
        <v>-7</v>
      </c>
      <c r="AI223" s="3"/>
      <c r="AJ223" s="3" t="e">
        <f>_xlfn.XLOOKUP(K223,工作表1!A:A,工作表1!C:C)</f>
        <v>#N/A</v>
      </c>
      <c r="AK223" s="3"/>
      <c r="AL223" s="6">
        <f t="shared" si="50"/>
        <v>0</v>
      </c>
      <c r="AM223" s="6">
        <f t="shared" si="51"/>
        <v>0</v>
      </c>
      <c r="AN223" s="6">
        <f t="shared" si="52"/>
        <v>0</v>
      </c>
      <c r="AO223" s="6">
        <f t="shared" si="53"/>
        <v>0</v>
      </c>
      <c r="AP223" s="6">
        <f t="shared" si="54"/>
        <v>0</v>
      </c>
      <c r="AQ223" s="6">
        <f t="shared" si="55"/>
        <v>0</v>
      </c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  <c r="BC223" s="6"/>
      <c r="BD223" s="6"/>
      <c r="BE223" s="6"/>
      <c r="BF223" s="6"/>
      <c r="BG223" s="6"/>
      <c r="BH223" s="6"/>
      <c r="BI223" s="6"/>
      <c r="BJ223" s="6"/>
      <c r="BK223" s="6"/>
      <c r="BL223" s="6"/>
      <c r="BM223" s="6"/>
      <c r="BN223" s="6"/>
      <c r="BO223" s="6"/>
      <c r="BP223" s="3">
        <v>7</v>
      </c>
      <c r="BQ223" s="6">
        <f t="shared" si="46"/>
        <v>0</v>
      </c>
    </row>
    <row r="224" spans="1:70" x14ac:dyDescent="0.3">
      <c r="A224" s="3" t="s">
        <v>17</v>
      </c>
      <c r="B224" s="3">
        <v>415</v>
      </c>
      <c r="C224" s="3" t="s">
        <v>385</v>
      </c>
      <c r="D224" s="3">
        <v>0.75</v>
      </c>
      <c r="E224" s="3" t="s">
        <v>19</v>
      </c>
      <c r="F224" s="3" t="s">
        <v>63</v>
      </c>
      <c r="G224" s="3" t="s">
        <v>19</v>
      </c>
      <c r="H224" s="3" t="s">
        <v>64</v>
      </c>
      <c r="I224" s="3">
        <v>7.82</v>
      </c>
      <c r="J224" s="3" t="s">
        <v>91</v>
      </c>
      <c r="K224" s="3" t="s">
        <v>388</v>
      </c>
      <c r="L224" s="3" t="s">
        <v>24</v>
      </c>
      <c r="M224" s="3">
        <v>105</v>
      </c>
      <c r="N224" s="6"/>
      <c r="O224" s="3">
        <v>10</v>
      </c>
      <c r="P224" s="3">
        <v>10</v>
      </c>
      <c r="Q224" s="3">
        <v>0</v>
      </c>
      <c r="R224" s="3">
        <v>0</v>
      </c>
      <c r="S224" s="3">
        <v>10</v>
      </c>
      <c r="T224" s="3">
        <v>0</v>
      </c>
      <c r="U224" s="3">
        <v>0</v>
      </c>
      <c r="V224" s="3">
        <f t="shared" si="47"/>
        <v>10</v>
      </c>
      <c r="W224" s="3">
        <v>0</v>
      </c>
      <c r="X224" s="3">
        <v>0</v>
      </c>
      <c r="Y224" s="3">
        <v>10</v>
      </c>
      <c r="Z224" s="3">
        <v>0</v>
      </c>
      <c r="AA224" s="3">
        <v>0</v>
      </c>
      <c r="AB224" s="3">
        <f t="shared" si="48"/>
        <v>10</v>
      </c>
      <c r="AC224" s="6">
        <f t="shared" si="56"/>
        <v>0</v>
      </c>
      <c r="AD224" s="6">
        <f t="shared" si="57"/>
        <v>0</v>
      </c>
      <c r="AE224" s="6">
        <f t="shared" si="58"/>
        <v>-10</v>
      </c>
      <c r="AF224" s="6">
        <f t="shared" si="59"/>
        <v>0</v>
      </c>
      <c r="AG224" s="6">
        <f t="shared" si="60"/>
        <v>0</v>
      </c>
      <c r="AH224" s="6">
        <f t="shared" si="49"/>
        <v>-10</v>
      </c>
      <c r="AI224" s="3"/>
      <c r="AJ224" s="3" t="e">
        <f>_xlfn.XLOOKUP(K224,工作表1!A:A,工作表1!C:C)</f>
        <v>#N/A</v>
      </c>
      <c r="AK224" s="3"/>
      <c r="AL224" s="6">
        <f t="shared" si="50"/>
        <v>0</v>
      </c>
      <c r="AM224" s="6">
        <f t="shared" si="51"/>
        <v>0</v>
      </c>
      <c r="AN224" s="6">
        <f t="shared" si="52"/>
        <v>0</v>
      </c>
      <c r="AO224" s="6">
        <f t="shared" si="53"/>
        <v>0</v>
      </c>
      <c r="AP224" s="6">
        <f t="shared" si="54"/>
        <v>0</v>
      </c>
      <c r="AQ224" s="6">
        <f t="shared" si="55"/>
        <v>0</v>
      </c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  <c r="BC224" s="6"/>
      <c r="BD224" s="6"/>
      <c r="BE224" s="6"/>
      <c r="BF224" s="6"/>
      <c r="BG224" s="6"/>
      <c r="BH224" s="6"/>
      <c r="BI224" s="6"/>
      <c r="BJ224" s="6"/>
      <c r="BK224" s="6"/>
      <c r="BL224" s="6"/>
      <c r="BM224" s="6"/>
      <c r="BN224" s="6"/>
      <c r="BO224" s="6"/>
      <c r="BP224" s="3">
        <v>10</v>
      </c>
      <c r="BQ224" s="6">
        <f t="shared" si="46"/>
        <v>0</v>
      </c>
    </row>
    <row r="225" spans="1:74" x14ac:dyDescent="0.3">
      <c r="A225" s="3" t="s">
        <v>17</v>
      </c>
      <c r="B225" s="3">
        <v>415</v>
      </c>
      <c r="C225" s="3" t="s">
        <v>389</v>
      </c>
      <c r="D225" s="3">
        <v>3</v>
      </c>
      <c r="E225" s="3" t="s">
        <v>19</v>
      </c>
      <c r="F225" s="3" t="s">
        <v>20</v>
      </c>
      <c r="G225" s="3" t="s">
        <v>19</v>
      </c>
      <c r="H225" s="3" t="s">
        <v>32</v>
      </c>
      <c r="I225" s="3">
        <v>5.49</v>
      </c>
      <c r="J225" s="3" t="s">
        <v>91</v>
      </c>
      <c r="K225" s="3" t="s">
        <v>390</v>
      </c>
      <c r="L225" s="3" t="s">
        <v>24</v>
      </c>
      <c r="M225" s="3">
        <v>2</v>
      </c>
      <c r="N225" s="6"/>
      <c r="O225" s="3">
        <v>2</v>
      </c>
      <c r="P225" s="3">
        <v>2</v>
      </c>
      <c r="Q225" s="3">
        <v>0</v>
      </c>
      <c r="R225" s="3">
        <v>0</v>
      </c>
      <c r="S225" s="3">
        <v>2</v>
      </c>
      <c r="T225" s="3">
        <v>0</v>
      </c>
      <c r="U225" s="3">
        <v>0</v>
      </c>
      <c r="V225" s="3">
        <f t="shared" si="47"/>
        <v>2</v>
      </c>
      <c r="W225" s="3">
        <v>0</v>
      </c>
      <c r="X225" s="3">
        <v>0</v>
      </c>
      <c r="Y225" s="3">
        <v>2</v>
      </c>
      <c r="Z225" s="3">
        <v>0</v>
      </c>
      <c r="AA225" s="3">
        <v>0</v>
      </c>
      <c r="AB225" s="3">
        <f t="shared" si="48"/>
        <v>2</v>
      </c>
      <c r="AC225" s="6">
        <f t="shared" si="56"/>
        <v>0</v>
      </c>
      <c r="AD225" s="6">
        <f t="shared" si="57"/>
        <v>0</v>
      </c>
      <c r="AE225" s="6">
        <f t="shared" si="58"/>
        <v>-2</v>
      </c>
      <c r="AF225" s="6">
        <f t="shared" si="59"/>
        <v>0</v>
      </c>
      <c r="AG225" s="6">
        <f t="shared" si="60"/>
        <v>0</v>
      </c>
      <c r="AH225" s="6">
        <f t="shared" si="49"/>
        <v>-2</v>
      </c>
      <c r="AI225" s="3"/>
      <c r="AJ225" s="3" t="e">
        <f>_xlfn.XLOOKUP(K225,工作表1!A:A,工作表1!C:C)</f>
        <v>#N/A</v>
      </c>
      <c r="AK225" s="3"/>
      <c r="AL225" s="6">
        <f t="shared" si="50"/>
        <v>0</v>
      </c>
      <c r="AM225" s="6">
        <f t="shared" si="51"/>
        <v>0</v>
      </c>
      <c r="AN225" s="6">
        <f t="shared" si="52"/>
        <v>0</v>
      </c>
      <c r="AO225" s="6">
        <f t="shared" si="53"/>
        <v>0</v>
      </c>
      <c r="AP225" s="6">
        <f t="shared" si="54"/>
        <v>0</v>
      </c>
      <c r="AQ225" s="6">
        <f t="shared" si="55"/>
        <v>0</v>
      </c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  <c r="BC225" s="6"/>
      <c r="BD225" s="6"/>
      <c r="BE225" s="6"/>
      <c r="BF225" s="6"/>
      <c r="BG225" s="6"/>
      <c r="BH225" s="6"/>
      <c r="BI225" s="6"/>
      <c r="BJ225" s="6"/>
      <c r="BK225" s="6"/>
      <c r="BL225" s="6"/>
      <c r="BM225" s="6"/>
      <c r="BN225" s="6"/>
      <c r="BO225" s="6"/>
      <c r="BP225" s="3">
        <v>2</v>
      </c>
      <c r="BQ225" s="6">
        <f t="shared" si="46"/>
        <v>0</v>
      </c>
    </row>
    <row r="226" spans="1:74" x14ac:dyDescent="0.3">
      <c r="A226" s="3" t="s">
        <v>17</v>
      </c>
      <c r="B226" s="3">
        <v>415</v>
      </c>
      <c r="C226" s="3" t="s">
        <v>389</v>
      </c>
      <c r="D226" s="3">
        <v>1</v>
      </c>
      <c r="E226" s="3" t="s">
        <v>19</v>
      </c>
      <c r="F226" s="3" t="s">
        <v>25</v>
      </c>
      <c r="G226" s="3" t="s">
        <v>19</v>
      </c>
      <c r="H226" s="3" t="s">
        <v>76</v>
      </c>
      <c r="I226" s="3">
        <v>4.55</v>
      </c>
      <c r="J226" s="3" t="s">
        <v>91</v>
      </c>
      <c r="K226" s="3" t="s">
        <v>391</v>
      </c>
      <c r="L226" s="3" t="s">
        <v>24</v>
      </c>
      <c r="M226" s="3">
        <v>1</v>
      </c>
      <c r="N226" s="6"/>
      <c r="O226" s="3">
        <v>1</v>
      </c>
      <c r="P226" s="3">
        <v>1</v>
      </c>
      <c r="Q226" s="3">
        <v>0</v>
      </c>
      <c r="R226" s="3">
        <v>1</v>
      </c>
      <c r="S226" s="3">
        <v>0</v>
      </c>
      <c r="T226" s="3">
        <v>0</v>
      </c>
      <c r="U226" s="3">
        <v>0</v>
      </c>
      <c r="V226" s="3">
        <f t="shared" si="47"/>
        <v>1</v>
      </c>
      <c r="W226" s="3">
        <v>0</v>
      </c>
      <c r="X226" s="3">
        <v>1</v>
      </c>
      <c r="Y226" s="3">
        <v>0</v>
      </c>
      <c r="Z226" s="3">
        <v>0</v>
      </c>
      <c r="AA226" s="3">
        <v>0</v>
      </c>
      <c r="AB226" s="3">
        <f t="shared" si="48"/>
        <v>1</v>
      </c>
      <c r="AC226" s="6">
        <f t="shared" si="56"/>
        <v>0</v>
      </c>
      <c r="AD226" s="6">
        <f t="shared" si="57"/>
        <v>-1</v>
      </c>
      <c r="AE226" s="6">
        <f t="shared" si="58"/>
        <v>0</v>
      </c>
      <c r="AF226" s="6">
        <f t="shared" si="59"/>
        <v>0</v>
      </c>
      <c r="AG226" s="6">
        <f t="shared" si="60"/>
        <v>0</v>
      </c>
      <c r="AH226" s="6">
        <f t="shared" si="49"/>
        <v>-1</v>
      </c>
      <c r="AI226" s="3"/>
      <c r="AJ226" s="3" t="e">
        <f>_xlfn.XLOOKUP(K226,工作表1!A:A,工作表1!C:C)</f>
        <v>#N/A</v>
      </c>
      <c r="AK226" s="3"/>
      <c r="AL226" s="6">
        <f t="shared" si="50"/>
        <v>0</v>
      </c>
      <c r="AM226" s="6">
        <f t="shared" si="51"/>
        <v>0</v>
      </c>
      <c r="AN226" s="6">
        <f t="shared" si="52"/>
        <v>0</v>
      </c>
      <c r="AO226" s="6">
        <f t="shared" si="53"/>
        <v>0</v>
      </c>
      <c r="AP226" s="6">
        <f t="shared" si="54"/>
        <v>0</v>
      </c>
      <c r="AQ226" s="6">
        <f t="shared" si="55"/>
        <v>0</v>
      </c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  <c r="BC226" s="6"/>
      <c r="BD226" s="6"/>
      <c r="BE226" s="6"/>
      <c r="BF226" s="6"/>
      <c r="BG226" s="6"/>
      <c r="BH226" s="6"/>
      <c r="BI226" s="6"/>
      <c r="BJ226" s="6"/>
      <c r="BK226" s="6"/>
      <c r="BL226" s="6"/>
      <c r="BM226" s="6"/>
      <c r="BN226" s="6"/>
      <c r="BO226" s="6"/>
      <c r="BP226" s="3">
        <v>1</v>
      </c>
      <c r="BQ226" s="6">
        <f t="shared" si="46"/>
        <v>0</v>
      </c>
    </row>
    <row r="227" spans="1:74" x14ac:dyDescent="0.3">
      <c r="A227" s="3" t="s">
        <v>17</v>
      </c>
      <c r="B227" s="3">
        <v>415</v>
      </c>
      <c r="C227" s="3" t="s">
        <v>389</v>
      </c>
      <c r="D227" s="3">
        <v>0.75</v>
      </c>
      <c r="E227" s="3" t="s">
        <v>19</v>
      </c>
      <c r="F227" s="3" t="s">
        <v>25</v>
      </c>
      <c r="G227" s="3" t="s">
        <v>19</v>
      </c>
      <c r="H227" s="3" t="s">
        <v>78</v>
      </c>
      <c r="I227" s="3">
        <v>3.91</v>
      </c>
      <c r="J227" s="3" t="s">
        <v>91</v>
      </c>
      <c r="K227" s="3" t="s">
        <v>392</v>
      </c>
      <c r="L227" s="3" t="s">
        <v>24</v>
      </c>
      <c r="M227" s="3">
        <v>1</v>
      </c>
      <c r="N227" s="6"/>
      <c r="O227" s="3">
        <v>1</v>
      </c>
      <c r="P227" s="3">
        <v>1</v>
      </c>
      <c r="Q227" s="3">
        <v>0</v>
      </c>
      <c r="R227" s="3">
        <v>0</v>
      </c>
      <c r="S227" s="3">
        <v>0</v>
      </c>
      <c r="T227" s="3">
        <v>1</v>
      </c>
      <c r="U227" s="3">
        <v>0</v>
      </c>
      <c r="V227" s="3">
        <f t="shared" si="47"/>
        <v>1</v>
      </c>
      <c r="W227" s="3">
        <v>0</v>
      </c>
      <c r="X227" s="3">
        <v>0</v>
      </c>
      <c r="Y227" s="3">
        <v>0</v>
      </c>
      <c r="Z227" s="3">
        <v>1</v>
      </c>
      <c r="AA227" s="3">
        <v>0</v>
      </c>
      <c r="AB227" s="3">
        <f t="shared" si="48"/>
        <v>1</v>
      </c>
      <c r="AC227" s="6">
        <f t="shared" si="56"/>
        <v>0</v>
      </c>
      <c r="AD227" s="6">
        <f t="shared" si="57"/>
        <v>0</v>
      </c>
      <c r="AE227" s="6">
        <f t="shared" si="58"/>
        <v>0</v>
      </c>
      <c r="AF227" s="6">
        <f t="shared" si="59"/>
        <v>-1</v>
      </c>
      <c r="AG227" s="6">
        <f t="shared" si="60"/>
        <v>0</v>
      </c>
      <c r="AH227" s="6">
        <f t="shared" si="49"/>
        <v>-1</v>
      </c>
      <c r="AI227" s="3"/>
      <c r="AJ227" s="3" t="e">
        <f>_xlfn.XLOOKUP(K227,工作表1!A:A,工作表1!C:C)</f>
        <v>#N/A</v>
      </c>
      <c r="AK227" s="3"/>
      <c r="AL227" s="6">
        <f t="shared" si="50"/>
        <v>0</v>
      </c>
      <c r="AM227" s="6">
        <f t="shared" si="51"/>
        <v>0</v>
      </c>
      <c r="AN227" s="6">
        <f t="shared" si="52"/>
        <v>0</v>
      </c>
      <c r="AO227" s="6">
        <f t="shared" si="53"/>
        <v>0</v>
      </c>
      <c r="AP227" s="6">
        <f t="shared" si="54"/>
        <v>0</v>
      </c>
      <c r="AQ227" s="6">
        <f t="shared" si="55"/>
        <v>0</v>
      </c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  <c r="BC227" s="6"/>
      <c r="BD227" s="6"/>
      <c r="BE227" s="6"/>
      <c r="BF227" s="6"/>
      <c r="BG227" s="6"/>
      <c r="BH227" s="6"/>
      <c r="BI227" s="6"/>
      <c r="BJ227" s="6"/>
      <c r="BK227" s="6"/>
      <c r="BL227" s="6"/>
      <c r="BM227" s="6"/>
      <c r="BN227" s="6"/>
      <c r="BO227" s="6"/>
      <c r="BP227" s="3">
        <v>1</v>
      </c>
      <c r="BQ227" s="6">
        <f t="shared" si="46"/>
        <v>0</v>
      </c>
    </row>
    <row r="228" spans="1:74" x14ac:dyDescent="0.3">
      <c r="A228" s="3" t="s">
        <v>17</v>
      </c>
      <c r="B228" s="3">
        <v>415</v>
      </c>
      <c r="C228" s="3" t="s">
        <v>393</v>
      </c>
      <c r="D228" s="3">
        <v>4</v>
      </c>
      <c r="E228" s="3" t="s">
        <v>19</v>
      </c>
      <c r="F228" s="3" t="s">
        <v>45</v>
      </c>
      <c r="G228" s="3" t="s">
        <v>19</v>
      </c>
      <c r="H228" s="3" t="s">
        <v>46</v>
      </c>
      <c r="I228" s="3">
        <v>11.13</v>
      </c>
      <c r="J228" s="3" t="s">
        <v>91</v>
      </c>
      <c r="K228" s="3" t="s">
        <v>394</v>
      </c>
      <c r="L228" s="3" t="s">
        <v>24</v>
      </c>
      <c r="M228" s="3">
        <v>6</v>
      </c>
      <c r="N228" s="6"/>
      <c r="O228" s="3">
        <v>4</v>
      </c>
      <c r="P228" s="3">
        <v>4</v>
      </c>
      <c r="Q228" s="3">
        <v>0</v>
      </c>
      <c r="R228" s="3">
        <v>0</v>
      </c>
      <c r="S228" s="3">
        <v>4</v>
      </c>
      <c r="T228" s="3">
        <v>0</v>
      </c>
      <c r="U228" s="3">
        <v>0</v>
      </c>
      <c r="V228" s="3">
        <f t="shared" si="47"/>
        <v>4</v>
      </c>
      <c r="W228" s="3">
        <v>0</v>
      </c>
      <c r="X228" s="3">
        <v>0</v>
      </c>
      <c r="Y228" s="3">
        <v>4</v>
      </c>
      <c r="Z228" s="3">
        <v>0</v>
      </c>
      <c r="AA228" s="3">
        <v>0</v>
      </c>
      <c r="AB228" s="3">
        <f t="shared" si="48"/>
        <v>4</v>
      </c>
      <c r="AC228" s="6">
        <f t="shared" si="56"/>
        <v>0</v>
      </c>
      <c r="AD228" s="6">
        <f t="shared" si="57"/>
        <v>0</v>
      </c>
      <c r="AE228" s="6">
        <f t="shared" si="58"/>
        <v>-4</v>
      </c>
      <c r="AF228" s="6">
        <f t="shared" si="59"/>
        <v>0</v>
      </c>
      <c r="AG228" s="6">
        <f t="shared" si="60"/>
        <v>0</v>
      </c>
      <c r="AH228" s="6">
        <f t="shared" si="49"/>
        <v>-4</v>
      </c>
      <c r="AI228" s="3"/>
      <c r="AJ228" s="3" t="e">
        <f>_xlfn.XLOOKUP(K228,工作表1!A:A,工作表1!C:C)</f>
        <v>#N/A</v>
      </c>
      <c r="AK228" s="3"/>
      <c r="AL228" s="6">
        <f t="shared" si="50"/>
        <v>0</v>
      </c>
      <c r="AM228" s="6">
        <f t="shared" si="51"/>
        <v>0</v>
      </c>
      <c r="AN228" s="6">
        <f t="shared" si="52"/>
        <v>0</v>
      </c>
      <c r="AO228" s="6">
        <f t="shared" si="53"/>
        <v>0</v>
      </c>
      <c r="AP228" s="6">
        <f t="shared" si="54"/>
        <v>0</v>
      </c>
      <c r="AQ228" s="6">
        <f t="shared" si="55"/>
        <v>0</v>
      </c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  <c r="BC228" s="6"/>
      <c r="BD228" s="6"/>
      <c r="BE228" s="6"/>
      <c r="BF228" s="6"/>
      <c r="BG228" s="6"/>
      <c r="BH228" s="6"/>
      <c r="BI228" s="6"/>
      <c r="BJ228" s="6"/>
      <c r="BK228" s="6"/>
      <c r="BL228" s="6"/>
      <c r="BM228" s="6"/>
      <c r="BN228" s="6"/>
      <c r="BO228" s="6"/>
      <c r="BP228" s="3">
        <v>4</v>
      </c>
      <c r="BQ228" s="6">
        <f t="shared" si="46"/>
        <v>0</v>
      </c>
    </row>
    <row r="229" spans="1:74" x14ac:dyDescent="0.3">
      <c r="A229" s="3" t="s">
        <v>17</v>
      </c>
      <c r="B229" s="3">
        <v>415</v>
      </c>
      <c r="C229" s="3" t="s">
        <v>393</v>
      </c>
      <c r="D229" s="3">
        <v>3</v>
      </c>
      <c r="E229" s="3" t="s">
        <v>19</v>
      </c>
      <c r="F229" s="3" t="s">
        <v>41</v>
      </c>
      <c r="G229" s="3" t="s">
        <v>19</v>
      </c>
      <c r="H229" s="3" t="s">
        <v>51</v>
      </c>
      <c r="I229" s="3">
        <v>11.13</v>
      </c>
      <c r="J229" s="3" t="s">
        <v>91</v>
      </c>
      <c r="K229" s="3" t="s">
        <v>395</v>
      </c>
      <c r="L229" s="3" t="s">
        <v>24</v>
      </c>
      <c r="M229" s="3">
        <v>1</v>
      </c>
      <c r="N229" s="6"/>
      <c r="O229" s="3">
        <v>1</v>
      </c>
      <c r="P229" s="3">
        <v>1</v>
      </c>
      <c r="Q229" s="3">
        <v>0</v>
      </c>
      <c r="R229" s="3">
        <v>0</v>
      </c>
      <c r="S229" s="3">
        <v>0</v>
      </c>
      <c r="T229" s="3">
        <v>1</v>
      </c>
      <c r="U229" s="3">
        <v>0</v>
      </c>
      <c r="V229" s="3">
        <f t="shared" si="47"/>
        <v>1</v>
      </c>
      <c r="W229" s="3">
        <v>0</v>
      </c>
      <c r="X229" s="3">
        <v>0</v>
      </c>
      <c r="Y229" s="3">
        <v>0</v>
      </c>
      <c r="Z229" s="3">
        <v>1</v>
      </c>
      <c r="AA229" s="3">
        <v>0</v>
      </c>
      <c r="AB229" s="3">
        <f t="shared" si="48"/>
        <v>1</v>
      </c>
      <c r="AC229" s="6">
        <f t="shared" si="56"/>
        <v>0</v>
      </c>
      <c r="AD229" s="6">
        <f t="shared" si="57"/>
        <v>0</v>
      </c>
      <c r="AE229" s="6">
        <f t="shared" si="58"/>
        <v>0</v>
      </c>
      <c r="AF229" s="6">
        <f t="shared" si="59"/>
        <v>-1</v>
      </c>
      <c r="AG229" s="6">
        <f t="shared" si="60"/>
        <v>0</v>
      </c>
      <c r="AH229" s="6">
        <f t="shared" si="49"/>
        <v>-1</v>
      </c>
      <c r="AI229" s="3"/>
      <c r="AJ229" s="3">
        <f>_xlfn.XLOOKUP(K229,工作表1!A:A,工作表1!C:C)</f>
        <v>1</v>
      </c>
      <c r="AK229" s="3" t="s">
        <v>1483</v>
      </c>
      <c r="AL229" s="6">
        <f t="shared" si="50"/>
        <v>0</v>
      </c>
      <c r="AM229" s="6">
        <f t="shared" si="51"/>
        <v>0</v>
      </c>
      <c r="AN229" s="6">
        <f t="shared" si="52"/>
        <v>0</v>
      </c>
      <c r="AO229" s="6">
        <f t="shared" si="53"/>
        <v>0</v>
      </c>
      <c r="AP229" s="6">
        <f t="shared" si="54"/>
        <v>0</v>
      </c>
      <c r="AQ229" s="6">
        <f t="shared" si="55"/>
        <v>0</v>
      </c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  <c r="BC229" s="6"/>
      <c r="BD229" s="6"/>
      <c r="BE229" s="6"/>
      <c r="BF229" s="6"/>
      <c r="BG229" s="6"/>
      <c r="BH229" s="6"/>
      <c r="BI229" s="6"/>
      <c r="BJ229" s="6"/>
      <c r="BK229" s="6"/>
      <c r="BL229" s="6"/>
      <c r="BM229" s="6"/>
      <c r="BN229" s="6"/>
      <c r="BO229" s="6"/>
      <c r="BP229" s="3">
        <v>1</v>
      </c>
      <c r="BQ229" s="6">
        <f t="shared" si="46"/>
        <v>0</v>
      </c>
    </row>
    <row r="230" spans="1:74" x14ac:dyDescent="0.3">
      <c r="A230" s="3" t="s">
        <v>17</v>
      </c>
      <c r="B230" s="3">
        <v>415</v>
      </c>
      <c r="C230" s="3" t="s">
        <v>393</v>
      </c>
      <c r="D230" s="3">
        <v>2</v>
      </c>
      <c r="E230" s="3" t="s">
        <v>19</v>
      </c>
      <c r="F230" s="3" t="s">
        <v>41</v>
      </c>
      <c r="G230" s="3" t="s">
        <v>19</v>
      </c>
      <c r="H230" s="3" t="s">
        <v>54</v>
      </c>
      <c r="I230" s="3">
        <v>8.74</v>
      </c>
      <c r="J230" s="3" t="s">
        <v>91</v>
      </c>
      <c r="K230" s="3" t="s">
        <v>396</v>
      </c>
      <c r="L230" s="3" t="s">
        <v>24</v>
      </c>
      <c r="M230" s="3">
        <v>2</v>
      </c>
      <c r="N230" s="6"/>
      <c r="O230" s="3">
        <v>1</v>
      </c>
      <c r="P230" s="3">
        <v>1</v>
      </c>
      <c r="Q230" s="3">
        <v>0</v>
      </c>
      <c r="R230" s="3">
        <v>0</v>
      </c>
      <c r="S230" s="3">
        <v>0</v>
      </c>
      <c r="T230" s="3">
        <v>1</v>
      </c>
      <c r="U230" s="3">
        <v>0</v>
      </c>
      <c r="V230" s="3">
        <f t="shared" si="47"/>
        <v>1</v>
      </c>
      <c r="W230" s="3">
        <v>0</v>
      </c>
      <c r="X230" s="3">
        <v>0</v>
      </c>
      <c r="Y230" s="3">
        <v>0</v>
      </c>
      <c r="Z230" s="3">
        <v>1</v>
      </c>
      <c r="AA230" s="3">
        <v>0</v>
      </c>
      <c r="AB230" s="3">
        <f t="shared" si="48"/>
        <v>1</v>
      </c>
      <c r="AC230" s="6">
        <f t="shared" si="56"/>
        <v>0</v>
      </c>
      <c r="AD230" s="6">
        <f t="shared" si="57"/>
        <v>0</v>
      </c>
      <c r="AE230" s="6">
        <f t="shared" si="58"/>
        <v>0</v>
      </c>
      <c r="AF230" s="6">
        <f t="shared" si="59"/>
        <v>-1</v>
      </c>
      <c r="AG230" s="6">
        <f t="shared" si="60"/>
        <v>0</v>
      </c>
      <c r="AH230" s="6">
        <f t="shared" si="49"/>
        <v>-1</v>
      </c>
      <c r="AI230" s="3"/>
      <c r="AJ230" s="3" t="e">
        <f>_xlfn.XLOOKUP(K230,工作表1!A:A,工作表1!C:C)</f>
        <v>#N/A</v>
      </c>
      <c r="AK230" s="3"/>
      <c r="AL230" s="6">
        <f t="shared" si="50"/>
        <v>0</v>
      </c>
      <c r="AM230" s="6">
        <f t="shared" si="51"/>
        <v>0</v>
      </c>
      <c r="AN230" s="6">
        <f t="shared" si="52"/>
        <v>0</v>
      </c>
      <c r="AO230" s="6">
        <f t="shared" si="53"/>
        <v>0</v>
      </c>
      <c r="AP230" s="6">
        <f t="shared" si="54"/>
        <v>0</v>
      </c>
      <c r="AQ230" s="6">
        <f t="shared" si="55"/>
        <v>0</v>
      </c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  <c r="BC230" s="6"/>
      <c r="BD230" s="6"/>
      <c r="BE230" s="6"/>
      <c r="BF230" s="6"/>
      <c r="BG230" s="6"/>
      <c r="BH230" s="6"/>
      <c r="BI230" s="6"/>
      <c r="BJ230" s="6"/>
      <c r="BK230" s="6"/>
      <c r="BL230" s="6"/>
      <c r="BM230" s="6"/>
      <c r="BN230" s="6"/>
      <c r="BO230" s="6"/>
      <c r="BP230" s="3">
        <v>1</v>
      </c>
      <c r="BQ230" s="6">
        <f t="shared" si="46"/>
        <v>0</v>
      </c>
    </row>
    <row r="231" spans="1:74" x14ac:dyDescent="0.3">
      <c r="A231" s="3" t="s">
        <v>17</v>
      </c>
      <c r="B231" s="3">
        <v>415</v>
      </c>
      <c r="C231" s="3" t="s">
        <v>393</v>
      </c>
      <c r="D231" s="3">
        <v>1.5</v>
      </c>
      <c r="E231" s="3" t="s">
        <v>19</v>
      </c>
      <c r="F231" s="3" t="s">
        <v>41</v>
      </c>
      <c r="G231" s="3" t="s">
        <v>19</v>
      </c>
      <c r="H231" s="3" t="s">
        <v>57</v>
      </c>
      <c r="I231" s="3">
        <v>7.14</v>
      </c>
      <c r="J231" s="3" t="s">
        <v>91</v>
      </c>
      <c r="K231" s="3" t="s">
        <v>397</v>
      </c>
      <c r="L231" s="3" t="s">
        <v>24</v>
      </c>
      <c r="M231" s="3">
        <v>1</v>
      </c>
      <c r="N231" s="6"/>
      <c r="O231" s="3">
        <v>1</v>
      </c>
      <c r="P231" s="3">
        <v>1</v>
      </c>
      <c r="Q231" s="3">
        <v>0</v>
      </c>
      <c r="R231" s="3">
        <v>0</v>
      </c>
      <c r="S231" s="3">
        <v>0</v>
      </c>
      <c r="T231" s="3">
        <v>1</v>
      </c>
      <c r="U231" s="3">
        <v>0</v>
      </c>
      <c r="V231" s="3">
        <f t="shared" si="47"/>
        <v>1</v>
      </c>
      <c r="W231" s="3">
        <v>0</v>
      </c>
      <c r="X231" s="3">
        <v>0</v>
      </c>
      <c r="Y231" s="3">
        <v>0</v>
      </c>
      <c r="Z231" s="3">
        <v>1</v>
      </c>
      <c r="AA231" s="3">
        <v>0</v>
      </c>
      <c r="AB231" s="3">
        <f t="shared" si="48"/>
        <v>1</v>
      </c>
      <c r="AC231" s="6">
        <f t="shared" si="56"/>
        <v>0</v>
      </c>
      <c r="AD231" s="6">
        <f t="shared" si="57"/>
        <v>0</v>
      </c>
      <c r="AE231" s="6">
        <f t="shared" si="58"/>
        <v>0</v>
      </c>
      <c r="AF231" s="6">
        <f t="shared" si="59"/>
        <v>-1</v>
      </c>
      <c r="AG231" s="6">
        <f t="shared" si="60"/>
        <v>0</v>
      </c>
      <c r="AH231" s="6">
        <f t="shared" si="49"/>
        <v>-1</v>
      </c>
      <c r="AI231" s="3"/>
      <c r="AJ231" s="3" t="e">
        <f>_xlfn.XLOOKUP(K231,工作表1!A:A,工作表1!C:C)</f>
        <v>#N/A</v>
      </c>
      <c r="AK231" s="3"/>
      <c r="AL231" s="6">
        <f t="shared" si="50"/>
        <v>0</v>
      </c>
      <c r="AM231" s="6">
        <f t="shared" si="51"/>
        <v>0</v>
      </c>
      <c r="AN231" s="6">
        <f t="shared" si="52"/>
        <v>0</v>
      </c>
      <c r="AO231" s="6">
        <f t="shared" si="53"/>
        <v>0</v>
      </c>
      <c r="AP231" s="6">
        <f t="shared" si="54"/>
        <v>0</v>
      </c>
      <c r="AQ231" s="6">
        <f t="shared" si="55"/>
        <v>0</v>
      </c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  <c r="BC231" s="6"/>
      <c r="BD231" s="6"/>
      <c r="BE231" s="6"/>
      <c r="BF231" s="6"/>
      <c r="BG231" s="6"/>
      <c r="BH231" s="6"/>
      <c r="BI231" s="6"/>
      <c r="BJ231" s="6"/>
      <c r="BK231" s="6"/>
      <c r="BL231" s="6"/>
      <c r="BM231" s="6"/>
      <c r="BN231" s="6"/>
      <c r="BO231" s="6"/>
      <c r="BP231" s="3">
        <v>1</v>
      </c>
      <c r="BQ231" s="6">
        <f t="shared" si="46"/>
        <v>0</v>
      </c>
    </row>
    <row r="232" spans="1:74" x14ac:dyDescent="0.3">
      <c r="A232" s="3" t="s">
        <v>17</v>
      </c>
      <c r="B232" s="3">
        <v>415</v>
      </c>
      <c r="C232" s="3" t="s">
        <v>393</v>
      </c>
      <c r="D232" s="3">
        <v>1</v>
      </c>
      <c r="E232" s="3" t="s">
        <v>19</v>
      </c>
      <c r="F232" s="3" t="s">
        <v>41</v>
      </c>
      <c r="G232" s="3" t="s">
        <v>19</v>
      </c>
      <c r="H232" s="3" t="s">
        <v>59</v>
      </c>
      <c r="I232" s="3">
        <v>6.35</v>
      </c>
      <c r="J232" s="3" t="s">
        <v>91</v>
      </c>
      <c r="K232" s="3" t="s">
        <v>398</v>
      </c>
      <c r="L232" s="3" t="s">
        <v>24</v>
      </c>
      <c r="M232" s="3">
        <v>35</v>
      </c>
      <c r="N232" s="6"/>
      <c r="O232" s="3">
        <v>24</v>
      </c>
      <c r="P232" s="3">
        <v>24</v>
      </c>
      <c r="Q232" s="3">
        <v>0</v>
      </c>
      <c r="R232" s="3">
        <v>0</v>
      </c>
      <c r="S232" s="3">
        <v>1</v>
      </c>
      <c r="T232" s="3">
        <v>23</v>
      </c>
      <c r="U232" s="3">
        <v>0</v>
      </c>
      <c r="V232" s="3">
        <f t="shared" si="47"/>
        <v>24</v>
      </c>
      <c r="W232" s="3">
        <v>0</v>
      </c>
      <c r="X232" s="3">
        <v>0</v>
      </c>
      <c r="Y232" s="3">
        <v>1</v>
      </c>
      <c r="Z232" s="3">
        <v>23</v>
      </c>
      <c r="AA232" s="3">
        <v>0</v>
      </c>
      <c r="AB232" s="3">
        <f t="shared" si="48"/>
        <v>24</v>
      </c>
      <c r="AC232" s="6">
        <f t="shared" si="56"/>
        <v>0</v>
      </c>
      <c r="AD232" s="6">
        <f t="shared" si="57"/>
        <v>0</v>
      </c>
      <c r="AE232" s="6">
        <f t="shared" si="58"/>
        <v>-1</v>
      </c>
      <c r="AF232" s="6">
        <f t="shared" si="59"/>
        <v>-2</v>
      </c>
      <c r="AG232" s="6">
        <f t="shared" si="60"/>
        <v>0</v>
      </c>
      <c r="AH232" s="6">
        <f t="shared" si="49"/>
        <v>-3</v>
      </c>
      <c r="AI232" s="3"/>
      <c r="AJ232" s="3">
        <f>_xlfn.XLOOKUP(K232,工作表1!A:A,工作表1!C:C)</f>
        <v>23</v>
      </c>
      <c r="AK232" s="3" t="s">
        <v>1483</v>
      </c>
      <c r="AL232" s="6">
        <f t="shared" si="50"/>
        <v>0</v>
      </c>
      <c r="AM232" s="6">
        <f t="shared" si="51"/>
        <v>0</v>
      </c>
      <c r="AN232" s="6">
        <f t="shared" si="52"/>
        <v>0</v>
      </c>
      <c r="AO232" s="6">
        <f t="shared" si="53"/>
        <v>21</v>
      </c>
      <c r="AP232" s="6">
        <f t="shared" si="54"/>
        <v>0</v>
      </c>
      <c r="AQ232" s="6">
        <f t="shared" si="55"/>
        <v>21</v>
      </c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  <c r="BC232" s="6"/>
      <c r="BD232" s="6"/>
      <c r="BE232" s="6"/>
      <c r="BF232" s="6"/>
      <c r="BG232" s="6"/>
      <c r="BH232" s="6">
        <v>21</v>
      </c>
      <c r="BI232" s="6"/>
      <c r="BJ232" s="6"/>
      <c r="BK232" s="6"/>
      <c r="BL232" s="6"/>
      <c r="BM232" s="6"/>
      <c r="BN232" s="6"/>
      <c r="BO232" s="6"/>
      <c r="BP232" s="3">
        <v>24</v>
      </c>
      <c r="BQ232" s="6">
        <f t="shared" si="46"/>
        <v>21</v>
      </c>
      <c r="BV232">
        <v>21</v>
      </c>
    </row>
    <row r="233" spans="1:74" x14ac:dyDescent="0.3">
      <c r="A233" s="3" t="s">
        <v>17</v>
      </c>
      <c r="B233" s="3">
        <v>415</v>
      </c>
      <c r="C233" s="3" t="s">
        <v>393</v>
      </c>
      <c r="D233" s="3">
        <v>0.75</v>
      </c>
      <c r="E233" s="3" t="s">
        <v>19</v>
      </c>
      <c r="F233" s="3" t="s">
        <v>41</v>
      </c>
      <c r="G233" s="3" t="s">
        <v>19</v>
      </c>
      <c r="H233" s="3" t="s">
        <v>61</v>
      </c>
      <c r="I233" s="3">
        <v>5.56</v>
      </c>
      <c r="J233" s="3" t="s">
        <v>91</v>
      </c>
      <c r="K233" s="3" t="s">
        <v>399</v>
      </c>
      <c r="L233" s="3" t="s">
        <v>24</v>
      </c>
      <c r="M233" s="3">
        <v>26</v>
      </c>
      <c r="N233" s="6"/>
      <c r="O233" s="3">
        <v>6</v>
      </c>
      <c r="P233" s="3">
        <v>6</v>
      </c>
      <c r="Q233" s="3">
        <v>0</v>
      </c>
      <c r="R233" s="3">
        <v>0</v>
      </c>
      <c r="S233" s="3">
        <v>0</v>
      </c>
      <c r="T233" s="3">
        <v>6</v>
      </c>
      <c r="U233" s="3">
        <v>0</v>
      </c>
      <c r="V233" s="3">
        <f t="shared" si="47"/>
        <v>6</v>
      </c>
      <c r="W233" s="3">
        <v>0</v>
      </c>
      <c r="X233" s="3">
        <v>0</v>
      </c>
      <c r="Y233" s="3">
        <v>0</v>
      </c>
      <c r="Z233" s="3">
        <v>6</v>
      </c>
      <c r="AA233" s="3">
        <v>0</v>
      </c>
      <c r="AB233" s="3">
        <f t="shared" si="48"/>
        <v>6</v>
      </c>
      <c r="AC233" s="6">
        <f t="shared" si="56"/>
        <v>0</v>
      </c>
      <c r="AD233" s="6">
        <f t="shared" si="57"/>
        <v>0</v>
      </c>
      <c r="AE233" s="6">
        <f t="shared" si="58"/>
        <v>0</v>
      </c>
      <c r="AF233" s="6">
        <f t="shared" si="59"/>
        <v>-6</v>
      </c>
      <c r="AG233" s="6">
        <f t="shared" si="60"/>
        <v>0</v>
      </c>
      <c r="AH233" s="6">
        <f t="shared" si="49"/>
        <v>-6</v>
      </c>
      <c r="AI233" s="3"/>
      <c r="AJ233" s="3" t="e">
        <f>_xlfn.XLOOKUP(K233,工作表1!A:A,工作表1!C:C)</f>
        <v>#N/A</v>
      </c>
      <c r="AK233" s="3"/>
      <c r="AL233" s="6">
        <f t="shared" si="50"/>
        <v>0</v>
      </c>
      <c r="AM233" s="6">
        <f t="shared" si="51"/>
        <v>0</v>
      </c>
      <c r="AN233" s="6">
        <f t="shared" si="52"/>
        <v>0</v>
      </c>
      <c r="AO233" s="6">
        <f t="shared" si="53"/>
        <v>0</v>
      </c>
      <c r="AP233" s="6">
        <f t="shared" si="54"/>
        <v>0</v>
      </c>
      <c r="AQ233" s="6">
        <f t="shared" si="55"/>
        <v>0</v>
      </c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  <c r="BC233" s="6"/>
      <c r="BD233" s="6"/>
      <c r="BE233" s="6"/>
      <c r="BF233" s="6"/>
      <c r="BG233" s="6"/>
      <c r="BH233" s="6"/>
      <c r="BI233" s="6"/>
      <c r="BJ233" s="6"/>
      <c r="BK233" s="6"/>
      <c r="BL233" s="6"/>
      <c r="BM233" s="6"/>
      <c r="BN233" s="6"/>
      <c r="BO233" s="6"/>
      <c r="BP233" s="3">
        <v>6</v>
      </c>
      <c r="BQ233" s="6">
        <f t="shared" si="46"/>
        <v>0</v>
      </c>
    </row>
    <row r="234" spans="1:74" x14ac:dyDescent="0.3">
      <c r="A234" s="3" t="s">
        <v>17</v>
      </c>
      <c r="B234" s="3">
        <v>415</v>
      </c>
      <c r="C234" s="3" t="s">
        <v>393</v>
      </c>
      <c r="D234" s="3">
        <v>0.5</v>
      </c>
      <c r="E234" s="3" t="s">
        <v>19</v>
      </c>
      <c r="F234" s="3" t="s">
        <v>41</v>
      </c>
      <c r="G234" s="3" t="s">
        <v>19</v>
      </c>
      <c r="H234" s="3" t="s">
        <v>66</v>
      </c>
      <c r="I234" s="3">
        <v>4.78</v>
      </c>
      <c r="J234" s="3" t="s">
        <v>91</v>
      </c>
      <c r="K234" s="3" t="s">
        <v>400</v>
      </c>
      <c r="L234" s="3" t="s">
        <v>24</v>
      </c>
      <c r="M234" s="3">
        <v>133</v>
      </c>
      <c r="N234" s="6"/>
      <c r="O234" s="3">
        <v>22</v>
      </c>
      <c r="P234" s="3">
        <v>22</v>
      </c>
      <c r="Q234" s="3">
        <v>0</v>
      </c>
      <c r="R234" s="3">
        <v>0</v>
      </c>
      <c r="S234" s="3">
        <v>12</v>
      </c>
      <c r="T234" s="3">
        <v>10</v>
      </c>
      <c r="U234" s="3">
        <v>0</v>
      </c>
      <c r="V234" s="3">
        <f t="shared" si="47"/>
        <v>22</v>
      </c>
      <c r="W234" s="3">
        <v>0</v>
      </c>
      <c r="X234" s="3">
        <v>0</v>
      </c>
      <c r="Y234" s="3">
        <v>12</v>
      </c>
      <c r="Z234" s="3">
        <v>10</v>
      </c>
      <c r="AA234" s="3">
        <v>0</v>
      </c>
      <c r="AB234" s="3">
        <f t="shared" si="48"/>
        <v>22</v>
      </c>
      <c r="AC234" s="6">
        <f t="shared" si="56"/>
        <v>0</v>
      </c>
      <c r="AD234" s="6">
        <f t="shared" si="57"/>
        <v>0</v>
      </c>
      <c r="AE234" s="6">
        <f t="shared" si="58"/>
        <v>-12</v>
      </c>
      <c r="AF234" s="6">
        <f t="shared" si="59"/>
        <v>-10</v>
      </c>
      <c r="AG234" s="6">
        <f t="shared" si="60"/>
        <v>0</v>
      </c>
      <c r="AH234" s="6">
        <f t="shared" si="49"/>
        <v>-22</v>
      </c>
      <c r="AI234" s="3"/>
      <c r="AJ234" s="3" t="e">
        <f>_xlfn.XLOOKUP(K234,工作表1!A:A,工作表1!C:C)</f>
        <v>#N/A</v>
      </c>
      <c r="AK234" s="3"/>
      <c r="AL234" s="6">
        <f t="shared" si="50"/>
        <v>0</v>
      </c>
      <c r="AM234" s="6">
        <f t="shared" si="51"/>
        <v>0</v>
      </c>
      <c r="AN234" s="6">
        <f t="shared" si="52"/>
        <v>0</v>
      </c>
      <c r="AO234" s="6">
        <f t="shared" si="53"/>
        <v>0</v>
      </c>
      <c r="AP234" s="6">
        <f t="shared" si="54"/>
        <v>0</v>
      </c>
      <c r="AQ234" s="6">
        <f t="shared" si="55"/>
        <v>0</v>
      </c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  <c r="BC234" s="6"/>
      <c r="BD234" s="6"/>
      <c r="BE234" s="6"/>
      <c r="BF234" s="6"/>
      <c r="BG234" s="6"/>
      <c r="BH234" s="6"/>
      <c r="BI234" s="6"/>
      <c r="BJ234" s="6"/>
      <c r="BK234" s="6"/>
      <c r="BL234" s="6"/>
      <c r="BM234" s="6"/>
      <c r="BN234" s="6"/>
      <c r="BO234" s="6"/>
      <c r="BP234" s="3">
        <v>22</v>
      </c>
      <c r="BQ234" s="6">
        <f t="shared" si="46"/>
        <v>0</v>
      </c>
    </row>
    <row r="235" spans="1:74" x14ac:dyDescent="0.3">
      <c r="A235" s="3" t="s">
        <v>17</v>
      </c>
      <c r="B235" s="3">
        <v>415</v>
      </c>
      <c r="C235" s="3" t="s">
        <v>401</v>
      </c>
      <c r="D235" s="3">
        <v>8</v>
      </c>
      <c r="E235" s="3" t="s">
        <v>19</v>
      </c>
      <c r="F235" s="3" t="s">
        <v>20</v>
      </c>
      <c r="G235" s="3" t="s">
        <v>19</v>
      </c>
      <c r="H235" s="3" t="s">
        <v>21</v>
      </c>
      <c r="I235" s="3">
        <v>8.18</v>
      </c>
      <c r="J235" s="3" t="s">
        <v>91</v>
      </c>
      <c r="K235" s="3" t="s">
        <v>402</v>
      </c>
      <c r="L235" s="3" t="s">
        <v>24</v>
      </c>
      <c r="M235" s="3">
        <v>24</v>
      </c>
      <c r="N235" s="6"/>
      <c r="O235" s="3">
        <v>15</v>
      </c>
      <c r="P235" s="3">
        <v>15</v>
      </c>
      <c r="Q235" s="3">
        <v>0</v>
      </c>
      <c r="R235" s="3">
        <v>0</v>
      </c>
      <c r="S235" s="3">
        <v>0</v>
      </c>
      <c r="T235" s="3">
        <v>15</v>
      </c>
      <c r="U235" s="3">
        <v>0</v>
      </c>
      <c r="V235" s="3">
        <f t="shared" si="47"/>
        <v>15</v>
      </c>
      <c r="W235" s="3">
        <v>0</v>
      </c>
      <c r="X235" s="3">
        <v>0</v>
      </c>
      <c r="Y235" s="3">
        <v>0</v>
      </c>
      <c r="Z235" s="3">
        <v>15</v>
      </c>
      <c r="AA235" s="3">
        <v>0</v>
      </c>
      <c r="AB235" s="3">
        <f t="shared" si="48"/>
        <v>15</v>
      </c>
      <c r="AC235" s="6">
        <f t="shared" si="56"/>
        <v>0</v>
      </c>
      <c r="AD235" s="6">
        <f t="shared" si="57"/>
        <v>0</v>
      </c>
      <c r="AE235" s="6">
        <f t="shared" si="58"/>
        <v>0</v>
      </c>
      <c r="AF235" s="6">
        <f t="shared" si="59"/>
        <v>-15</v>
      </c>
      <c r="AG235" s="6">
        <f t="shared" si="60"/>
        <v>0</v>
      </c>
      <c r="AH235" s="6">
        <f t="shared" si="49"/>
        <v>-15</v>
      </c>
      <c r="AI235" s="3"/>
      <c r="AJ235" s="3" t="e">
        <f>_xlfn.XLOOKUP(K235,工作表1!A:A,工作表1!C:C)</f>
        <v>#N/A</v>
      </c>
      <c r="AK235" s="3"/>
      <c r="AL235" s="6">
        <f t="shared" si="50"/>
        <v>0</v>
      </c>
      <c r="AM235" s="6">
        <f t="shared" si="51"/>
        <v>0</v>
      </c>
      <c r="AN235" s="6">
        <f t="shared" si="52"/>
        <v>0</v>
      </c>
      <c r="AO235" s="6">
        <f t="shared" si="53"/>
        <v>0</v>
      </c>
      <c r="AP235" s="6">
        <f t="shared" si="54"/>
        <v>0</v>
      </c>
      <c r="AQ235" s="6">
        <f t="shared" si="55"/>
        <v>0</v>
      </c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  <c r="BC235" s="6"/>
      <c r="BD235" s="6"/>
      <c r="BE235" s="6"/>
      <c r="BF235" s="6"/>
      <c r="BG235" s="6"/>
      <c r="BH235" s="6"/>
      <c r="BI235" s="6"/>
      <c r="BJ235" s="6"/>
      <c r="BK235" s="6"/>
      <c r="BL235" s="6"/>
      <c r="BM235" s="6"/>
      <c r="BN235" s="6"/>
      <c r="BO235" s="6"/>
      <c r="BP235" s="3">
        <v>15</v>
      </c>
      <c r="BQ235" s="6">
        <f t="shared" si="46"/>
        <v>0</v>
      </c>
    </row>
    <row r="236" spans="1:74" x14ac:dyDescent="0.3">
      <c r="A236" s="3" t="s">
        <v>17</v>
      </c>
      <c r="B236" s="3">
        <v>415</v>
      </c>
      <c r="C236" s="3" t="s">
        <v>401</v>
      </c>
      <c r="D236" s="3">
        <v>6</v>
      </c>
      <c r="E236" s="3" t="s">
        <v>19</v>
      </c>
      <c r="F236" s="3" t="s">
        <v>20</v>
      </c>
      <c r="G236" s="3" t="s">
        <v>19</v>
      </c>
      <c r="H236" s="3" t="s">
        <v>28</v>
      </c>
      <c r="I236" s="3">
        <v>7.11</v>
      </c>
      <c r="J236" s="3" t="s">
        <v>91</v>
      </c>
      <c r="K236" s="3" t="s">
        <v>403</v>
      </c>
      <c r="L236" s="3" t="s">
        <v>24</v>
      </c>
      <c r="M236" s="3">
        <v>18</v>
      </c>
      <c r="N236" s="6"/>
      <c r="O236" s="3">
        <v>10</v>
      </c>
      <c r="P236" s="3">
        <v>10</v>
      </c>
      <c r="Q236" s="3">
        <v>0</v>
      </c>
      <c r="R236" s="3">
        <v>0</v>
      </c>
      <c r="S236" s="3">
        <v>0</v>
      </c>
      <c r="T236" s="3">
        <v>10</v>
      </c>
      <c r="U236" s="3">
        <v>0</v>
      </c>
      <c r="V236" s="3">
        <f t="shared" si="47"/>
        <v>10</v>
      </c>
      <c r="W236" s="3">
        <v>0</v>
      </c>
      <c r="X236" s="3">
        <v>0</v>
      </c>
      <c r="Y236" s="3">
        <v>0</v>
      </c>
      <c r="Z236" s="3">
        <v>10</v>
      </c>
      <c r="AA236" s="3">
        <v>0</v>
      </c>
      <c r="AB236" s="3">
        <f t="shared" si="48"/>
        <v>10</v>
      </c>
      <c r="AC236" s="6">
        <f t="shared" si="56"/>
        <v>0</v>
      </c>
      <c r="AD236" s="6">
        <f t="shared" si="57"/>
        <v>0</v>
      </c>
      <c r="AE236" s="6">
        <f t="shared" si="58"/>
        <v>0</v>
      </c>
      <c r="AF236" s="6">
        <f t="shared" si="59"/>
        <v>-1</v>
      </c>
      <c r="AG236" s="6">
        <f t="shared" si="60"/>
        <v>0</v>
      </c>
      <c r="AH236" s="6">
        <f t="shared" si="49"/>
        <v>-1</v>
      </c>
      <c r="AI236" s="3"/>
      <c r="AJ236" s="3" t="e">
        <f>_xlfn.XLOOKUP(K236,工作表1!A:A,工作表1!C:C)</f>
        <v>#N/A</v>
      </c>
      <c r="AK236" s="3"/>
      <c r="AL236" s="6">
        <f t="shared" si="50"/>
        <v>0</v>
      </c>
      <c r="AM236" s="6">
        <f t="shared" si="51"/>
        <v>0</v>
      </c>
      <c r="AN236" s="6">
        <f t="shared" si="52"/>
        <v>0</v>
      </c>
      <c r="AO236" s="6">
        <f t="shared" si="53"/>
        <v>9</v>
      </c>
      <c r="AP236" s="6">
        <f t="shared" si="54"/>
        <v>0</v>
      </c>
      <c r="AQ236" s="6">
        <f t="shared" si="55"/>
        <v>9</v>
      </c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  <c r="BC236" s="6"/>
      <c r="BD236" s="6"/>
      <c r="BE236" s="6"/>
      <c r="BF236" s="6"/>
      <c r="BG236" s="6"/>
      <c r="BH236" s="6">
        <v>9</v>
      </c>
      <c r="BI236" s="6"/>
      <c r="BJ236" s="6"/>
      <c r="BK236" s="6"/>
      <c r="BL236" s="6"/>
      <c r="BM236" s="6"/>
      <c r="BN236" s="6"/>
      <c r="BO236" s="6"/>
      <c r="BP236" s="3">
        <v>10</v>
      </c>
      <c r="BQ236" s="6">
        <f t="shared" si="46"/>
        <v>9</v>
      </c>
      <c r="BV236">
        <v>9</v>
      </c>
    </row>
    <row r="237" spans="1:74" x14ac:dyDescent="0.3">
      <c r="A237" s="3" t="s">
        <v>17</v>
      </c>
      <c r="B237" s="3">
        <v>415</v>
      </c>
      <c r="C237" s="3" t="s">
        <v>401</v>
      </c>
      <c r="D237" s="3">
        <v>4</v>
      </c>
      <c r="E237" s="3" t="s">
        <v>19</v>
      </c>
      <c r="F237" s="3" t="s">
        <v>20</v>
      </c>
      <c r="G237" s="3" t="s">
        <v>19</v>
      </c>
      <c r="H237" s="3" t="s">
        <v>30</v>
      </c>
      <c r="I237" s="3">
        <v>6.02</v>
      </c>
      <c r="J237" s="3" t="s">
        <v>91</v>
      </c>
      <c r="K237" s="3" t="s">
        <v>404</v>
      </c>
      <c r="L237" s="3" t="s">
        <v>24</v>
      </c>
      <c r="M237" s="3">
        <v>28</v>
      </c>
      <c r="N237" s="6"/>
      <c r="O237" s="3">
        <v>15</v>
      </c>
      <c r="P237" s="3">
        <v>15</v>
      </c>
      <c r="Q237" s="3">
        <v>0</v>
      </c>
      <c r="R237" s="3">
        <v>0</v>
      </c>
      <c r="S237" s="3">
        <v>0</v>
      </c>
      <c r="T237" s="3">
        <v>15</v>
      </c>
      <c r="U237" s="3">
        <v>0</v>
      </c>
      <c r="V237" s="3">
        <f t="shared" si="47"/>
        <v>15</v>
      </c>
      <c r="W237" s="3">
        <v>0</v>
      </c>
      <c r="X237" s="3">
        <v>0</v>
      </c>
      <c r="Y237" s="3">
        <v>0</v>
      </c>
      <c r="Z237" s="3">
        <v>15</v>
      </c>
      <c r="AA237" s="3">
        <v>0</v>
      </c>
      <c r="AB237" s="3">
        <f t="shared" si="48"/>
        <v>15</v>
      </c>
      <c r="AC237" s="6">
        <f t="shared" si="56"/>
        <v>0</v>
      </c>
      <c r="AD237" s="6">
        <f t="shared" si="57"/>
        <v>0</v>
      </c>
      <c r="AE237" s="6">
        <f t="shared" si="58"/>
        <v>0</v>
      </c>
      <c r="AF237" s="6">
        <f t="shared" si="59"/>
        <v>-6</v>
      </c>
      <c r="AG237" s="6">
        <f t="shared" si="60"/>
        <v>0</v>
      </c>
      <c r="AH237" s="6">
        <f t="shared" si="49"/>
        <v>-6</v>
      </c>
      <c r="AI237" s="3"/>
      <c r="AJ237" s="3">
        <f>_xlfn.XLOOKUP(K237,工作表1!A:A,工作表1!C:C)</f>
        <v>7</v>
      </c>
      <c r="AK237" s="3" t="s">
        <v>1483</v>
      </c>
      <c r="AL237" s="6">
        <f t="shared" si="50"/>
        <v>0</v>
      </c>
      <c r="AM237" s="6">
        <f t="shared" si="51"/>
        <v>0</v>
      </c>
      <c r="AN237" s="6">
        <f t="shared" si="52"/>
        <v>0</v>
      </c>
      <c r="AO237" s="6">
        <f t="shared" si="53"/>
        <v>9</v>
      </c>
      <c r="AP237" s="6">
        <f t="shared" si="54"/>
        <v>0</v>
      </c>
      <c r="AQ237" s="6">
        <f t="shared" si="55"/>
        <v>9</v>
      </c>
      <c r="AR237" s="6"/>
      <c r="AS237" s="6"/>
      <c r="AT237" s="6"/>
      <c r="AU237" s="6"/>
      <c r="AV237" s="6"/>
      <c r="AW237" s="18"/>
      <c r="AX237" s="6"/>
      <c r="AY237" s="6"/>
      <c r="AZ237" s="6"/>
      <c r="BA237" s="6"/>
      <c r="BB237" s="6"/>
      <c r="BC237" s="6"/>
      <c r="BD237" s="6"/>
      <c r="BE237" s="6"/>
      <c r="BF237" s="18">
        <v>2</v>
      </c>
      <c r="BG237" s="6"/>
      <c r="BH237" s="6">
        <v>7</v>
      </c>
      <c r="BI237" s="6"/>
      <c r="BJ237" s="6"/>
      <c r="BK237" s="6"/>
      <c r="BL237" s="6"/>
      <c r="BM237" s="6"/>
      <c r="BN237" s="6"/>
      <c r="BO237" s="6"/>
      <c r="BP237" s="3">
        <v>15</v>
      </c>
      <c r="BQ237" s="6">
        <f t="shared" si="46"/>
        <v>9</v>
      </c>
      <c r="BR237">
        <v>2</v>
      </c>
      <c r="BV237">
        <v>7</v>
      </c>
    </row>
    <row r="238" spans="1:74" x14ac:dyDescent="0.3">
      <c r="A238" s="3" t="s">
        <v>17</v>
      </c>
      <c r="B238" s="3">
        <v>415</v>
      </c>
      <c r="C238" s="3" t="s">
        <v>401</v>
      </c>
      <c r="D238" s="3">
        <v>3</v>
      </c>
      <c r="E238" s="3" t="s">
        <v>19</v>
      </c>
      <c r="F238" s="3" t="s">
        <v>20</v>
      </c>
      <c r="G238" s="3" t="s">
        <v>19</v>
      </c>
      <c r="H238" s="3" t="s">
        <v>32</v>
      </c>
      <c r="I238" s="3">
        <v>5.49</v>
      </c>
      <c r="J238" s="3" t="s">
        <v>91</v>
      </c>
      <c r="K238" s="3" t="s">
        <v>405</v>
      </c>
      <c r="L238" s="3" t="s">
        <v>24</v>
      </c>
      <c r="M238" s="3">
        <v>49</v>
      </c>
      <c r="N238" s="6"/>
      <c r="O238" s="3">
        <v>41</v>
      </c>
      <c r="P238" s="3">
        <v>41</v>
      </c>
      <c r="Q238" s="3">
        <v>0</v>
      </c>
      <c r="R238" s="3">
        <v>10</v>
      </c>
      <c r="S238" s="3">
        <v>0</v>
      </c>
      <c r="T238" s="3">
        <v>31</v>
      </c>
      <c r="U238" s="3">
        <v>0</v>
      </c>
      <c r="V238" s="3">
        <f t="shared" si="47"/>
        <v>41</v>
      </c>
      <c r="W238" s="3">
        <v>0</v>
      </c>
      <c r="X238" s="3">
        <v>10</v>
      </c>
      <c r="Y238" s="3">
        <v>0</v>
      </c>
      <c r="Z238" s="3">
        <v>31</v>
      </c>
      <c r="AA238" s="3">
        <v>0</v>
      </c>
      <c r="AB238" s="3">
        <f t="shared" si="48"/>
        <v>41</v>
      </c>
      <c r="AC238" s="6">
        <f t="shared" si="56"/>
        <v>0</v>
      </c>
      <c r="AD238" s="6">
        <f t="shared" si="57"/>
        <v>0</v>
      </c>
      <c r="AE238" s="6">
        <f t="shared" si="58"/>
        <v>0</v>
      </c>
      <c r="AF238" s="6">
        <f t="shared" si="59"/>
        <v>-16</v>
      </c>
      <c r="AG238" s="6">
        <f t="shared" si="60"/>
        <v>0</v>
      </c>
      <c r="AH238" s="6">
        <f t="shared" si="49"/>
        <v>-16</v>
      </c>
      <c r="AI238" s="3"/>
      <c r="AJ238" s="3">
        <f>_xlfn.XLOOKUP(K238,工作表1!A:A,工作表1!C:C)</f>
        <v>10</v>
      </c>
      <c r="AK238" s="3" t="s">
        <v>1483</v>
      </c>
      <c r="AL238" s="6">
        <f t="shared" si="50"/>
        <v>0</v>
      </c>
      <c r="AM238" s="6">
        <f t="shared" si="51"/>
        <v>10</v>
      </c>
      <c r="AN238" s="6">
        <f t="shared" si="52"/>
        <v>0</v>
      </c>
      <c r="AO238" s="6">
        <f t="shared" si="53"/>
        <v>15</v>
      </c>
      <c r="AP238" s="6">
        <f t="shared" si="54"/>
        <v>0</v>
      </c>
      <c r="AQ238" s="6">
        <f t="shared" si="55"/>
        <v>25</v>
      </c>
      <c r="AR238" s="6"/>
      <c r="AS238" s="6"/>
      <c r="AT238" s="6"/>
      <c r="AU238" s="6"/>
      <c r="AV238" s="6"/>
      <c r="AW238" s="18">
        <v>10</v>
      </c>
      <c r="AX238" s="6"/>
      <c r="AY238" s="6"/>
      <c r="AZ238" s="6"/>
      <c r="BA238" s="6"/>
      <c r="BB238" s="6"/>
      <c r="BC238" s="6"/>
      <c r="BD238" s="6"/>
      <c r="BE238" s="6"/>
      <c r="BF238" s="18">
        <v>5</v>
      </c>
      <c r="BG238" s="6"/>
      <c r="BH238" s="6">
        <v>10</v>
      </c>
      <c r="BI238" s="6"/>
      <c r="BJ238" s="6"/>
      <c r="BK238" s="6"/>
      <c r="BL238" s="6"/>
      <c r="BM238" s="6"/>
      <c r="BN238" s="6"/>
      <c r="BO238" s="6"/>
      <c r="BP238" s="3">
        <v>41</v>
      </c>
      <c r="BQ238" s="6">
        <f t="shared" si="46"/>
        <v>25</v>
      </c>
      <c r="BR238">
        <v>15</v>
      </c>
      <c r="BV238">
        <v>10</v>
      </c>
    </row>
    <row r="239" spans="1:74" x14ac:dyDescent="0.3">
      <c r="A239" s="3" t="s">
        <v>17</v>
      </c>
      <c r="B239" s="3">
        <v>415</v>
      </c>
      <c r="C239" s="3" t="s">
        <v>401</v>
      </c>
      <c r="D239" s="3">
        <v>2</v>
      </c>
      <c r="E239" s="3" t="s">
        <v>19</v>
      </c>
      <c r="F239" s="3" t="s">
        <v>25</v>
      </c>
      <c r="G239" s="3" t="s">
        <v>19</v>
      </c>
      <c r="H239" s="3" t="s">
        <v>34</v>
      </c>
      <c r="I239" s="3">
        <v>5.54</v>
      </c>
      <c r="J239" s="3" t="s">
        <v>91</v>
      </c>
      <c r="K239" s="3" t="s">
        <v>406</v>
      </c>
      <c r="L239" s="3" t="s">
        <v>24</v>
      </c>
      <c r="M239" s="3">
        <v>135</v>
      </c>
      <c r="N239" s="6"/>
      <c r="O239" s="3">
        <v>10</v>
      </c>
      <c r="P239" s="3">
        <v>10</v>
      </c>
      <c r="Q239" s="3">
        <v>0</v>
      </c>
      <c r="R239" s="3">
        <v>0</v>
      </c>
      <c r="S239" s="3">
        <v>0</v>
      </c>
      <c r="T239" s="3">
        <v>10</v>
      </c>
      <c r="U239" s="3">
        <v>0</v>
      </c>
      <c r="V239" s="3">
        <f t="shared" si="47"/>
        <v>10</v>
      </c>
      <c r="W239" s="3">
        <v>0</v>
      </c>
      <c r="X239" s="3">
        <v>0</v>
      </c>
      <c r="Y239" s="3">
        <v>0</v>
      </c>
      <c r="Z239" s="3">
        <v>10</v>
      </c>
      <c r="AA239" s="3">
        <v>0</v>
      </c>
      <c r="AB239" s="3">
        <f t="shared" si="48"/>
        <v>10</v>
      </c>
      <c r="AC239" s="6">
        <f t="shared" si="56"/>
        <v>0</v>
      </c>
      <c r="AD239" s="6">
        <f t="shared" si="57"/>
        <v>0</v>
      </c>
      <c r="AE239" s="6">
        <f t="shared" si="58"/>
        <v>0</v>
      </c>
      <c r="AF239" s="6">
        <f t="shared" si="59"/>
        <v>-7</v>
      </c>
      <c r="AG239" s="6">
        <f t="shared" si="60"/>
        <v>0</v>
      </c>
      <c r="AH239" s="6">
        <f t="shared" si="49"/>
        <v>-7</v>
      </c>
      <c r="AI239" s="3"/>
      <c r="AJ239" s="3">
        <f>_xlfn.XLOOKUP(K239,工作表1!A:A,工作表1!C:C)</f>
        <v>3</v>
      </c>
      <c r="AK239" s="3" t="s">
        <v>1483</v>
      </c>
      <c r="AL239" s="6">
        <f t="shared" si="50"/>
        <v>0</v>
      </c>
      <c r="AM239" s="6">
        <f t="shared" si="51"/>
        <v>0</v>
      </c>
      <c r="AN239" s="6">
        <f t="shared" si="52"/>
        <v>0</v>
      </c>
      <c r="AO239" s="6">
        <f t="shared" si="53"/>
        <v>3</v>
      </c>
      <c r="AP239" s="6">
        <f t="shared" si="54"/>
        <v>0</v>
      </c>
      <c r="AQ239" s="6">
        <f t="shared" si="55"/>
        <v>3</v>
      </c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  <c r="BC239" s="6"/>
      <c r="BD239" s="6"/>
      <c r="BE239" s="6"/>
      <c r="BF239" s="6"/>
      <c r="BG239" s="6"/>
      <c r="BH239" s="6">
        <v>3</v>
      </c>
      <c r="BI239" s="6"/>
      <c r="BJ239" s="6"/>
      <c r="BK239" s="6"/>
      <c r="BL239" s="6"/>
      <c r="BM239" s="6"/>
      <c r="BN239" s="6"/>
      <c r="BO239" s="6"/>
      <c r="BP239" s="3">
        <v>10</v>
      </c>
      <c r="BQ239" s="6">
        <f t="shared" si="46"/>
        <v>3</v>
      </c>
      <c r="BV239">
        <v>3</v>
      </c>
    </row>
    <row r="240" spans="1:74" x14ac:dyDescent="0.3">
      <c r="A240" s="3" t="s">
        <v>17</v>
      </c>
      <c r="B240" s="3">
        <v>415</v>
      </c>
      <c r="C240" s="3" t="s">
        <v>407</v>
      </c>
      <c r="D240" s="3">
        <v>3</v>
      </c>
      <c r="E240" s="3" t="s">
        <v>19</v>
      </c>
      <c r="F240" s="3" t="s">
        <v>20</v>
      </c>
      <c r="G240" s="3" t="s">
        <v>19</v>
      </c>
      <c r="H240" s="3" t="s">
        <v>32</v>
      </c>
      <c r="I240" s="3">
        <v>5.49</v>
      </c>
      <c r="J240" s="3" t="s">
        <v>91</v>
      </c>
      <c r="K240" s="3" t="s">
        <v>408</v>
      </c>
      <c r="L240" s="3" t="s">
        <v>24</v>
      </c>
      <c r="M240" s="3">
        <v>4</v>
      </c>
      <c r="N240" s="6"/>
      <c r="O240" s="3">
        <v>2</v>
      </c>
      <c r="P240" s="3">
        <v>2</v>
      </c>
      <c r="Q240" s="3">
        <v>0</v>
      </c>
      <c r="R240" s="3">
        <v>0</v>
      </c>
      <c r="S240" s="3">
        <v>2</v>
      </c>
      <c r="T240" s="3">
        <v>0</v>
      </c>
      <c r="U240" s="3">
        <v>0</v>
      </c>
      <c r="V240" s="3">
        <f t="shared" si="47"/>
        <v>2</v>
      </c>
      <c r="W240" s="3">
        <v>0</v>
      </c>
      <c r="X240" s="3">
        <v>0</v>
      </c>
      <c r="Y240" s="3">
        <v>2</v>
      </c>
      <c r="Z240" s="3">
        <v>0</v>
      </c>
      <c r="AA240" s="3">
        <v>0</v>
      </c>
      <c r="AB240" s="3">
        <f t="shared" si="48"/>
        <v>2</v>
      </c>
      <c r="AC240" s="6">
        <f t="shared" si="56"/>
        <v>0</v>
      </c>
      <c r="AD240" s="6">
        <f t="shared" si="57"/>
        <v>0</v>
      </c>
      <c r="AE240" s="6">
        <f t="shared" si="58"/>
        <v>-2</v>
      </c>
      <c r="AF240" s="6">
        <f t="shared" si="59"/>
        <v>0</v>
      </c>
      <c r="AG240" s="6">
        <f t="shared" si="60"/>
        <v>0</v>
      </c>
      <c r="AH240" s="6">
        <f t="shared" si="49"/>
        <v>-2</v>
      </c>
      <c r="AI240" s="3"/>
      <c r="AJ240" s="3" t="e">
        <f>_xlfn.XLOOKUP(K240,工作表1!A:A,工作表1!C:C)</f>
        <v>#N/A</v>
      </c>
      <c r="AK240" s="3"/>
      <c r="AL240" s="6">
        <f t="shared" si="50"/>
        <v>0</v>
      </c>
      <c r="AM240" s="6">
        <f t="shared" si="51"/>
        <v>0</v>
      </c>
      <c r="AN240" s="6">
        <f t="shared" si="52"/>
        <v>0</v>
      </c>
      <c r="AO240" s="6">
        <f t="shared" si="53"/>
        <v>0</v>
      </c>
      <c r="AP240" s="6">
        <f t="shared" si="54"/>
        <v>0</v>
      </c>
      <c r="AQ240" s="6">
        <f t="shared" si="55"/>
        <v>0</v>
      </c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  <c r="BC240" s="6"/>
      <c r="BD240" s="6"/>
      <c r="BE240" s="6"/>
      <c r="BF240" s="6"/>
      <c r="BG240" s="6"/>
      <c r="BH240" s="6"/>
      <c r="BI240" s="6"/>
      <c r="BJ240" s="6"/>
      <c r="BK240" s="6"/>
      <c r="BL240" s="6"/>
      <c r="BM240" s="6"/>
      <c r="BN240" s="6"/>
      <c r="BO240" s="6"/>
      <c r="BP240" s="3">
        <v>2</v>
      </c>
      <c r="BQ240" s="6">
        <f t="shared" si="46"/>
        <v>0</v>
      </c>
    </row>
    <row r="241" spans="1:74" x14ac:dyDescent="0.3">
      <c r="A241" s="3" t="s">
        <v>17</v>
      </c>
      <c r="B241" s="3">
        <v>415</v>
      </c>
      <c r="C241" s="3" t="s">
        <v>407</v>
      </c>
      <c r="D241" s="3">
        <v>2</v>
      </c>
      <c r="E241" s="3" t="s">
        <v>19</v>
      </c>
      <c r="F241" s="3" t="s">
        <v>25</v>
      </c>
      <c r="G241" s="3" t="s">
        <v>19</v>
      </c>
      <c r="H241" s="3" t="s">
        <v>34</v>
      </c>
      <c r="I241" s="3">
        <v>5.54</v>
      </c>
      <c r="J241" s="3" t="s">
        <v>91</v>
      </c>
      <c r="K241" s="3" t="s">
        <v>409</v>
      </c>
      <c r="L241" s="3" t="s">
        <v>24</v>
      </c>
      <c r="M241" s="3">
        <v>6</v>
      </c>
      <c r="N241" s="6"/>
      <c r="O241" s="3">
        <v>2</v>
      </c>
      <c r="P241" s="3">
        <v>2</v>
      </c>
      <c r="Q241" s="3">
        <v>0</v>
      </c>
      <c r="R241" s="3">
        <v>0</v>
      </c>
      <c r="S241" s="3">
        <v>2</v>
      </c>
      <c r="T241" s="3">
        <v>0</v>
      </c>
      <c r="U241" s="3">
        <v>0</v>
      </c>
      <c r="V241" s="3">
        <f t="shared" si="47"/>
        <v>2</v>
      </c>
      <c r="W241" s="3">
        <v>0</v>
      </c>
      <c r="X241" s="3">
        <v>0</v>
      </c>
      <c r="Y241" s="3">
        <v>2</v>
      </c>
      <c r="Z241" s="3">
        <v>0</v>
      </c>
      <c r="AA241" s="3">
        <v>0</v>
      </c>
      <c r="AB241" s="3">
        <f t="shared" si="48"/>
        <v>2</v>
      </c>
      <c r="AC241" s="6">
        <f t="shared" si="56"/>
        <v>0</v>
      </c>
      <c r="AD241" s="6">
        <f t="shared" si="57"/>
        <v>0</v>
      </c>
      <c r="AE241" s="6">
        <f t="shared" si="58"/>
        <v>-2</v>
      </c>
      <c r="AF241" s="6">
        <f t="shared" si="59"/>
        <v>0</v>
      </c>
      <c r="AG241" s="6">
        <f t="shared" si="60"/>
        <v>0</v>
      </c>
      <c r="AH241" s="6">
        <f t="shared" si="49"/>
        <v>-2</v>
      </c>
      <c r="AI241" s="3"/>
      <c r="AJ241" s="3" t="e">
        <f>_xlfn.XLOOKUP(K241,工作表1!A:A,工作表1!C:C)</f>
        <v>#N/A</v>
      </c>
      <c r="AK241" s="3"/>
      <c r="AL241" s="6">
        <f t="shared" si="50"/>
        <v>0</v>
      </c>
      <c r="AM241" s="6">
        <f t="shared" si="51"/>
        <v>0</v>
      </c>
      <c r="AN241" s="6">
        <f t="shared" si="52"/>
        <v>0</v>
      </c>
      <c r="AO241" s="6">
        <f t="shared" si="53"/>
        <v>0</v>
      </c>
      <c r="AP241" s="6">
        <f t="shared" si="54"/>
        <v>0</v>
      </c>
      <c r="AQ241" s="6">
        <f t="shared" si="55"/>
        <v>0</v>
      </c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  <c r="BC241" s="6"/>
      <c r="BD241" s="6"/>
      <c r="BE241" s="6"/>
      <c r="BF241" s="6"/>
      <c r="BG241" s="6"/>
      <c r="BH241" s="6"/>
      <c r="BI241" s="6"/>
      <c r="BJ241" s="6"/>
      <c r="BK241" s="6"/>
      <c r="BL241" s="6"/>
      <c r="BM241" s="6"/>
      <c r="BN241" s="6"/>
      <c r="BO241" s="6"/>
      <c r="BP241" s="3">
        <v>2</v>
      </c>
      <c r="BQ241" s="6">
        <f t="shared" si="46"/>
        <v>0</v>
      </c>
    </row>
    <row r="242" spans="1:74" x14ac:dyDescent="0.3">
      <c r="A242" s="3" t="s">
        <v>17</v>
      </c>
      <c r="B242" s="3">
        <v>415</v>
      </c>
      <c r="C242" s="3" t="s">
        <v>410</v>
      </c>
      <c r="D242" s="3">
        <v>2</v>
      </c>
      <c r="E242" s="3" t="s">
        <v>19</v>
      </c>
      <c r="F242" s="3" t="s">
        <v>25</v>
      </c>
      <c r="G242" s="3" t="s">
        <v>19</v>
      </c>
      <c r="H242" s="3" t="s">
        <v>34</v>
      </c>
      <c r="I242" s="3">
        <v>5.54</v>
      </c>
      <c r="J242" s="3" t="s">
        <v>91</v>
      </c>
      <c r="K242" s="3" t="s">
        <v>411</v>
      </c>
      <c r="L242" s="3" t="s">
        <v>24</v>
      </c>
      <c r="M242" s="3">
        <v>1</v>
      </c>
      <c r="N242" s="6"/>
      <c r="O242" s="3">
        <v>1</v>
      </c>
      <c r="P242" s="3">
        <v>1</v>
      </c>
      <c r="Q242" s="3">
        <v>0</v>
      </c>
      <c r="R242" s="3">
        <v>0</v>
      </c>
      <c r="S242" s="3">
        <v>0</v>
      </c>
      <c r="T242" s="3">
        <v>1</v>
      </c>
      <c r="U242" s="3">
        <v>0</v>
      </c>
      <c r="V242" s="3">
        <f t="shared" si="47"/>
        <v>1</v>
      </c>
      <c r="W242" s="3">
        <v>0</v>
      </c>
      <c r="X242" s="3">
        <v>0</v>
      </c>
      <c r="Y242" s="3">
        <v>0</v>
      </c>
      <c r="Z242" s="3">
        <v>1</v>
      </c>
      <c r="AA242" s="3">
        <v>0</v>
      </c>
      <c r="AB242" s="3">
        <f t="shared" si="48"/>
        <v>1</v>
      </c>
      <c r="AC242" s="6">
        <f t="shared" si="56"/>
        <v>0</v>
      </c>
      <c r="AD242" s="6">
        <f t="shared" si="57"/>
        <v>0</v>
      </c>
      <c r="AE242" s="6">
        <f t="shared" si="58"/>
        <v>0</v>
      </c>
      <c r="AF242" s="6">
        <f t="shared" si="59"/>
        <v>0</v>
      </c>
      <c r="AG242" s="6">
        <f t="shared" si="60"/>
        <v>0</v>
      </c>
      <c r="AH242" s="6">
        <f t="shared" si="49"/>
        <v>0</v>
      </c>
      <c r="AI242" s="3"/>
      <c r="AJ242" s="3" t="e">
        <f>_xlfn.XLOOKUP(K242,工作表1!A:A,工作表1!C:C)</f>
        <v>#N/A</v>
      </c>
      <c r="AK242" s="3"/>
      <c r="AL242" s="6">
        <f t="shared" si="50"/>
        <v>0</v>
      </c>
      <c r="AM242" s="6">
        <f t="shared" si="51"/>
        <v>0</v>
      </c>
      <c r="AN242" s="6">
        <f t="shared" si="52"/>
        <v>0</v>
      </c>
      <c r="AO242" s="6">
        <f t="shared" si="53"/>
        <v>1</v>
      </c>
      <c r="AP242" s="6">
        <f t="shared" si="54"/>
        <v>0</v>
      </c>
      <c r="AQ242" s="6">
        <f t="shared" si="55"/>
        <v>1</v>
      </c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  <c r="BC242" s="6"/>
      <c r="BD242" s="6"/>
      <c r="BE242" s="6"/>
      <c r="BF242" s="6"/>
      <c r="BG242" s="6"/>
      <c r="BH242" s="6">
        <v>1</v>
      </c>
      <c r="BI242" s="6"/>
      <c r="BJ242" s="6"/>
      <c r="BK242" s="6"/>
      <c r="BL242" s="6"/>
      <c r="BM242" s="6"/>
      <c r="BN242" s="6"/>
      <c r="BO242" s="6"/>
      <c r="BP242" s="3">
        <v>1</v>
      </c>
      <c r="BQ242" s="6">
        <f t="shared" si="46"/>
        <v>1</v>
      </c>
      <c r="BV242">
        <v>1</v>
      </c>
    </row>
    <row r="243" spans="1:74" x14ac:dyDescent="0.3">
      <c r="A243" s="3" t="s">
        <v>17</v>
      </c>
      <c r="B243" s="3">
        <v>453</v>
      </c>
      <c r="C243" s="3" t="s">
        <v>412</v>
      </c>
      <c r="D243" s="3">
        <v>2</v>
      </c>
      <c r="E243" s="3" t="s">
        <v>19</v>
      </c>
      <c r="F243" s="3" t="s">
        <v>41</v>
      </c>
      <c r="G243" s="3" t="s">
        <v>19</v>
      </c>
      <c r="H243" s="3" t="s">
        <v>54</v>
      </c>
      <c r="I243" s="3">
        <v>8.74</v>
      </c>
      <c r="J243" s="3" t="s">
        <v>413</v>
      </c>
      <c r="K243" s="3" t="s">
        <v>414</v>
      </c>
      <c r="L243" s="3" t="s">
        <v>24</v>
      </c>
      <c r="M243" s="3">
        <v>8</v>
      </c>
      <c r="N243" s="6"/>
      <c r="O243" s="3">
        <v>4</v>
      </c>
      <c r="P243" s="3">
        <v>4</v>
      </c>
      <c r="Q243" s="3">
        <v>0</v>
      </c>
      <c r="R243" s="3">
        <v>0</v>
      </c>
      <c r="S243" s="3">
        <v>4</v>
      </c>
      <c r="T243" s="3">
        <v>0</v>
      </c>
      <c r="U243" s="3">
        <v>0</v>
      </c>
      <c r="V243" s="3">
        <f t="shared" si="47"/>
        <v>4</v>
      </c>
      <c r="W243" s="3">
        <v>0</v>
      </c>
      <c r="X243" s="3">
        <v>0</v>
      </c>
      <c r="Y243" s="3">
        <v>4</v>
      </c>
      <c r="Z243" s="3">
        <v>0</v>
      </c>
      <c r="AA243" s="3">
        <v>0</v>
      </c>
      <c r="AB243" s="3">
        <f t="shared" si="48"/>
        <v>4</v>
      </c>
      <c r="AC243" s="6">
        <f t="shared" si="56"/>
        <v>0</v>
      </c>
      <c r="AD243" s="6">
        <f t="shared" si="57"/>
        <v>0</v>
      </c>
      <c r="AE243" s="6">
        <f t="shared" si="58"/>
        <v>-4</v>
      </c>
      <c r="AF243" s="6">
        <f t="shared" si="59"/>
        <v>0</v>
      </c>
      <c r="AG243" s="6">
        <f t="shared" si="60"/>
        <v>0</v>
      </c>
      <c r="AH243" s="6">
        <f t="shared" si="49"/>
        <v>-4</v>
      </c>
      <c r="AI243" s="3"/>
      <c r="AJ243" s="3" t="e">
        <f>_xlfn.XLOOKUP(K243,工作表1!A:A,工作表1!C:C)</f>
        <v>#N/A</v>
      </c>
      <c r="AK243" s="3"/>
      <c r="AL243" s="6">
        <f t="shared" si="50"/>
        <v>0</v>
      </c>
      <c r="AM243" s="6">
        <f t="shared" si="51"/>
        <v>0</v>
      </c>
      <c r="AN243" s="6">
        <f t="shared" si="52"/>
        <v>0</v>
      </c>
      <c r="AO243" s="6">
        <f t="shared" si="53"/>
        <v>0</v>
      </c>
      <c r="AP243" s="6">
        <f t="shared" si="54"/>
        <v>0</v>
      </c>
      <c r="AQ243" s="6">
        <f t="shared" si="55"/>
        <v>0</v>
      </c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  <c r="BC243" s="6"/>
      <c r="BD243" s="6"/>
      <c r="BE243" s="6"/>
      <c r="BF243" s="6"/>
      <c r="BG243" s="6"/>
      <c r="BH243" s="6"/>
      <c r="BI243" s="6"/>
      <c r="BJ243" s="6"/>
      <c r="BK243" s="6"/>
      <c r="BL243" s="6"/>
      <c r="BM243" s="6"/>
      <c r="BN243" s="6"/>
      <c r="BO243" s="6"/>
      <c r="BP243" s="3">
        <v>4</v>
      </c>
      <c r="BQ243" s="6">
        <f t="shared" si="46"/>
        <v>0</v>
      </c>
    </row>
    <row r="244" spans="1:74" x14ac:dyDescent="0.3">
      <c r="A244" s="3" t="s">
        <v>17</v>
      </c>
      <c r="B244" s="3">
        <v>453</v>
      </c>
      <c r="C244" s="3" t="s">
        <v>415</v>
      </c>
      <c r="D244" s="3">
        <v>8</v>
      </c>
      <c r="E244" s="3" t="s">
        <v>19</v>
      </c>
      <c r="F244" s="3" t="s">
        <v>69</v>
      </c>
      <c r="G244" s="3" t="s">
        <v>19</v>
      </c>
      <c r="H244" s="3" t="s">
        <v>70</v>
      </c>
      <c r="I244" s="3">
        <v>20.62</v>
      </c>
      <c r="J244" s="3" t="s">
        <v>413</v>
      </c>
      <c r="K244" s="3" t="s">
        <v>416</v>
      </c>
      <c r="L244" s="3" t="s">
        <v>24</v>
      </c>
      <c r="M244" s="3">
        <v>1</v>
      </c>
      <c r="N244" s="6"/>
      <c r="O244" s="3">
        <v>1</v>
      </c>
      <c r="P244" s="3">
        <v>1</v>
      </c>
      <c r="Q244" s="3">
        <v>0</v>
      </c>
      <c r="R244" s="3">
        <v>0</v>
      </c>
      <c r="S244" s="3">
        <v>1</v>
      </c>
      <c r="T244" s="3">
        <v>0</v>
      </c>
      <c r="U244" s="3">
        <v>0</v>
      </c>
      <c r="V244" s="3">
        <f t="shared" si="47"/>
        <v>1</v>
      </c>
      <c r="W244" s="3">
        <v>0</v>
      </c>
      <c r="X244" s="3">
        <v>0</v>
      </c>
      <c r="Y244" s="3">
        <v>1</v>
      </c>
      <c r="Z244" s="3">
        <v>0</v>
      </c>
      <c r="AA244" s="3">
        <v>0</v>
      </c>
      <c r="AB244" s="3">
        <f t="shared" si="48"/>
        <v>1</v>
      </c>
      <c r="AC244" s="6">
        <f t="shared" si="56"/>
        <v>0</v>
      </c>
      <c r="AD244" s="6">
        <f t="shared" si="57"/>
        <v>0</v>
      </c>
      <c r="AE244" s="6">
        <f t="shared" si="58"/>
        <v>-1</v>
      </c>
      <c r="AF244" s="6">
        <f t="shared" si="59"/>
        <v>0</v>
      </c>
      <c r="AG244" s="6">
        <f t="shared" si="60"/>
        <v>0</v>
      </c>
      <c r="AH244" s="6">
        <f t="shared" si="49"/>
        <v>-1</v>
      </c>
      <c r="AI244" s="3"/>
      <c r="AJ244" s="3" t="e">
        <f>_xlfn.XLOOKUP(K244,工作表1!A:A,工作表1!C:C)</f>
        <v>#N/A</v>
      </c>
      <c r="AK244" s="3"/>
      <c r="AL244" s="6">
        <f t="shared" si="50"/>
        <v>0</v>
      </c>
      <c r="AM244" s="6">
        <f t="shared" si="51"/>
        <v>0</v>
      </c>
      <c r="AN244" s="6">
        <f t="shared" si="52"/>
        <v>0</v>
      </c>
      <c r="AO244" s="6">
        <f t="shared" si="53"/>
        <v>0</v>
      </c>
      <c r="AP244" s="6">
        <f t="shared" si="54"/>
        <v>0</v>
      </c>
      <c r="AQ244" s="6">
        <f t="shared" si="55"/>
        <v>0</v>
      </c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  <c r="BC244" s="6"/>
      <c r="BD244" s="6"/>
      <c r="BE244" s="6"/>
      <c r="BF244" s="6"/>
      <c r="BG244" s="6"/>
      <c r="BH244" s="6"/>
      <c r="BI244" s="6"/>
      <c r="BJ244" s="6"/>
      <c r="BK244" s="6"/>
      <c r="BL244" s="6"/>
      <c r="BM244" s="6"/>
      <c r="BN244" s="6"/>
      <c r="BO244" s="6"/>
      <c r="BP244" s="3">
        <v>1</v>
      </c>
      <c r="BQ244" s="6">
        <f t="shared" si="46"/>
        <v>0</v>
      </c>
    </row>
    <row r="245" spans="1:74" x14ac:dyDescent="0.3">
      <c r="A245" s="3" t="s">
        <v>17</v>
      </c>
      <c r="B245" s="3">
        <v>453</v>
      </c>
      <c r="C245" s="3" t="s">
        <v>417</v>
      </c>
      <c r="D245" s="3">
        <v>8</v>
      </c>
      <c r="E245" s="3" t="s">
        <v>19</v>
      </c>
      <c r="F245" s="3" t="s">
        <v>25</v>
      </c>
      <c r="G245" s="3" t="s">
        <v>19</v>
      </c>
      <c r="H245" s="3" t="s">
        <v>26</v>
      </c>
      <c r="I245" s="3">
        <v>12.7</v>
      </c>
      <c r="J245" s="3" t="s">
        <v>413</v>
      </c>
      <c r="K245" s="3" t="s">
        <v>418</v>
      </c>
      <c r="L245" s="3" t="s">
        <v>24</v>
      </c>
      <c r="M245" s="3">
        <v>1</v>
      </c>
      <c r="N245" s="6"/>
      <c r="O245" s="3">
        <v>1</v>
      </c>
      <c r="P245" s="3">
        <v>1</v>
      </c>
      <c r="Q245" s="3">
        <v>0</v>
      </c>
      <c r="R245" s="3">
        <v>0</v>
      </c>
      <c r="S245" s="3">
        <v>0</v>
      </c>
      <c r="T245" s="3">
        <v>1</v>
      </c>
      <c r="U245" s="3">
        <v>0</v>
      </c>
      <c r="V245" s="3">
        <f t="shared" si="47"/>
        <v>1</v>
      </c>
      <c r="W245" s="3">
        <v>0</v>
      </c>
      <c r="X245" s="3">
        <v>0</v>
      </c>
      <c r="Y245" s="3">
        <v>0</v>
      </c>
      <c r="Z245" s="3">
        <v>1</v>
      </c>
      <c r="AA245" s="3">
        <v>0</v>
      </c>
      <c r="AB245" s="3">
        <f t="shared" si="48"/>
        <v>1</v>
      </c>
      <c r="AC245" s="6">
        <f t="shared" si="56"/>
        <v>0</v>
      </c>
      <c r="AD245" s="6">
        <f t="shared" si="57"/>
        <v>0</v>
      </c>
      <c r="AE245" s="6">
        <f t="shared" si="58"/>
        <v>0</v>
      </c>
      <c r="AF245" s="6">
        <f t="shared" si="59"/>
        <v>0</v>
      </c>
      <c r="AG245" s="6">
        <f t="shared" si="60"/>
        <v>0</v>
      </c>
      <c r="AH245" s="6">
        <f t="shared" si="49"/>
        <v>0</v>
      </c>
      <c r="AI245" s="3"/>
      <c r="AJ245" s="3" t="e">
        <f>_xlfn.XLOOKUP(K245,工作表1!A:A,工作表1!C:C)</f>
        <v>#N/A</v>
      </c>
      <c r="AK245" s="3"/>
      <c r="AL245" s="6">
        <f t="shared" si="50"/>
        <v>0</v>
      </c>
      <c r="AM245" s="6">
        <f t="shared" si="51"/>
        <v>0</v>
      </c>
      <c r="AN245" s="6">
        <f t="shared" si="52"/>
        <v>0</v>
      </c>
      <c r="AO245" s="6">
        <f t="shared" si="53"/>
        <v>1</v>
      </c>
      <c r="AP245" s="6">
        <f t="shared" si="54"/>
        <v>0</v>
      </c>
      <c r="AQ245" s="6">
        <f t="shared" si="55"/>
        <v>1</v>
      </c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  <c r="BC245" s="6"/>
      <c r="BD245" s="6"/>
      <c r="BE245" s="6"/>
      <c r="BF245" s="6"/>
      <c r="BG245" s="6"/>
      <c r="BH245" s="6">
        <v>1</v>
      </c>
      <c r="BI245" s="6"/>
      <c r="BJ245" s="6"/>
      <c r="BK245" s="6"/>
      <c r="BL245" s="6"/>
      <c r="BM245" s="6"/>
      <c r="BN245" s="6"/>
      <c r="BO245" s="6"/>
      <c r="BP245" s="3">
        <v>1</v>
      </c>
      <c r="BQ245" s="6">
        <f t="shared" si="46"/>
        <v>1</v>
      </c>
      <c r="BV245">
        <v>1</v>
      </c>
    </row>
    <row r="246" spans="1:74" x14ac:dyDescent="0.3">
      <c r="A246" s="3" t="s">
        <v>17</v>
      </c>
      <c r="B246" s="3">
        <v>453</v>
      </c>
      <c r="C246" s="3" t="s">
        <v>417</v>
      </c>
      <c r="D246" s="3">
        <v>6</v>
      </c>
      <c r="E246" s="3" t="s">
        <v>19</v>
      </c>
      <c r="F246" s="3" t="s">
        <v>20</v>
      </c>
      <c r="G246" s="3" t="s">
        <v>19</v>
      </c>
      <c r="H246" s="3" t="s">
        <v>28</v>
      </c>
      <c r="I246" s="3">
        <v>7.11</v>
      </c>
      <c r="J246" s="3" t="s">
        <v>413</v>
      </c>
      <c r="K246" s="3" t="s">
        <v>419</v>
      </c>
      <c r="L246" s="3" t="s">
        <v>24</v>
      </c>
      <c r="M246" s="3">
        <v>2</v>
      </c>
      <c r="N246" s="6"/>
      <c r="O246" s="3">
        <v>2</v>
      </c>
      <c r="P246" s="3">
        <v>2</v>
      </c>
      <c r="Q246" s="3">
        <v>0</v>
      </c>
      <c r="R246" s="3">
        <v>0</v>
      </c>
      <c r="S246" s="3">
        <v>0</v>
      </c>
      <c r="T246" s="3">
        <v>2</v>
      </c>
      <c r="U246" s="3">
        <v>0</v>
      </c>
      <c r="V246" s="3">
        <f t="shared" si="47"/>
        <v>2</v>
      </c>
      <c r="W246" s="3">
        <v>0</v>
      </c>
      <c r="X246" s="3">
        <v>0</v>
      </c>
      <c r="Y246" s="3">
        <v>0</v>
      </c>
      <c r="Z246" s="3">
        <v>2</v>
      </c>
      <c r="AA246" s="3">
        <v>0</v>
      </c>
      <c r="AB246" s="3">
        <f t="shared" si="48"/>
        <v>2</v>
      </c>
      <c r="AC246" s="6">
        <f t="shared" si="56"/>
        <v>0</v>
      </c>
      <c r="AD246" s="6">
        <f t="shared" si="57"/>
        <v>0</v>
      </c>
      <c r="AE246" s="6">
        <f t="shared" si="58"/>
        <v>0</v>
      </c>
      <c r="AF246" s="6">
        <f t="shared" si="59"/>
        <v>-2</v>
      </c>
      <c r="AG246" s="6">
        <f t="shared" si="60"/>
        <v>0</v>
      </c>
      <c r="AH246" s="6">
        <f t="shared" si="49"/>
        <v>-2</v>
      </c>
      <c r="AI246" s="3"/>
      <c r="AJ246" s="3" t="e">
        <f>_xlfn.XLOOKUP(K246,工作表1!A:A,工作表1!C:C)</f>
        <v>#N/A</v>
      </c>
      <c r="AK246" s="3"/>
      <c r="AL246" s="6">
        <f t="shared" si="50"/>
        <v>0</v>
      </c>
      <c r="AM246" s="6">
        <f t="shared" si="51"/>
        <v>0</v>
      </c>
      <c r="AN246" s="6">
        <f t="shared" si="52"/>
        <v>0</v>
      </c>
      <c r="AO246" s="6">
        <f t="shared" si="53"/>
        <v>0</v>
      </c>
      <c r="AP246" s="6">
        <f t="shared" si="54"/>
        <v>0</v>
      </c>
      <c r="AQ246" s="6">
        <f t="shared" si="55"/>
        <v>0</v>
      </c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  <c r="BC246" s="6"/>
      <c r="BD246" s="6"/>
      <c r="BE246" s="6"/>
      <c r="BF246" s="6"/>
      <c r="BG246" s="6"/>
      <c r="BH246" s="6"/>
      <c r="BI246" s="6"/>
      <c r="BJ246" s="6"/>
      <c r="BK246" s="6"/>
      <c r="BL246" s="6"/>
      <c r="BM246" s="6"/>
      <c r="BN246" s="6"/>
      <c r="BO246" s="6"/>
      <c r="BP246" s="3">
        <v>2</v>
      </c>
      <c r="BQ246" s="6">
        <f t="shared" si="46"/>
        <v>0</v>
      </c>
    </row>
    <row r="247" spans="1:74" x14ac:dyDescent="0.3">
      <c r="A247" s="3" t="s">
        <v>17</v>
      </c>
      <c r="B247" s="3">
        <v>453</v>
      </c>
      <c r="C247" s="3" t="s">
        <v>417</v>
      </c>
      <c r="D247" s="3">
        <v>4</v>
      </c>
      <c r="E247" s="3" t="s">
        <v>19</v>
      </c>
      <c r="F247" s="3" t="s">
        <v>20</v>
      </c>
      <c r="G247" s="3" t="s">
        <v>19</v>
      </c>
      <c r="H247" s="3" t="s">
        <v>30</v>
      </c>
      <c r="I247" s="3">
        <v>6.02</v>
      </c>
      <c r="J247" s="3" t="s">
        <v>413</v>
      </c>
      <c r="K247" s="3" t="s">
        <v>420</v>
      </c>
      <c r="L247" s="3" t="s">
        <v>24</v>
      </c>
      <c r="M247" s="3">
        <v>1</v>
      </c>
      <c r="N247" s="6"/>
      <c r="O247" s="3">
        <v>1</v>
      </c>
      <c r="P247" s="3">
        <v>1</v>
      </c>
      <c r="Q247" s="3">
        <v>0</v>
      </c>
      <c r="R247" s="3">
        <v>0</v>
      </c>
      <c r="S247" s="3">
        <v>0</v>
      </c>
      <c r="T247" s="3">
        <v>1</v>
      </c>
      <c r="U247" s="3">
        <v>0</v>
      </c>
      <c r="V247" s="3">
        <f t="shared" si="47"/>
        <v>1</v>
      </c>
      <c r="W247" s="3">
        <v>0</v>
      </c>
      <c r="X247" s="3">
        <v>0</v>
      </c>
      <c r="Y247" s="3">
        <v>0</v>
      </c>
      <c r="Z247" s="3">
        <v>1</v>
      </c>
      <c r="AA247" s="3">
        <v>0</v>
      </c>
      <c r="AB247" s="3">
        <f t="shared" si="48"/>
        <v>1</v>
      </c>
      <c r="AC247" s="6">
        <f t="shared" si="56"/>
        <v>0</v>
      </c>
      <c r="AD247" s="6">
        <f t="shared" si="57"/>
        <v>0</v>
      </c>
      <c r="AE247" s="6">
        <f t="shared" si="58"/>
        <v>0</v>
      </c>
      <c r="AF247" s="6">
        <f t="shared" si="59"/>
        <v>-1</v>
      </c>
      <c r="AG247" s="6">
        <f t="shared" si="60"/>
        <v>0</v>
      </c>
      <c r="AH247" s="6">
        <f t="shared" si="49"/>
        <v>-1</v>
      </c>
      <c r="AI247" s="3"/>
      <c r="AJ247" s="3" t="e">
        <f>_xlfn.XLOOKUP(K247,工作表1!A:A,工作表1!C:C)</f>
        <v>#N/A</v>
      </c>
      <c r="AK247" s="3"/>
      <c r="AL247" s="6">
        <f t="shared" si="50"/>
        <v>0</v>
      </c>
      <c r="AM247" s="6">
        <f t="shared" si="51"/>
        <v>0</v>
      </c>
      <c r="AN247" s="6">
        <f t="shared" si="52"/>
        <v>0</v>
      </c>
      <c r="AO247" s="6">
        <f t="shared" si="53"/>
        <v>0</v>
      </c>
      <c r="AP247" s="6">
        <f t="shared" si="54"/>
        <v>0</v>
      </c>
      <c r="AQ247" s="6">
        <f t="shared" si="55"/>
        <v>0</v>
      </c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  <c r="BC247" s="6"/>
      <c r="BD247" s="6"/>
      <c r="BE247" s="6"/>
      <c r="BF247" s="6"/>
      <c r="BG247" s="6"/>
      <c r="BH247" s="6"/>
      <c r="BI247" s="6"/>
      <c r="BJ247" s="6"/>
      <c r="BK247" s="6"/>
      <c r="BL247" s="6"/>
      <c r="BM247" s="6"/>
      <c r="BN247" s="6"/>
      <c r="BO247" s="6"/>
      <c r="BP247" s="3">
        <v>1</v>
      </c>
      <c r="BQ247" s="6">
        <f t="shared" si="46"/>
        <v>0</v>
      </c>
    </row>
    <row r="248" spans="1:74" x14ac:dyDescent="0.3">
      <c r="A248" s="3" t="s">
        <v>17</v>
      </c>
      <c r="B248" s="3">
        <v>453</v>
      </c>
      <c r="C248" s="3" t="s">
        <v>417</v>
      </c>
      <c r="D248" s="3">
        <v>3</v>
      </c>
      <c r="E248" s="3" t="s">
        <v>19</v>
      </c>
      <c r="F248" s="3" t="s">
        <v>20</v>
      </c>
      <c r="G248" s="3" t="s">
        <v>19</v>
      </c>
      <c r="H248" s="3" t="s">
        <v>32</v>
      </c>
      <c r="I248" s="3">
        <v>5.49</v>
      </c>
      <c r="J248" s="3" t="s">
        <v>413</v>
      </c>
      <c r="K248" s="3" t="s">
        <v>421</v>
      </c>
      <c r="L248" s="3" t="s">
        <v>24</v>
      </c>
      <c r="M248" s="3">
        <v>2</v>
      </c>
      <c r="N248" s="6"/>
      <c r="O248" s="3">
        <v>2</v>
      </c>
      <c r="P248" s="3">
        <v>2</v>
      </c>
      <c r="Q248" s="3">
        <v>0</v>
      </c>
      <c r="R248" s="3">
        <v>1</v>
      </c>
      <c r="S248" s="3">
        <v>0</v>
      </c>
      <c r="T248" s="3">
        <v>1</v>
      </c>
      <c r="U248" s="3">
        <v>0</v>
      </c>
      <c r="V248" s="3">
        <f t="shared" si="47"/>
        <v>2</v>
      </c>
      <c r="W248" s="3">
        <v>0</v>
      </c>
      <c r="X248" s="3">
        <v>1</v>
      </c>
      <c r="Y248" s="3">
        <v>0</v>
      </c>
      <c r="Z248" s="3">
        <v>1</v>
      </c>
      <c r="AA248" s="3">
        <v>0</v>
      </c>
      <c r="AB248" s="3">
        <f t="shared" si="48"/>
        <v>2</v>
      </c>
      <c r="AC248" s="6">
        <f t="shared" si="56"/>
        <v>0</v>
      </c>
      <c r="AD248" s="6">
        <f t="shared" si="57"/>
        <v>0</v>
      </c>
      <c r="AE248" s="6">
        <f t="shared" si="58"/>
        <v>0</v>
      </c>
      <c r="AF248" s="6">
        <f t="shared" si="59"/>
        <v>0</v>
      </c>
      <c r="AG248" s="6">
        <f t="shared" si="60"/>
        <v>0</v>
      </c>
      <c r="AH248" s="6">
        <f t="shared" si="49"/>
        <v>0</v>
      </c>
      <c r="AI248" s="3"/>
      <c r="AJ248" s="3" t="e">
        <f>_xlfn.XLOOKUP(K248,工作表1!A:A,工作表1!C:C)</f>
        <v>#N/A</v>
      </c>
      <c r="AK248" s="3"/>
      <c r="AL248" s="6">
        <f t="shared" si="50"/>
        <v>0</v>
      </c>
      <c r="AM248" s="6">
        <f t="shared" si="51"/>
        <v>1</v>
      </c>
      <c r="AN248" s="6">
        <f t="shared" si="52"/>
        <v>0</v>
      </c>
      <c r="AO248" s="6">
        <f t="shared" si="53"/>
        <v>1</v>
      </c>
      <c r="AP248" s="6">
        <f t="shared" si="54"/>
        <v>0</v>
      </c>
      <c r="AQ248" s="6">
        <f t="shared" si="55"/>
        <v>2</v>
      </c>
      <c r="AR248" s="6"/>
      <c r="AS248" s="6"/>
      <c r="AT248" s="6"/>
      <c r="AU248" s="6"/>
      <c r="AV248" s="6"/>
      <c r="AW248" s="6">
        <v>1</v>
      </c>
      <c r="AX248" s="6"/>
      <c r="AY248" s="6"/>
      <c r="AZ248" s="6"/>
      <c r="BA248" s="6"/>
      <c r="BB248" s="6"/>
      <c r="BC248" s="6"/>
      <c r="BD248" s="6"/>
      <c r="BE248" s="6"/>
      <c r="BF248" s="6"/>
      <c r="BG248" s="6"/>
      <c r="BH248" s="6">
        <v>1</v>
      </c>
      <c r="BI248" s="6"/>
      <c r="BJ248" s="6"/>
      <c r="BK248" s="6"/>
      <c r="BL248" s="6"/>
      <c r="BM248" s="6"/>
      <c r="BN248" s="6"/>
      <c r="BO248" s="6"/>
      <c r="BP248" s="3">
        <v>2</v>
      </c>
      <c r="BQ248" s="6">
        <f t="shared" si="46"/>
        <v>2</v>
      </c>
      <c r="BR248">
        <v>1</v>
      </c>
      <c r="BV248">
        <v>1</v>
      </c>
    </row>
    <row r="249" spans="1:74" x14ac:dyDescent="0.3">
      <c r="A249" s="3" t="s">
        <v>17</v>
      </c>
      <c r="B249" s="3">
        <v>453</v>
      </c>
      <c r="C249" s="3" t="s">
        <v>422</v>
      </c>
      <c r="D249" s="3">
        <v>4</v>
      </c>
      <c r="E249" s="3" t="s">
        <v>19</v>
      </c>
      <c r="F249" s="3" t="s">
        <v>20</v>
      </c>
      <c r="G249" s="3" t="s">
        <v>19</v>
      </c>
      <c r="H249" s="3" t="s">
        <v>30</v>
      </c>
      <c r="I249" s="3">
        <v>6.02</v>
      </c>
      <c r="J249" s="3" t="s">
        <v>413</v>
      </c>
      <c r="K249" s="3" t="s">
        <v>423</v>
      </c>
      <c r="L249" s="3" t="s">
        <v>24</v>
      </c>
      <c r="M249" s="3">
        <v>2</v>
      </c>
      <c r="N249" s="6"/>
      <c r="O249" s="3">
        <v>1</v>
      </c>
      <c r="P249" s="3">
        <v>1</v>
      </c>
      <c r="Q249" s="3">
        <v>0</v>
      </c>
      <c r="R249" s="3">
        <v>0</v>
      </c>
      <c r="S249" s="3">
        <v>1</v>
      </c>
      <c r="T249" s="3">
        <v>0</v>
      </c>
      <c r="U249" s="3">
        <v>0</v>
      </c>
      <c r="V249" s="3">
        <f t="shared" si="47"/>
        <v>1</v>
      </c>
      <c r="W249" s="3">
        <v>0</v>
      </c>
      <c r="X249" s="3">
        <v>0</v>
      </c>
      <c r="Y249" s="3">
        <v>1</v>
      </c>
      <c r="Z249" s="3">
        <v>0</v>
      </c>
      <c r="AA249" s="3">
        <v>0</v>
      </c>
      <c r="AB249" s="3">
        <f t="shared" si="48"/>
        <v>1</v>
      </c>
      <c r="AC249" s="6">
        <f t="shared" si="56"/>
        <v>0</v>
      </c>
      <c r="AD249" s="6">
        <f t="shared" si="57"/>
        <v>0</v>
      </c>
      <c r="AE249" s="6">
        <f t="shared" si="58"/>
        <v>-1</v>
      </c>
      <c r="AF249" s="6">
        <f t="shared" si="59"/>
        <v>0</v>
      </c>
      <c r="AG249" s="6">
        <f t="shared" si="60"/>
        <v>0</v>
      </c>
      <c r="AH249" s="6">
        <f t="shared" si="49"/>
        <v>-1</v>
      </c>
      <c r="AI249" s="3"/>
      <c r="AJ249" s="3" t="e">
        <f>_xlfn.XLOOKUP(K249,工作表1!A:A,工作表1!C:C)</f>
        <v>#N/A</v>
      </c>
      <c r="AK249" s="3"/>
      <c r="AL249" s="6">
        <f t="shared" si="50"/>
        <v>0</v>
      </c>
      <c r="AM249" s="6">
        <f t="shared" si="51"/>
        <v>0</v>
      </c>
      <c r="AN249" s="6">
        <f t="shared" si="52"/>
        <v>0</v>
      </c>
      <c r="AO249" s="6">
        <f t="shared" si="53"/>
        <v>0</v>
      </c>
      <c r="AP249" s="6">
        <f t="shared" si="54"/>
        <v>0</v>
      </c>
      <c r="AQ249" s="6">
        <f t="shared" si="55"/>
        <v>0</v>
      </c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  <c r="BC249" s="6"/>
      <c r="BD249" s="6"/>
      <c r="BE249" s="6"/>
      <c r="BF249" s="6"/>
      <c r="BG249" s="6"/>
      <c r="BH249" s="6"/>
      <c r="BI249" s="6"/>
      <c r="BJ249" s="6"/>
      <c r="BK249" s="6"/>
      <c r="BL249" s="6"/>
      <c r="BM249" s="6"/>
      <c r="BN249" s="6"/>
      <c r="BO249" s="6"/>
      <c r="BP249" s="3">
        <v>1</v>
      </c>
      <c r="BQ249" s="6">
        <f t="shared" si="46"/>
        <v>0</v>
      </c>
    </row>
    <row r="250" spans="1:74" x14ac:dyDescent="0.3">
      <c r="A250" s="3" t="s">
        <v>17</v>
      </c>
      <c r="B250" s="3">
        <v>453</v>
      </c>
      <c r="C250" s="3" t="s">
        <v>422</v>
      </c>
      <c r="D250" s="3">
        <v>2</v>
      </c>
      <c r="E250" s="3" t="s">
        <v>19</v>
      </c>
      <c r="F250" s="3" t="s">
        <v>25</v>
      </c>
      <c r="G250" s="3" t="s">
        <v>19</v>
      </c>
      <c r="H250" s="3" t="s">
        <v>34</v>
      </c>
      <c r="I250" s="3">
        <v>5.54</v>
      </c>
      <c r="J250" s="3" t="s">
        <v>413</v>
      </c>
      <c r="K250" s="3" t="s">
        <v>424</v>
      </c>
      <c r="L250" s="3" t="s">
        <v>24</v>
      </c>
      <c r="M250" s="3">
        <v>3</v>
      </c>
      <c r="N250" s="6"/>
      <c r="O250" s="3">
        <v>1</v>
      </c>
      <c r="P250" s="3">
        <v>1</v>
      </c>
      <c r="Q250" s="3">
        <v>0</v>
      </c>
      <c r="R250" s="3">
        <v>0</v>
      </c>
      <c r="S250" s="3">
        <v>1</v>
      </c>
      <c r="T250" s="3">
        <v>0</v>
      </c>
      <c r="U250" s="3">
        <v>0</v>
      </c>
      <c r="V250" s="3">
        <f t="shared" si="47"/>
        <v>1</v>
      </c>
      <c r="W250" s="3">
        <v>0</v>
      </c>
      <c r="X250" s="3">
        <v>0</v>
      </c>
      <c r="Y250" s="3">
        <v>1</v>
      </c>
      <c r="Z250" s="3">
        <v>0</v>
      </c>
      <c r="AA250" s="3">
        <v>0</v>
      </c>
      <c r="AB250" s="3">
        <f t="shared" si="48"/>
        <v>1</v>
      </c>
      <c r="AC250" s="6">
        <f t="shared" si="56"/>
        <v>0</v>
      </c>
      <c r="AD250" s="6">
        <f t="shared" si="57"/>
        <v>0</v>
      </c>
      <c r="AE250" s="6">
        <f t="shared" si="58"/>
        <v>-1</v>
      </c>
      <c r="AF250" s="6">
        <f t="shared" si="59"/>
        <v>0</v>
      </c>
      <c r="AG250" s="6">
        <f t="shared" si="60"/>
        <v>0</v>
      </c>
      <c r="AH250" s="6">
        <f t="shared" si="49"/>
        <v>-1</v>
      </c>
      <c r="AI250" s="3"/>
      <c r="AJ250" s="3" t="e">
        <f>_xlfn.XLOOKUP(K250,工作表1!A:A,工作表1!C:C)</f>
        <v>#N/A</v>
      </c>
      <c r="AK250" s="3"/>
      <c r="AL250" s="6">
        <f t="shared" si="50"/>
        <v>0</v>
      </c>
      <c r="AM250" s="6">
        <f t="shared" si="51"/>
        <v>0</v>
      </c>
      <c r="AN250" s="6">
        <f t="shared" si="52"/>
        <v>0</v>
      </c>
      <c r="AO250" s="6">
        <f t="shared" si="53"/>
        <v>0</v>
      </c>
      <c r="AP250" s="6">
        <f t="shared" si="54"/>
        <v>0</v>
      </c>
      <c r="AQ250" s="6">
        <f t="shared" si="55"/>
        <v>0</v>
      </c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  <c r="BC250" s="6"/>
      <c r="BD250" s="6"/>
      <c r="BE250" s="6"/>
      <c r="BF250" s="6"/>
      <c r="BG250" s="6"/>
      <c r="BH250" s="6"/>
      <c r="BI250" s="6"/>
      <c r="BJ250" s="6"/>
      <c r="BK250" s="6"/>
      <c r="BL250" s="6"/>
      <c r="BM250" s="6"/>
      <c r="BN250" s="6"/>
      <c r="BO250" s="6"/>
      <c r="BP250" s="3">
        <v>1</v>
      </c>
      <c r="BQ250" s="6">
        <f t="shared" si="46"/>
        <v>0</v>
      </c>
    </row>
    <row r="251" spans="1:74" x14ac:dyDescent="0.3">
      <c r="A251" s="3" t="s">
        <v>17</v>
      </c>
      <c r="B251" s="3">
        <v>462</v>
      </c>
      <c r="C251" s="3" t="s">
        <v>425</v>
      </c>
      <c r="D251" s="3">
        <v>1</v>
      </c>
      <c r="E251" s="3" t="s">
        <v>19</v>
      </c>
      <c r="F251" s="3" t="s">
        <v>19</v>
      </c>
      <c r="G251" s="3" t="s">
        <v>19</v>
      </c>
      <c r="H251" s="3" t="s">
        <v>101</v>
      </c>
      <c r="I251" s="3"/>
      <c r="J251" s="3" t="s">
        <v>91</v>
      </c>
      <c r="K251" s="3" t="s">
        <v>426</v>
      </c>
      <c r="L251" s="3" t="s">
        <v>335</v>
      </c>
      <c r="M251" s="3">
        <v>12</v>
      </c>
      <c r="N251" s="6"/>
      <c r="O251" s="3">
        <v>4</v>
      </c>
      <c r="P251" s="3">
        <v>4</v>
      </c>
      <c r="Q251" s="3">
        <v>0</v>
      </c>
      <c r="R251" s="3">
        <v>0</v>
      </c>
      <c r="S251" s="3">
        <v>1</v>
      </c>
      <c r="T251" s="3">
        <v>3</v>
      </c>
      <c r="U251" s="3">
        <v>0</v>
      </c>
      <c r="V251" s="3">
        <f t="shared" si="47"/>
        <v>4</v>
      </c>
      <c r="W251" s="3">
        <v>0</v>
      </c>
      <c r="X251" s="3">
        <v>0</v>
      </c>
      <c r="Y251" s="3">
        <v>1</v>
      </c>
      <c r="Z251" s="3">
        <v>3</v>
      </c>
      <c r="AA251" s="3">
        <v>0</v>
      </c>
      <c r="AB251" s="3">
        <f t="shared" si="48"/>
        <v>4</v>
      </c>
      <c r="AC251" s="6">
        <f t="shared" si="56"/>
        <v>0</v>
      </c>
      <c r="AD251" s="6">
        <f t="shared" si="57"/>
        <v>0</v>
      </c>
      <c r="AE251" s="6">
        <f t="shared" si="58"/>
        <v>-1</v>
      </c>
      <c r="AF251" s="6">
        <f t="shared" si="59"/>
        <v>-3</v>
      </c>
      <c r="AG251" s="6">
        <f t="shared" si="60"/>
        <v>0</v>
      </c>
      <c r="AH251" s="6">
        <f t="shared" si="49"/>
        <v>-4</v>
      </c>
      <c r="AI251" s="3"/>
      <c r="AJ251" s="3" t="e">
        <f>_xlfn.XLOOKUP(K251,工作表1!A:A,工作表1!C:C)</f>
        <v>#N/A</v>
      </c>
      <c r="AK251" s="3"/>
      <c r="AL251" s="6">
        <f t="shared" si="50"/>
        <v>0</v>
      </c>
      <c r="AM251" s="6">
        <f t="shared" si="51"/>
        <v>0</v>
      </c>
      <c r="AN251" s="6">
        <f t="shared" si="52"/>
        <v>0</v>
      </c>
      <c r="AO251" s="6">
        <f t="shared" si="53"/>
        <v>0</v>
      </c>
      <c r="AP251" s="6">
        <f t="shared" si="54"/>
        <v>0</v>
      </c>
      <c r="AQ251" s="6">
        <f t="shared" si="55"/>
        <v>0</v>
      </c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  <c r="BC251" s="6"/>
      <c r="BD251" s="6"/>
      <c r="BE251" s="6"/>
      <c r="BF251" s="6"/>
      <c r="BG251" s="6"/>
      <c r="BH251" s="6"/>
      <c r="BI251" s="6"/>
      <c r="BJ251" s="6"/>
      <c r="BK251" s="6"/>
      <c r="BL251" s="6"/>
      <c r="BM251" s="6"/>
      <c r="BN251" s="6"/>
      <c r="BO251" s="6"/>
      <c r="BP251" s="3">
        <v>4</v>
      </c>
      <c r="BQ251" s="6">
        <f t="shared" si="46"/>
        <v>0</v>
      </c>
    </row>
    <row r="252" spans="1:74" x14ac:dyDescent="0.3">
      <c r="A252" s="3" t="s">
        <v>17</v>
      </c>
      <c r="B252" s="3">
        <v>462</v>
      </c>
      <c r="C252" s="3" t="s">
        <v>425</v>
      </c>
      <c r="D252" s="3">
        <v>0.75</v>
      </c>
      <c r="E252" s="3" t="s">
        <v>19</v>
      </c>
      <c r="F252" s="3" t="s">
        <v>19</v>
      </c>
      <c r="G252" s="3" t="s">
        <v>19</v>
      </c>
      <c r="H252" s="3" t="s">
        <v>103</v>
      </c>
      <c r="I252" s="3"/>
      <c r="J252" s="3" t="s">
        <v>91</v>
      </c>
      <c r="K252" s="3" t="s">
        <v>427</v>
      </c>
      <c r="L252" s="3" t="s">
        <v>335</v>
      </c>
      <c r="M252" s="3">
        <v>6</v>
      </c>
      <c r="N252" s="6"/>
      <c r="O252" s="3">
        <v>1</v>
      </c>
      <c r="P252" s="3">
        <v>1</v>
      </c>
      <c r="Q252" s="3">
        <v>0</v>
      </c>
      <c r="R252" s="3">
        <v>0</v>
      </c>
      <c r="S252" s="3">
        <v>1</v>
      </c>
      <c r="T252" s="3">
        <v>0</v>
      </c>
      <c r="U252" s="3">
        <v>0</v>
      </c>
      <c r="V252" s="3">
        <f t="shared" si="47"/>
        <v>1</v>
      </c>
      <c r="W252" s="3">
        <v>0</v>
      </c>
      <c r="X252" s="3">
        <v>0</v>
      </c>
      <c r="Y252" s="3">
        <v>1</v>
      </c>
      <c r="Z252" s="3">
        <v>0</v>
      </c>
      <c r="AA252" s="3">
        <v>0</v>
      </c>
      <c r="AB252" s="3">
        <f t="shared" si="48"/>
        <v>1</v>
      </c>
      <c r="AC252" s="6">
        <f t="shared" si="56"/>
        <v>0</v>
      </c>
      <c r="AD252" s="6">
        <f t="shared" si="57"/>
        <v>0</v>
      </c>
      <c r="AE252" s="6">
        <f t="shared" si="58"/>
        <v>-1</v>
      </c>
      <c r="AF252" s="6">
        <f t="shared" si="59"/>
        <v>0</v>
      </c>
      <c r="AG252" s="6">
        <f t="shared" si="60"/>
        <v>0</v>
      </c>
      <c r="AH252" s="6">
        <f t="shared" si="49"/>
        <v>-1</v>
      </c>
      <c r="AI252" s="3"/>
      <c r="AJ252" s="3" t="e">
        <f>_xlfn.XLOOKUP(K252,工作表1!A:A,工作表1!C:C)</f>
        <v>#N/A</v>
      </c>
      <c r="AK252" s="3"/>
      <c r="AL252" s="6">
        <f t="shared" si="50"/>
        <v>0</v>
      </c>
      <c r="AM252" s="6">
        <f t="shared" si="51"/>
        <v>0</v>
      </c>
      <c r="AN252" s="6">
        <f t="shared" si="52"/>
        <v>0</v>
      </c>
      <c r="AO252" s="6">
        <f t="shared" si="53"/>
        <v>0</v>
      </c>
      <c r="AP252" s="6">
        <f t="shared" si="54"/>
        <v>0</v>
      </c>
      <c r="AQ252" s="6">
        <f t="shared" si="55"/>
        <v>0</v>
      </c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  <c r="BC252" s="6"/>
      <c r="BD252" s="6"/>
      <c r="BE252" s="6"/>
      <c r="BF252" s="6"/>
      <c r="BG252" s="6"/>
      <c r="BH252" s="6"/>
      <c r="BI252" s="6"/>
      <c r="BJ252" s="6"/>
      <c r="BK252" s="6"/>
      <c r="BL252" s="6"/>
      <c r="BM252" s="6"/>
      <c r="BN252" s="6"/>
      <c r="BO252" s="6"/>
      <c r="BP252" s="3">
        <v>1</v>
      </c>
      <c r="BQ252" s="6">
        <f t="shared" si="46"/>
        <v>0</v>
      </c>
    </row>
    <row r="253" spans="1:74" x14ac:dyDescent="0.3">
      <c r="A253" s="3" t="s">
        <v>17</v>
      </c>
      <c r="B253" s="3">
        <v>462</v>
      </c>
      <c r="C253" s="3" t="s">
        <v>428</v>
      </c>
      <c r="D253" s="3">
        <v>2</v>
      </c>
      <c r="E253" s="3" t="s">
        <v>19</v>
      </c>
      <c r="F253" s="3" t="s">
        <v>19</v>
      </c>
      <c r="G253" s="3" t="s">
        <v>19</v>
      </c>
      <c r="H253" s="3" t="s">
        <v>340</v>
      </c>
      <c r="I253" s="3"/>
      <c r="J253" s="3" t="s">
        <v>91</v>
      </c>
      <c r="K253" s="3" t="s">
        <v>429</v>
      </c>
      <c r="L253" s="3" t="s">
        <v>335</v>
      </c>
      <c r="M253" s="3">
        <v>1</v>
      </c>
      <c r="N253" s="6"/>
      <c r="O253" s="3">
        <v>1</v>
      </c>
      <c r="P253" s="3">
        <v>1</v>
      </c>
      <c r="Q253" s="3">
        <v>0</v>
      </c>
      <c r="R253" s="3">
        <v>0</v>
      </c>
      <c r="S253" s="3">
        <v>1</v>
      </c>
      <c r="T253" s="3">
        <v>0</v>
      </c>
      <c r="U253" s="3">
        <v>0</v>
      </c>
      <c r="V253" s="3">
        <f t="shared" si="47"/>
        <v>1</v>
      </c>
      <c r="W253" s="3">
        <v>0</v>
      </c>
      <c r="X253" s="3">
        <v>0</v>
      </c>
      <c r="Y253" s="3">
        <v>1</v>
      </c>
      <c r="Z253" s="3">
        <v>0</v>
      </c>
      <c r="AA253" s="3">
        <v>0</v>
      </c>
      <c r="AB253" s="3">
        <f t="shared" si="48"/>
        <v>1</v>
      </c>
      <c r="AC253" s="6">
        <f t="shared" si="56"/>
        <v>0</v>
      </c>
      <c r="AD253" s="6">
        <f t="shared" si="57"/>
        <v>0</v>
      </c>
      <c r="AE253" s="6">
        <f t="shared" si="58"/>
        <v>-1</v>
      </c>
      <c r="AF253" s="6">
        <f t="shared" si="59"/>
        <v>0</v>
      </c>
      <c r="AG253" s="6">
        <f t="shared" si="60"/>
        <v>0</v>
      </c>
      <c r="AH253" s="6">
        <f t="shared" si="49"/>
        <v>-1</v>
      </c>
      <c r="AI253" s="3"/>
      <c r="AJ253" s="3" t="e">
        <f>_xlfn.XLOOKUP(K253,工作表1!A:A,工作表1!C:C)</f>
        <v>#N/A</v>
      </c>
      <c r="AK253" s="3"/>
      <c r="AL253" s="6">
        <f t="shared" si="50"/>
        <v>0</v>
      </c>
      <c r="AM253" s="6">
        <f t="shared" si="51"/>
        <v>0</v>
      </c>
      <c r="AN253" s="6">
        <f t="shared" si="52"/>
        <v>0</v>
      </c>
      <c r="AO253" s="6">
        <f t="shared" si="53"/>
        <v>0</v>
      </c>
      <c r="AP253" s="6">
        <f t="shared" si="54"/>
        <v>0</v>
      </c>
      <c r="AQ253" s="6">
        <f t="shared" si="55"/>
        <v>0</v>
      </c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  <c r="BC253" s="6"/>
      <c r="BD253" s="6"/>
      <c r="BE253" s="6"/>
      <c r="BF253" s="6"/>
      <c r="BG253" s="6"/>
      <c r="BH253" s="6"/>
      <c r="BI253" s="6"/>
      <c r="BJ253" s="6"/>
      <c r="BK253" s="6"/>
      <c r="BL253" s="6"/>
      <c r="BM253" s="6"/>
      <c r="BN253" s="6"/>
      <c r="BO253" s="6"/>
      <c r="BP253" s="3">
        <v>1</v>
      </c>
      <c r="BQ253" s="6">
        <f t="shared" si="46"/>
        <v>0</v>
      </c>
    </row>
    <row r="254" spans="1:74" x14ac:dyDescent="0.3">
      <c r="A254" s="3" t="s">
        <v>17</v>
      </c>
      <c r="B254" s="3">
        <v>462</v>
      </c>
      <c r="C254" s="3" t="s">
        <v>428</v>
      </c>
      <c r="D254" s="3">
        <v>1</v>
      </c>
      <c r="E254" s="3" t="s">
        <v>19</v>
      </c>
      <c r="F254" s="3" t="s">
        <v>19</v>
      </c>
      <c r="G254" s="3" t="s">
        <v>19</v>
      </c>
      <c r="H254" s="3" t="s">
        <v>101</v>
      </c>
      <c r="I254" s="3"/>
      <c r="J254" s="3" t="s">
        <v>91</v>
      </c>
      <c r="K254" s="3" t="s">
        <v>430</v>
      </c>
      <c r="L254" s="3" t="s">
        <v>335</v>
      </c>
      <c r="M254" s="3">
        <v>9</v>
      </c>
      <c r="N254" s="6"/>
      <c r="O254" s="3">
        <v>8</v>
      </c>
      <c r="P254" s="3">
        <v>8</v>
      </c>
      <c r="Q254" s="3">
        <v>0</v>
      </c>
      <c r="R254" s="3">
        <v>0</v>
      </c>
      <c r="S254" s="3">
        <v>8</v>
      </c>
      <c r="T254" s="3">
        <v>0</v>
      </c>
      <c r="U254" s="3">
        <v>0</v>
      </c>
      <c r="V254" s="3">
        <f t="shared" si="47"/>
        <v>8</v>
      </c>
      <c r="W254" s="3">
        <v>0</v>
      </c>
      <c r="X254" s="3">
        <v>0</v>
      </c>
      <c r="Y254" s="3">
        <v>8</v>
      </c>
      <c r="Z254" s="3">
        <v>0</v>
      </c>
      <c r="AA254" s="3">
        <v>0</v>
      </c>
      <c r="AB254" s="3">
        <f t="shared" si="48"/>
        <v>8</v>
      </c>
      <c r="AC254" s="6">
        <f t="shared" si="56"/>
        <v>0</v>
      </c>
      <c r="AD254" s="6">
        <f t="shared" si="57"/>
        <v>0</v>
      </c>
      <c r="AE254" s="6">
        <f t="shared" si="58"/>
        <v>-8</v>
      </c>
      <c r="AF254" s="6">
        <f t="shared" si="59"/>
        <v>0</v>
      </c>
      <c r="AG254" s="6">
        <f t="shared" si="60"/>
        <v>0</v>
      </c>
      <c r="AH254" s="6">
        <f t="shared" si="49"/>
        <v>-8</v>
      </c>
      <c r="AI254" s="3"/>
      <c r="AJ254" s="3" t="e">
        <f>_xlfn.XLOOKUP(K254,工作表1!A:A,工作表1!C:C)</f>
        <v>#N/A</v>
      </c>
      <c r="AK254" s="3"/>
      <c r="AL254" s="6">
        <f t="shared" si="50"/>
        <v>0</v>
      </c>
      <c r="AM254" s="6">
        <f t="shared" si="51"/>
        <v>0</v>
      </c>
      <c r="AN254" s="6">
        <f t="shared" si="52"/>
        <v>0</v>
      </c>
      <c r="AO254" s="6">
        <f t="shared" si="53"/>
        <v>0</v>
      </c>
      <c r="AP254" s="6">
        <f t="shared" si="54"/>
        <v>0</v>
      </c>
      <c r="AQ254" s="6">
        <f t="shared" si="55"/>
        <v>0</v>
      </c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  <c r="BC254" s="6"/>
      <c r="BD254" s="6"/>
      <c r="BE254" s="6"/>
      <c r="BF254" s="6"/>
      <c r="BG254" s="6"/>
      <c r="BH254" s="6"/>
      <c r="BI254" s="6"/>
      <c r="BJ254" s="6"/>
      <c r="BK254" s="6"/>
      <c r="BL254" s="6"/>
      <c r="BM254" s="6"/>
      <c r="BN254" s="6"/>
      <c r="BO254" s="6"/>
      <c r="BP254" s="3">
        <v>8</v>
      </c>
      <c r="BQ254" s="6">
        <f t="shared" si="46"/>
        <v>0</v>
      </c>
    </row>
    <row r="255" spans="1:74" x14ac:dyDescent="0.3">
      <c r="A255" s="3" t="s">
        <v>17</v>
      </c>
      <c r="B255" s="3">
        <v>462</v>
      </c>
      <c r="C255" s="3" t="s">
        <v>431</v>
      </c>
      <c r="D255" s="3">
        <v>0.75</v>
      </c>
      <c r="E255" s="3" t="s">
        <v>19</v>
      </c>
      <c r="F255" s="3" t="s">
        <v>19</v>
      </c>
      <c r="G255" s="3" t="s">
        <v>19</v>
      </c>
      <c r="H255" s="3" t="s">
        <v>103</v>
      </c>
      <c r="I255" s="3"/>
      <c r="J255" s="3" t="s">
        <v>91</v>
      </c>
      <c r="K255" s="3" t="s">
        <v>432</v>
      </c>
      <c r="L255" s="3" t="s">
        <v>335</v>
      </c>
      <c r="M255" s="3">
        <v>1</v>
      </c>
      <c r="N255" s="6"/>
      <c r="O255" s="3">
        <v>1</v>
      </c>
      <c r="P255" s="3">
        <v>1</v>
      </c>
      <c r="Q255" s="3">
        <v>0</v>
      </c>
      <c r="R255" s="3">
        <v>0</v>
      </c>
      <c r="S255" s="3">
        <v>1</v>
      </c>
      <c r="T255" s="3">
        <v>0</v>
      </c>
      <c r="U255" s="3">
        <v>0</v>
      </c>
      <c r="V255" s="3">
        <f t="shared" si="47"/>
        <v>1</v>
      </c>
      <c r="W255" s="3">
        <v>0</v>
      </c>
      <c r="X255" s="3">
        <v>0</v>
      </c>
      <c r="Y255" s="3">
        <v>1</v>
      </c>
      <c r="Z255" s="3">
        <v>0</v>
      </c>
      <c r="AA255" s="3">
        <v>0</v>
      </c>
      <c r="AB255" s="3">
        <f t="shared" si="48"/>
        <v>1</v>
      </c>
      <c r="AC255" s="6">
        <f t="shared" si="56"/>
        <v>0</v>
      </c>
      <c r="AD255" s="6">
        <f t="shared" si="57"/>
        <v>0</v>
      </c>
      <c r="AE255" s="6">
        <f t="shared" si="58"/>
        <v>-1</v>
      </c>
      <c r="AF255" s="6">
        <f t="shared" si="59"/>
        <v>0</v>
      </c>
      <c r="AG255" s="6">
        <f t="shared" si="60"/>
        <v>0</v>
      </c>
      <c r="AH255" s="6">
        <f t="shared" si="49"/>
        <v>-1</v>
      </c>
      <c r="AI255" s="3"/>
      <c r="AJ255" s="3" t="e">
        <f>_xlfn.XLOOKUP(K255,工作表1!A:A,工作表1!C:C)</f>
        <v>#N/A</v>
      </c>
      <c r="AK255" s="3"/>
      <c r="AL255" s="6">
        <f t="shared" si="50"/>
        <v>0</v>
      </c>
      <c r="AM255" s="6">
        <f t="shared" si="51"/>
        <v>0</v>
      </c>
      <c r="AN255" s="6">
        <f t="shared" si="52"/>
        <v>0</v>
      </c>
      <c r="AO255" s="6">
        <f t="shared" si="53"/>
        <v>0</v>
      </c>
      <c r="AP255" s="6">
        <f t="shared" si="54"/>
        <v>0</v>
      </c>
      <c r="AQ255" s="6">
        <f t="shared" si="55"/>
        <v>0</v>
      </c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  <c r="BC255" s="6"/>
      <c r="BD255" s="6"/>
      <c r="BE255" s="6"/>
      <c r="BF255" s="6"/>
      <c r="BG255" s="6"/>
      <c r="BH255" s="6"/>
      <c r="BI255" s="6"/>
      <c r="BJ255" s="6"/>
      <c r="BK255" s="6"/>
      <c r="BL255" s="6"/>
      <c r="BM255" s="6"/>
      <c r="BN255" s="6"/>
      <c r="BO255" s="6"/>
      <c r="BP255" s="3">
        <v>1</v>
      </c>
      <c r="BQ255" s="6">
        <f t="shared" si="46"/>
        <v>0</v>
      </c>
    </row>
    <row r="256" spans="1:74" x14ac:dyDescent="0.3">
      <c r="A256" s="3" t="s">
        <v>17</v>
      </c>
      <c r="B256" s="3">
        <v>462</v>
      </c>
      <c r="C256" s="3" t="s">
        <v>433</v>
      </c>
      <c r="D256" s="3">
        <v>2</v>
      </c>
      <c r="E256" s="3" t="s">
        <v>19</v>
      </c>
      <c r="F256" s="3" t="s">
        <v>19</v>
      </c>
      <c r="G256" s="3" t="s">
        <v>19</v>
      </c>
      <c r="H256" s="3" t="s">
        <v>340</v>
      </c>
      <c r="I256" s="3"/>
      <c r="J256" s="3" t="s">
        <v>91</v>
      </c>
      <c r="K256" s="3" t="s">
        <v>434</v>
      </c>
      <c r="L256" s="3" t="s">
        <v>335</v>
      </c>
      <c r="M256" s="3">
        <v>1</v>
      </c>
      <c r="N256" s="6"/>
      <c r="O256" s="3">
        <v>1</v>
      </c>
      <c r="P256" s="3">
        <v>1</v>
      </c>
      <c r="Q256" s="3">
        <v>0</v>
      </c>
      <c r="R256" s="3">
        <v>0</v>
      </c>
      <c r="S256" s="3">
        <v>1</v>
      </c>
      <c r="T256" s="3">
        <v>0</v>
      </c>
      <c r="U256" s="3">
        <v>0</v>
      </c>
      <c r="V256" s="3">
        <f t="shared" si="47"/>
        <v>1</v>
      </c>
      <c r="W256" s="3">
        <v>0</v>
      </c>
      <c r="X256" s="3">
        <v>0</v>
      </c>
      <c r="Y256" s="3">
        <v>1</v>
      </c>
      <c r="Z256" s="3">
        <v>0</v>
      </c>
      <c r="AA256" s="3">
        <v>0</v>
      </c>
      <c r="AB256" s="3">
        <f t="shared" si="48"/>
        <v>1</v>
      </c>
      <c r="AC256" s="6">
        <f t="shared" si="56"/>
        <v>0</v>
      </c>
      <c r="AD256" s="6">
        <f t="shared" si="57"/>
        <v>0</v>
      </c>
      <c r="AE256" s="6">
        <f t="shared" si="58"/>
        <v>-1</v>
      </c>
      <c r="AF256" s="6">
        <f t="shared" si="59"/>
        <v>0</v>
      </c>
      <c r="AG256" s="6">
        <f t="shared" si="60"/>
        <v>0</v>
      </c>
      <c r="AH256" s="6">
        <f t="shared" si="49"/>
        <v>-1</v>
      </c>
      <c r="AI256" s="3"/>
      <c r="AJ256" s="3" t="e">
        <f>_xlfn.XLOOKUP(K256,工作表1!A:A,工作表1!C:C)</f>
        <v>#N/A</v>
      </c>
      <c r="AK256" s="3"/>
      <c r="AL256" s="6">
        <f t="shared" si="50"/>
        <v>0</v>
      </c>
      <c r="AM256" s="6">
        <f t="shared" si="51"/>
        <v>0</v>
      </c>
      <c r="AN256" s="6">
        <f t="shared" si="52"/>
        <v>0</v>
      </c>
      <c r="AO256" s="6">
        <f t="shared" si="53"/>
        <v>0</v>
      </c>
      <c r="AP256" s="6">
        <f t="shared" si="54"/>
        <v>0</v>
      </c>
      <c r="AQ256" s="6">
        <f t="shared" si="55"/>
        <v>0</v>
      </c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  <c r="BC256" s="6"/>
      <c r="BD256" s="6"/>
      <c r="BE256" s="6"/>
      <c r="BF256" s="6"/>
      <c r="BG256" s="6"/>
      <c r="BH256" s="6"/>
      <c r="BI256" s="6"/>
      <c r="BJ256" s="6"/>
      <c r="BK256" s="6"/>
      <c r="BL256" s="6"/>
      <c r="BM256" s="6"/>
      <c r="BN256" s="6"/>
      <c r="BO256" s="6"/>
      <c r="BP256" s="3">
        <v>1</v>
      </c>
      <c r="BQ256" s="6">
        <f t="shared" si="46"/>
        <v>0</v>
      </c>
    </row>
    <row r="257" spans="1:69" x14ac:dyDescent="0.3">
      <c r="A257" s="3" t="s">
        <v>17</v>
      </c>
      <c r="B257" s="3">
        <v>462</v>
      </c>
      <c r="C257" s="3" t="s">
        <v>435</v>
      </c>
      <c r="D257" s="3">
        <v>4</v>
      </c>
      <c r="E257" s="3" t="s">
        <v>19</v>
      </c>
      <c r="F257" s="3" t="s">
        <v>19</v>
      </c>
      <c r="G257" s="3" t="s">
        <v>19</v>
      </c>
      <c r="H257" s="3" t="s">
        <v>336</v>
      </c>
      <c r="I257" s="3"/>
      <c r="J257" s="3" t="s">
        <v>91</v>
      </c>
      <c r="K257" s="3" t="s">
        <v>436</v>
      </c>
      <c r="L257" s="3" t="s">
        <v>335</v>
      </c>
      <c r="M257" s="3">
        <v>2</v>
      </c>
      <c r="N257" s="6"/>
      <c r="O257" s="3">
        <v>2</v>
      </c>
      <c r="P257" s="3">
        <v>2</v>
      </c>
      <c r="Q257" s="3">
        <v>0</v>
      </c>
      <c r="R257" s="3">
        <v>0</v>
      </c>
      <c r="S257" s="3">
        <v>0</v>
      </c>
      <c r="T257" s="3">
        <v>2</v>
      </c>
      <c r="U257" s="3">
        <v>0</v>
      </c>
      <c r="V257" s="3">
        <f t="shared" si="47"/>
        <v>2</v>
      </c>
      <c r="W257" s="3">
        <v>0</v>
      </c>
      <c r="X257" s="3">
        <v>0</v>
      </c>
      <c r="Y257" s="3">
        <v>0</v>
      </c>
      <c r="Z257" s="3">
        <v>2</v>
      </c>
      <c r="AA257" s="3">
        <v>0</v>
      </c>
      <c r="AB257" s="3">
        <f t="shared" si="48"/>
        <v>2</v>
      </c>
      <c r="AC257" s="6">
        <f t="shared" si="56"/>
        <v>0</v>
      </c>
      <c r="AD257" s="6">
        <f t="shared" si="57"/>
        <v>0</v>
      </c>
      <c r="AE257" s="6">
        <f t="shared" si="58"/>
        <v>0</v>
      </c>
      <c r="AF257" s="6">
        <f t="shared" si="59"/>
        <v>-2</v>
      </c>
      <c r="AG257" s="6">
        <f t="shared" si="60"/>
        <v>0</v>
      </c>
      <c r="AH257" s="6">
        <f t="shared" si="49"/>
        <v>-2</v>
      </c>
      <c r="AI257" s="3"/>
      <c r="AJ257" s="3" t="e">
        <f>_xlfn.XLOOKUP(K257,工作表1!A:A,工作表1!C:C)</f>
        <v>#N/A</v>
      </c>
      <c r="AK257" s="3"/>
      <c r="AL257" s="6">
        <f t="shared" si="50"/>
        <v>0</v>
      </c>
      <c r="AM257" s="6">
        <f t="shared" si="51"/>
        <v>0</v>
      </c>
      <c r="AN257" s="6">
        <f t="shared" si="52"/>
        <v>0</v>
      </c>
      <c r="AO257" s="6">
        <f t="shared" si="53"/>
        <v>0</v>
      </c>
      <c r="AP257" s="6">
        <f t="shared" si="54"/>
        <v>0</v>
      </c>
      <c r="AQ257" s="6">
        <f t="shared" si="55"/>
        <v>0</v>
      </c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  <c r="BC257" s="6"/>
      <c r="BD257" s="6"/>
      <c r="BE257" s="6"/>
      <c r="BF257" s="6"/>
      <c r="BG257" s="6"/>
      <c r="BH257" s="6"/>
      <c r="BI257" s="6"/>
      <c r="BJ257" s="6"/>
      <c r="BK257" s="6"/>
      <c r="BL257" s="6"/>
      <c r="BM257" s="6"/>
      <c r="BN257" s="6"/>
      <c r="BO257" s="6"/>
      <c r="BP257" s="3">
        <v>2</v>
      </c>
      <c r="BQ257" s="6">
        <f t="shared" si="46"/>
        <v>0</v>
      </c>
    </row>
    <row r="258" spans="1:69" x14ac:dyDescent="0.3">
      <c r="A258" s="3" t="s">
        <v>17</v>
      </c>
      <c r="B258" s="3">
        <v>462</v>
      </c>
      <c r="C258" s="3" t="s">
        <v>435</v>
      </c>
      <c r="D258" s="3">
        <v>1</v>
      </c>
      <c r="E258" s="3" t="s">
        <v>19</v>
      </c>
      <c r="F258" s="3" t="s">
        <v>19</v>
      </c>
      <c r="G258" s="3" t="s">
        <v>19</v>
      </c>
      <c r="H258" s="3" t="s">
        <v>101</v>
      </c>
      <c r="I258" s="3"/>
      <c r="J258" s="3" t="s">
        <v>91</v>
      </c>
      <c r="K258" s="3" t="s">
        <v>437</v>
      </c>
      <c r="L258" s="3" t="s">
        <v>335</v>
      </c>
      <c r="M258" s="3">
        <v>18</v>
      </c>
      <c r="N258" s="6"/>
      <c r="O258" s="3">
        <v>18</v>
      </c>
      <c r="P258" s="3">
        <v>18</v>
      </c>
      <c r="Q258" s="3">
        <v>0</v>
      </c>
      <c r="R258" s="3">
        <v>0</v>
      </c>
      <c r="S258" s="3">
        <v>18</v>
      </c>
      <c r="T258" s="3">
        <v>0</v>
      </c>
      <c r="U258" s="3">
        <v>0</v>
      </c>
      <c r="V258" s="3">
        <f t="shared" si="47"/>
        <v>18</v>
      </c>
      <c r="W258" s="3">
        <v>0</v>
      </c>
      <c r="X258" s="3">
        <v>0</v>
      </c>
      <c r="Y258" s="3">
        <v>18</v>
      </c>
      <c r="Z258" s="3">
        <v>0</v>
      </c>
      <c r="AA258" s="3">
        <v>0</v>
      </c>
      <c r="AB258" s="3">
        <f t="shared" si="48"/>
        <v>18</v>
      </c>
      <c r="AC258" s="6">
        <f t="shared" si="56"/>
        <v>0</v>
      </c>
      <c r="AD258" s="6">
        <f t="shared" si="57"/>
        <v>0</v>
      </c>
      <c r="AE258" s="6">
        <f t="shared" si="58"/>
        <v>-18</v>
      </c>
      <c r="AF258" s="6">
        <f t="shared" si="59"/>
        <v>0</v>
      </c>
      <c r="AG258" s="6">
        <f t="shared" si="60"/>
        <v>0</v>
      </c>
      <c r="AH258" s="6">
        <f t="shared" si="49"/>
        <v>-18</v>
      </c>
      <c r="AI258" s="3"/>
      <c r="AJ258" s="3" t="e">
        <f>_xlfn.XLOOKUP(K258,工作表1!A:A,工作表1!C:C)</f>
        <v>#N/A</v>
      </c>
      <c r="AK258" s="3"/>
      <c r="AL258" s="6">
        <f t="shared" si="50"/>
        <v>0</v>
      </c>
      <c r="AM258" s="6">
        <f t="shared" si="51"/>
        <v>0</v>
      </c>
      <c r="AN258" s="6">
        <f t="shared" si="52"/>
        <v>0</v>
      </c>
      <c r="AO258" s="6">
        <f t="shared" si="53"/>
        <v>0</v>
      </c>
      <c r="AP258" s="6">
        <f t="shared" si="54"/>
        <v>0</v>
      </c>
      <c r="AQ258" s="6">
        <f t="shared" si="55"/>
        <v>0</v>
      </c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  <c r="BC258" s="6"/>
      <c r="BD258" s="6"/>
      <c r="BE258" s="6"/>
      <c r="BF258" s="6"/>
      <c r="BG258" s="6"/>
      <c r="BH258" s="6"/>
      <c r="BI258" s="6"/>
      <c r="BJ258" s="6"/>
      <c r="BK258" s="6"/>
      <c r="BL258" s="6"/>
      <c r="BM258" s="6"/>
      <c r="BN258" s="6"/>
      <c r="BO258" s="6"/>
      <c r="BP258" s="3">
        <v>18</v>
      </c>
      <c r="BQ258" s="6">
        <f t="shared" si="46"/>
        <v>0</v>
      </c>
    </row>
    <row r="259" spans="1:69" x14ac:dyDescent="0.3">
      <c r="A259" s="3" t="s">
        <v>17</v>
      </c>
      <c r="B259" s="3">
        <v>463</v>
      </c>
      <c r="C259" s="3" t="s">
        <v>438</v>
      </c>
      <c r="D259" s="3">
        <v>8</v>
      </c>
      <c r="E259" s="3" t="s">
        <v>19</v>
      </c>
      <c r="F259" s="3" t="s">
        <v>19</v>
      </c>
      <c r="G259" s="3" t="s">
        <v>19</v>
      </c>
      <c r="H259" s="3" t="s">
        <v>348</v>
      </c>
      <c r="I259" s="3"/>
      <c r="J259" s="3" t="s">
        <v>413</v>
      </c>
      <c r="K259" s="3" t="s">
        <v>439</v>
      </c>
      <c r="L259" s="3" t="s">
        <v>335</v>
      </c>
      <c r="M259" s="3">
        <v>2</v>
      </c>
      <c r="N259" s="6"/>
      <c r="O259" s="3">
        <v>2</v>
      </c>
      <c r="P259" s="3">
        <v>2</v>
      </c>
      <c r="Q259" s="3">
        <v>0</v>
      </c>
      <c r="R259" s="3">
        <v>0</v>
      </c>
      <c r="S259" s="3">
        <v>0</v>
      </c>
      <c r="T259" s="3">
        <v>2</v>
      </c>
      <c r="U259" s="3">
        <v>0</v>
      </c>
      <c r="V259" s="3">
        <f t="shared" si="47"/>
        <v>2</v>
      </c>
      <c r="W259" s="3">
        <v>0</v>
      </c>
      <c r="X259" s="3">
        <v>0</v>
      </c>
      <c r="Y259" s="3">
        <v>0</v>
      </c>
      <c r="Z259" s="3">
        <v>2</v>
      </c>
      <c r="AA259" s="3">
        <v>0</v>
      </c>
      <c r="AB259" s="3">
        <f t="shared" si="48"/>
        <v>2</v>
      </c>
      <c r="AC259" s="6">
        <f t="shared" si="56"/>
        <v>0</v>
      </c>
      <c r="AD259" s="6">
        <f t="shared" si="57"/>
        <v>0</v>
      </c>
      <c r="AE259" s="6">
        <f t="shared" si="58"/>
        <v>0</v>
      </c>
      <c r="AF259" s="6">
        <f t="shared" si="59"/>
        <v>-2</v>
      </c>
      <c r="AG259" s="6">
        <f t="shared" si="60"/>
        <v>0</v>
      </c>
      <c r="AH259" s="6">
        <f t="shared" si="49"/>
        <v>-2</v>
      </c>
      <c r="AI259" s="3"/>
      <c r="AJ259" s="3" t="e">
        <f>_xlfn.XLOOKUP(K259,工作表1!A:A,工作表1!C:C)</f>
        <v>#N/A</v>
      </c>
      <c r="AK259" s="3"/>
      <c r="AL259" s="6">
        <f t="shared" si="50"/>
        <v>0</v>
      </c>
      <c r="AM259" s="6">
        <f t="shared" si="51"/>
        <v>0</v>
      </c>
      <c r="AN259" s="6">
        <f t="shared" si="52"/>
        <v>0</v>
      </c>
      <c r="AO259" s="6">
        <f t="shared" si="53"/>
        <v>0</v>
      </c>
      <c r="AP259" s="6">
        <f t="shared" si="54"/>
        <v>0</v>
      </c>
      <c r="AQ259" s="6">
        <f t="shared" si="55"/>
        <v>0</v>
      </c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  <c r="BC259" s="6"/>
      <c r="BD259" s="6"/>
      <c r="BE259" s="6"/>
      <c r="BF259" s="6"/>
      <c r="BG259" s="6"/>
      <c r="BH259" s="6"/>
      <c r="BI259" s="6"/>
      <c r="BJ259" s="6"/>
      <c r="BK259" s="6"/>
      <c r="BL259" s="6"/>
      <c r="BM259" s="6"/>
      <c r="BN259" s="6"/>
      <c r="BO259" s="6"/>
      <c r="BP259" s="3">
        <v>2</v>
      </c>
      <c r="BQ259" s="6">
        <f t="shared" si="46"/>
        <v>0</v>
      </c>
    </row>
    <row r="260" spans="1:69" x14ac:dyDescent="0.3">
      <c r="A260" s="3" t="s">
        <v>17</v>
      </c>
      <c r="B260" s="3">
        <v>471</v>
      </c>
      <c r="C260" s="3" t="s">
        <v>440</v>
      </c>
      <c r="D260" s="3">
        <v>10</v>
      </c>
      <c r="E260" s="3" t="s">
        <v>19</v>
      </c>
      <c r="F260" s="3" t="s">
        <v>19</v>
      </c>
      <c r="G260" s="3" t="s">
        <v>19</v>
      </c>
      <c r="H260" s="3" t="s">
        <v>333</v>
      </c>
      <c r="I260" s="3"/>
      <c r="J260" s="3" t="s">
        <v>91</v>
      </c>
      <c r="K260" s="3" t="s">
        <v>441</v>
      </c>
      <c r="L260" s="3" t="s">
        <v>335</v>
      </c>
      <c r="M260" s="3">
        <v>2</v>
      </c>
      <c r="N260" s="6"/>
      <c r="O260" s="3">
        <v>1</v>
      </c>
      <c r="P260" s="3">
        <v>1</v>
      </c>
      <c r="Q260" s="3">
        <v>0</v>
      </c>
      <c r="R260" s="3">
        <v>0</v>
      </c>
      <c r="S260" s="3">
        <v>0</v>
      </c>
      <c r="T260" s="3">
        <v>1</v>
      </c>
      <c r="U260" s="3">
        <v>0</v>
      </c>
      <c r="V260" s="3">
        <f t="shared" si="47"/>
        <v>1</v>
      </c>
      <c r="W260" s="3">
        <v>0</v>
      </c>
      <c r="X260" s="3">
        <v>0</v>
      </c>
      <c r="Y260" s="3">
        <v>0</v>
      </c>
      <c r="Z260" s="3">
        <v>1</v>
      </c>
      <c r="AA260" s="3">
        <v>0</v>
      </c>
      <c r="AB260" s="3">
        <f t="shared" si="48"/>
        <v>1</v>
      </c>
      <c r="AC260" s="6">
        <f t="shared" si="56"/>
        <v>0</v>
      </c>
      <c r="AD260" s="6">
        <f t="shared" si="57"/>
        <v>0</v>
      </c>
      <c r="AE260" s="6">
        <f t="shared" si="58"/>
        <v>0</v>
      </c>
      <c r="AF260" s="6">
        <f t="shared" si="59"/>
        <v>-1</v>
      </c>
      <c r="AG260" s="6">
        <f t="shared" si="60"/>
        <v>0</v>
      </c>
      <c r="AH260" s="6">
        <f t="shared" si="49"/>
        <v>-1</v>
      </c>
      <c r="AI260" s="3"/>
      <c r="AJ260" s="3" t="e">
        <f>_xlfn.XLOOKUP(K260,工作表1!A:A,工作表1!C:C)</f>
        <v>#N/A</v>
      </c>
      <c r="AK260" s="3"/>
      <c r="AL260" s="6">
        <f t="shared" si="50"/>
        <v>0</v>
      </c>
      <c r="AM260" s="6">
        <f t="shared" si="51"/>
        <v>0</v>
      </c>
      <c r="AN260" s="6">
        <f t="shared" si="52"/>
        <v>0</v>
      </c>
      <c r="AO260" s="6">
        <f t="shared" si="53"/>
        <v>0</v>
      </c>
      <c r="AP260" s="6">
        <f t="shared" si="54"/>
        <v>0</v>
      </c>
      <c r="AQ260" s="6">
        <f t="shared" si="55"/>
        <v>0</v>
      </c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  <c r="BC260" s="6"/>
      <c r="BD260" s="6"/>
      <c r="BE260" s="6"/>
      <c r="BF260" s="6"/>
      <c r="BG260" s="6"/>
      <c r="BH260" s="6"/>
      <c r="BI260" s="6"/>
      <c r="BJ260" s="6"/>
      <c r="BK260" s="6"/>
      <c r="BL260" s="6"/>
      <c r="BM260" s="6"/>
      <c r="BN260" s="6"/>
      <c r="BO260" s="6"/>
      <c r="BP260" s="3">
        <v>1</v>
      </c>
      <c r="BQ260" s="6">
        <f t="shared" si="46"/>
        <v>0</v>
      </c>
    </row>
    <row r="261" spans="1:69" x14ac:dyDescent="0.3">
      <c r="A261" s="3" t="s">
        <v>17</v>
      </c>
      <c r="B261" s="3">
        <v>471</v>
      </c>
      <c r="C261" s="3" t="s">
        <v>440</v>
      </c>
      <c r="D261" s="3">
        <v>8</v>
      </c>
      <c r="E261" s="3" t="s">
        <v>19</v>
      </c>
      <c r="F261" s="3" t="s">
        <v>19</v>
      </c>
      <c r="G261" s="3" t="s">
        <v>19</v>
      </c>
      <c r="H261" s="3" t="s">
        <v>348</v>
      </c>
      <c r="I261" s="3"/>
      <c r="J261" s="3" t="s">
        <v>91</v>
      </c>
      <c r="K261" s="3" t="s">
        <v>442</v>
      </c>
      <c r="L261" s="3" t="s">
        <v>335</v>
      </c>
      <c r="M261" s="3">
        <v>70</v>
      </c>
      <c r="N261" s="6"/>
      <c r="O261" s="3">
        <v>8</v>
      </c>
      <c r="P261" s="3">
        <v>8</v>
      </c>
      <c r="Q261" s="3">
        <v>0</v>
      </c>
      <c r="R261" s="3">
        <v>4</v>
      </c>
      <c r="S261" s="3">
        <v>0</v>
      </c>
      <c r="T261" s="3">
        <v>4</v>
      </c>
      <c r="U261" s="3">
        <v>0</v>
      </c>
      <c r="V261" s="3">
        <f t="shared" si="47"/>
        <v>8</v>
      </c>
      <c r="W261" s="3">
        <v>0</v>
      </c>
      <c r="X261" s="3">
        <v>4</v>
      </c>
      <c r="Y261" s="3">
        <v>0</v>
      </c>
      <c r="Z261" s="3">
        <v>4</v>
      </c>
      <c r="AA261" s="3">
        <v>0</v>
      </c>
      <c r="AB261" s="3">
        <f t="shared" si="48"/>
        <v>8</v>
      </c>
      <c r="AC261" s="6">
        <f t="shared" si="56"/>
        <v>0</v>
      </c>
      <c r="AD261" s="6">
        <f t="shared" si="57"/>
        <v>-4</v>
      </c>
      <c r="AE261" s="6">
        <f t="shared" si="58"/>
        <v>0</v>
      </c>
      <c r="AF261" s="6">
        <f t="shared" si="59"/>
        <v>-4</v>
      </c>
      <c r="AG261" s="6">
        <f t="shared" si="60"/>
        <v>0</v>
      </c>
      <c r="AH261" s="6">
        <f t="shared" si="49"/>
        <v>-8</v>
      </c>
      <c r="AI261" s="3"/>
      <c r="AJ261" s="3" t="e">
        <f>_xlfn.XLOOKUP(K261,工作表1!A:A,工作表1!C:C)</f>
        <v>#N/A</v>
      </c>
      <c r="AK261" s="3"/>
      <c r="AL261" s="6">
        <f t="shared" si="50"/>
        <v>0</v>
      </c>
      <c r="AM261" s="6">
        <f t="shared" si="51"/>
        <v>0</v>
      </c>
      <c r="AN261" s="6">
        <f t="shared" si="52"/>
        <v>0</v>
      </c>
      <c r="AO261" s="6">
        <f t="shared" si="53"/>
        <v>0</v>
      </c>
      <c r="AP261" s="6">
        <f t="shared" si="54"/>
        <v>0</v>
      </c>
      <c r="AQ261" s="6">
        <f t="shared" si="55"/>
        <v>0</v>
      </c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  <c r="BC261" s="6"/>
      <c r="BD261" s="6"/>
      <c r="BE261" s="6"/>
      <c r="BF261" s="6"/>
      <c r="BG261" s="6"/>
      <c r="BH261" s="6"/>
      <c r="BI261" s="6"/>
      <c r="BJ261" s="6"/>
      <c r="BK261" s="6"/>
      <c r="BL261" s="6"/>
      <c r="BM261" s="6"/>
      <c r="BN261" s="6"/>
      <c r="BO261" s="6"/>
      <c r="BP261" s="3">
        <v>8</v>
      </c>
      <c r="BQ261" s="6">
        <f t="shared" si="46"/>
        <v>0</v>
      </c>
    </row>
    <row r="262" spans="1:69" x14ac:dyDescent="0.3">
      <c r="A262" s="3" t="s">
        <v>17</v>
      </c>
      <c r="B262" s="3">
        <v>471</v>
      </c>
      <c r="C262" s="3" t="s">
        <v>440</v>
      </c>
      <c r="D262" s="3">
        <v>6</v>
      </c>
      <c r="E262" s="3" t="s">
        <v>19</v>
      </c>
      <c r="F262" s="3" t="s">
        <v>19</v>
      </c>
      <c r="G262" s="3" t="s">
        <v>19</v>
      </c>
      <c r="H262" s="3" t="s">
        <v>443</v>
      </c>
      <c r="I262" s="3"/>
      <c r="J262" s="3" t="s">
        <v>91</v>
      </c>
      <c r="K262" s="3" t="s">
        <v>444</v>
      </c>
      <c r="L262" s="3" t="s">
        <v>335</v>
      </c>
      <c r="M262" s="3">
        <v>132</v>
      </c>
      <c r="N262" s="6"/>
      <c r="O262" s="3">
        <v>5</v>
      </c>
      <c r="P262" s="3">
        <v>5</v>
      </c>
      <c r="Q262" s="3">
        <v>0</v>
      </c>
      <c r="R262" s="3">
        <v>1</v>
      </c>
      <c r="S262" s="3">
        <v>0</v>
      </c>
      <c r="T262" s="3">
        <v>4</v>
      </c>
      <c r="U262" s="3">
        <v>0</v>
      </c>
      <c r="V262" s="3">
        <f t="shared" si="47"/>
        <v>5</v>
      </c>
      <c r="W262" s="3">
        <v>0</v>
      </c>
      <c r="X262" s="3">
        <v>1</v>
      </c>
      <c r="Y262" s="3">
        <v>0</v>
      </c>
      <c r="Z262" s="3">
        <v>4</v>
      </c>
      <c r="AA262" s="3">
        <v>0</v>
      </c>
      <c r="AB262" s="3">
        <f t="shared" si="48"/>
        <v>5</v>
      </c>
      <c r="AC262" s="6">
        <f t="shared" si="56"/>
        <v>0</v>
      </c>
      <c r="AD262" s="6">
        <f t="shared" si="57"/>
        <v>-1</v>
      </c>
      <c r="AE262" s="6">
        <f t="shared" si="58"/>
        <v>0</v>
      </c>
      <c r="AF262" s="6">
        <f t="shared" si="59"/>
        <v>-4</v>
      </c>
      <c r="AG262" s="6">
        <f t="shared" si="60"/>
        <v>0</v>
      </c>
      <c r="AH262" s="6">
        <f t="shared" si="49"/>
        <v>-5</v>
      </c>
      <c r="AI262" s="3"/>
      <c r="AJ262" s="3" t="e">
        <f>_xlfn.XLOOKUP(K262,工作表1!A:A,工作表1!C:C)</f>
        <v>#N/A</v>
      </c>
      <c r="AK262" s="3"/>
      <c r="AL262" s="6">
        <f t="shared" si="50"/>
        <v>0</v>
      </c>
      <c r="AM262" s="6">
        <f t="shared" si="51"/>
        <v>0</v>
      </c>
      <c r="AN262" s="6">
        <f t="shared" si="52"/>
        <v>0</v>
      </c>
      <c r="AO262" s="6">
        <f t="shared" si="53"/>
        <v>0</v>
      </c>
      <c r="AP262" s="6">
        <f t="shared" si="54"/>
        <v>0</v>
      </c>
      <c r="AQ262" s="6">
        <f t="shared" si="55"/>
        <v>0</v>
      </c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  <c r="BC262" s="6"/>
      <c r="BD262" s="6"/>
      <c r="BE262" s="6"/>
      <c r="BF262" s="6"/>
      <c r="BG262" s="6"/>
      <c r="BH262" s="6"/>
      <c r="BI262" s="6"/>
      <c r="BJ262" s="6"/>
      <c r="BK262" s="6"/>
      <c r="BL262" s="6"/>
      <c r="BM262" s="6"/>
      <c r="BN262" s="6"/>
      <c r="BO262" s="6"/>
      <c r="BP262" s="3">
        <v>5</v>
      </c>
      <c r="BQ262" s="6">
        <f t="shared" si="46"/>
        <v>0</v>
      </c>
    </row>
    <row r="263" spans="1:69" x14ac:dyDescent="0.3">
      <c r="A263" s="3" t="s">
        <v>17</v>
      </c>
      <c r="B263" s="3">
        <v>471</v>
      </c>
      <c r="C263" s="3" t="s">
        <v>440</v>
      </c>
      <c r="D263" s="3">
        <v>4</v>
      </c>
      <c r="E263" s="3" t="s">
        <v>19</v>
      </c>
      <c r="F263" s="3" t="s">
        <v>19</v>
      </c>
      <c r="G263" s="3" t="s">
        <v>19</v>
      </c>
      <c r="H263" s="3" t="s">
        <v>336</v>
      </c>
      <c r="I263" s="3"/>
      <c r="J263" s="3" t="s">
        <v>91</v>
      </c>
      <c r="K263" s="3" t="s">
        <v>445</v>
      </c>
      <c r="L263" s="3" t="s">
        <v>335</v>
      </c>
      <c r="M263" s="3">
        <v>110</v>
      </c>
      <c r="N263" s="6"/>
      <c r="O263" s="3">
        <v>21</v>
      </c>
      <c r="P263" s="3">
        <v>21</v>
      </c>
      <c r="Q263" s="3">
        <v>0</v>
      </c>
      <c r="R263" s="3">
        <v>11</v>
      </c>
      <c r="S263" s="3">
        <v>1</v>
      </c>
      <c r="T263" s="3">
        <v>9</v>
      </c>
      <c r="U263" s="3">
        <v>0</v>
      </c>
      <c r="V263" s="3">
        <f t="shared" si="47"/>
        <v>21</v>
      </c>
      <c r="W263" s="3">
        <v>0</v>
      </c>
      <c r="X263" s="3">
        <v>11</v>
      </c>
      <c r="Y263" s="3">
        <v>1</v>
      </c>
      <c r="Z263" s="3">
        <v>9</v>
      </c>
      <c r="AA263" s="3">
        <v>0</v>
      </c>
      <c r="AB263" s="3">
        <f t="shared" si="48"/>
        <v>21</v>
      </c>
      <c r="AC263" s="6">
        <f t="shared" si="56"/>
        <v>0</v>
      </c>
      <c r="AD263" s="6">
        <f t="shared" si="57"/>
        <v>-11</v>
      </c>
      <c r="AE263" s="6">
        <f t="shared" si="58"/>
        <v>-1</v>
      </c>
      <c r="AF263" s="6">
        <f t="shared" si="59"/>
        <v>-9</v>
      </c>
      <c r="AG263" s="6">
        <f t="shared" si="60"/>
        <v>0</v>
      </c>
      <c r="AH263" s="6">
        <f t="shared" si="49"/>
        <v>-21</v>
      </c>
      <c r="AI263" s="3"/>
      <c r="AJ263" s="3" t="e">
        <f>_xlfn.XLOOKUP(K263,工作表1!A:A,工作表1!C:C)</f>
        <v>#N/A</v>
      </c>
      <c r="AK263" s="3"/>
      <c r="AL263" s="6">
        <f t="shared" si="50"/>
        <v>0</v>
      </c>
      <c r="AM263" s="6">
        <f t="shared" si="51"/>
        <v>0</v>
      </c>
      <c r="AN263" s="6">
        <f t="shared" si="52"/>
        <v>0</v>
      </c>
      <c r="AO263" s="6">
        <f t="shared" si="53"/>
        <v>0</v>
      </c>
      <c r="AP263" s="6">
        <f t="shared" si="54"/>
        <v>0</v>
      </c>
      <c r="AQ263" s="6">
        <f t="shared" si="55"/>
        <v>0</v>
      </c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  <c r="BC263" s="6"/>
      <c r="BD263" s="6"/>
      <c r="BE263" s="6"/>
      <c r="BF263" s="6"/>
      <c r="BG263" s="6"/>
      <c r="BH263" s="6"/>
      <c r="BI263" s="6"/>
      <c r="BJ263" s="6"/>
      <c r="BK263" s="6"/>
      <c r="BL263" s="6"/>
      <c r="BM263" s="6"/>
      <c r="BN263" s="6"/>
      <c r="BO263" s="6"/>
      <c r="BP263" s="3">
        <v>21</v>
      </c>
      <c r="BQ263" s="6">
        <f t="shared" ref="BQ263:BQ326" si="61">SUM(BR263:FN263)</f>
        <v>0</v>
      </c>
    </row>
    <row r="264" spans="1:69" x14ac:dyDescent="0.3">
      <c r="A264" s="3" t="s">
        <v>17</v>
      </c>
      <c r="B264" s="3">
        <v>471</v>
      </c>
      <c r="C264" s="3" t="s">
        <v>440</v>
      </c>
      <c r="D264" s="3">
        <v>3</v>
      </c>
      <c r="E264" s="3" t="s">
        <v>19</v>
      </c>
      <c r="F264" s="3" t="s">
        <v>19</v>
      </c>
      <c r="G264" s="3" t="s">
        <v>19</v>
      </c>
      <c r="H264" s="3" t="s">
        <v>338</v>
      </c>
      <c r="I264" s="3"/>
      <c r="J264" s="3" t="s">
        <v>91</v>
      </c>
      <c r="K264" s="3" t="s">
        <v>446</v>
      </c>
      <c r="L264" s="3" t="s">
        <v>335</v>
      </c>
      <c r="M264" s="3">
        <v>82</v>
      </c>
      <c r="N264" s="6"/>
      <c r="O264" s="3">
        <v>9</v>
      </c>
      <c r="P264" s="3">
        <v>9</v>
      </c>
      <c r="Q264" s="3">
        <v>0</v>
      </c>
      <c r="R264" s="3">
        <v>4</v>
      </c>
      <c r="S264" s="3">
        <v>0</v>
      </c>
      <c r="T264" s="3">
        <v>5</v>
      </c>
      <c r="U264" s="3">
        <v>0</v>
      </c>
      <c r="V264" s="3">
        <f t="shared" ref="V264:V327" si="62">SUM(Q264:U264)</f>
        <v>9</v>
      </c>
      <c r="W264" s="3">
        <v>0</v>
      </c>
      <c r="X264" s="3">
        <v>4</v>
      </c>
      <c r="Y264" s="3">
        <v>0</v>
      </c>
      <c r="Z264" s="3">
        <v>5</v>
      </c>
      <c r="AA264" s="3">
        <v>0</v>
      </c>
      <c r="AB264" s="3">
        <f t="shared" ref="AB264:AB327" si="63">SUM(W264:AA264)</f>
        <v>9</v>
      </c>
      <c r="AC264" s="6">
        <f t="shared" si="56"/>
        <v>0</v>
      </c>
      <c r="AD264" s="6">
        <f t="shared" si="57"/>
        <v>-4</v>
      </c>
      <c r="AE264" s="6">
        <f t="shared" si="58"/>
        <v>0</v>
      </c>
      <c r="AF264" s="6">
        <f t="shared" si="59"/>
        <v>-5</v>
      </c>
      <c r="AG264" s="6">
        <f t="shared" si="60"/>
        <v>0</v>
      </c>
      <c r="AH264" s="6">
        <f t="shared" ref="AH264:AH327" si="64">AQ264-AB264</f>
        <v>-9</v>
      </c>
      <c r="AI264" s="3"/>
      <c r="AJ264" s="3" t="e">
        <f>_xlfn.XLOOKUP(K264,工作表1!A:A,工作表1!C:C)</f>
        <v>#N/A</v>
      </c>
      <c r="AK264" s="3"/>
      <c r="AL264" s="6">
        <f t="shared" ref="AL264:AL327" si="65">SUM(AR264:AV264)</f>
        <v>0</v>
      </c>
      <c r="AM264" s="6">
        <f t="shared" ref="AM264:AM327" si="66">SUM(AW264:AZ264)</f>
        <v>0</v>
      </c>
      <c r="AN264" s="6">
        <f t="shared" ref="AN264:AN327" si="67">SUM(BA264:BE264)</f>
        <v>0</v>
      </c>
      <c r="AO264" s="6">
        <f t="shared" ref="AO264:AO327" si="68">SUM(BF264:BI264)</f>
        <v>0</v>
      </c>
      <c r="AP264" s="6">
        <f t="shared" ref="AP264:AP327" si="69">SUM(BJ264:BN264)</f>
        <v>0</v>
      </c>
      <c r="AQ264" s="6">
        <f t="shared" ref="AQ264:AQ327" si="70">SUM(AL264:AP264)</f>
        <v>0</v>
      </c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  <c r="BC264" s="6"/>
      <c r="BD264" s="6"/>
      <c r="BE264" s="6"/>
      <c r="BF264" s="6"/>
      <c r="BG264" s="6"/>
      <c r="BH264" s="6"/>
      <c r="BI264" s="6"/>
      <c r="BJ264" s="6"/>
      <c r="BK264" s="6"/>
      <c r="BL264" s="6"/>
      <c r="BM264" s="6"/>
      <c r="BN264" s="6"/>
      <c r="BO264" s="6"/>
      <c r="BP264" s="3">
        <v>9</v>
      </c>
      <c r="BQ264" s="6">
        <f t="shared" si="61"/>
        <v>0</v>
      </c>
    </row>
    <row r="265" spans="1:69" x14ac:dyDescent="0.3">
      <c r="A265" s="3" t="s">
        <v>17</v>
      </c>
      <c r="B265" s="3">
        <v>471</v>
      </c>
      <c r="C265" s="3" t="s">
        <v>440</v>
      </c>
      <c r="D265" s="3">
        <v>2</v>
      </c>
      <c r="E265" s="3" t="s">
        <v>19</v>
      </c>
      <c r="F265" s="3" t="s">
        <v>19</v>
      </c>
      <c r="G265" s="3" t="s">
        <v>19</v>
      </c>
      <c r="H265" s="3" t="s">
        <v>340</v>
      </c>
      <c r="I265" s="3"/>
      <c r="J265" s="3" t="s">
        <v>91</v>
      </c>
      <c r="K265" s="3" t="s">
        <v>447</v>
      </c>
      <c r="L265" s="3" t="s">
        <v>335</v>
      </c>
      <c r="M265" s="3">
        <v>64</v>
      </c>
      <c r="N265" s="6"/>
      <c r="O265" s="3">
        <v>8</v>
      </c>
      <c r="P265" s="3">
        <v>8</v>
      </c>
      <c r="Q265" s="3">
        <v>0</v>
      </c>
      <c r="R265" s="3">
        <v>4</v>
      </c>
      <c r="S265" s="3">
        <v>1</v>
      </c>
      <c r="T265" s="3">
        <v>3</v>
      </c>
      <c r="U265" s="3">
        <v>0</v>
      </c>
      <c r="V265" s="3">
        <f t="shared" si="62"/>
        <v>8</v>
      </c>
      <c r="W265" s="3">
        <v>0</v>
      </c>
      <c r="X265" s="3">
        <v>4</v>
      </c>
      <c r="Y265" s="3">
        <v>1</v>
      </c>
      <c r="Z265" s="3">
        <v>3</v>
      </c>
      <c r="AA265" s="3">
        <v>0</v>
      </c>
      <c r="AB265" s="3">
        <f t="shared" si="63"/>
        <v>8</v>
      </c>
      <c r="AC265" s="6">
        <f t="shared" si="56"/>
        <v>0</v>
      </c>
      <c r="AD265" s="6">
        <f t="shared" si="57"/>
        <v>-4</v>
      </c>
      <c r="AE265" s="6">
        <f t="shared" si="58"/>
        <v>-1</v>
      </c>
      <c r="AF265" s="6">
        <f t="shared" si="59"/>
        <v>-3</v>
      </c>
      <c r="AG265" s="6">
        <f t="shared" si="60"/>
        <v>0</v>
      </c>
      <c r="AH265" s="6">
        <f t="shared" si="64"/>
        <v>-8</v>
      </c>
      <c r="AI265" s="3"/>
      <c r="AJ265" s="3" t="e">
        <f>_xlfn.XLOOKUP(K265,工作表1!A:A,工作表1!C:C)</f>
        <v>#N/A</v>
      </c>
      <c r="AK265" s="3"/>
      <c r="AL265" s="6">
        <f t="shared" si="65"/>
        <v>0</v>
      </c>
      <c r="AM265" s="6">
        <f t="shared" si="66"/>
        <v>0</v>
      </c>
      <c r="AN265" s="6">
        <f t="shared" si="67"/>
        <v>0</v>
      </c>
      <c r="AO265" s="6">
        <f t="shared" si="68"/>
        <v>0</v>
      </c>
      <c r="AP265" s="6">
        <f t="shared" si="69"/>
        <v>0</v>
      </c>
      <c r="AQ265" s="6">
        <f t="shared" si="70"/>
        <v>0</v>
      </c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  <c r="BC265" s="6"/>
      <c r="BD265" s="6"/>
      <c r="BE265" s="6"/>
      <c r="BF265" s="6"/>
      <c r="BG265" s="6"/>
      <c r="BH265" s="6"/>
      <c r="BI265" s="6"/>
      <c r="BJ265" s="6"/>
      <c r="BK265" s="6"/>
      <c r="BL265" s="6"/>
      <c r="BM265" s="6"/>
      <c r="BN265" s="6"/>
      <c r="BO265" s="6"/>
      <c r="BP265" s="3">
        <v>8</v>
      </c>
      <c r="BQ265" s="6">
        <f t="shared" si="61"/>
        <v>0</v>
      </c>
    </row>
    <row r="266" spans="1:69" x14ac:dyDescent="0.3">
      <c r="A266" s="3" t="s">
        <v>17</v>
      </c>
      <c r="B266" s="3">
        <v>471</v>
      </c>
      <c r="C266" s="3" t="s">
        <v>440</v>
      </c>
      <c r="D266" s="3">
        <v>1</v>
      </c>
      <c r="E266" s="3" t="s">
        <v>19</v>
      </c>
      <c r="F266" s="3" t="s">
        <v>19</v>
      </c>
      <c r="G266" s="3" t="s">
        <v>19</v>
      </c>
      <c r="H266" s="3" t="s">
        <v>101</v>
      </c>
      <c r="I266" s="3"/>
      <c r="J266" s="3" t="s">
        <v>91</v>
      </c>
      <c r="K266" s="3" t="s">
        <v>449</v>
      </c>
      <c r="L266" s="3" t="s">
        <v>335</v>
      </c>
      <c r="M266" s="3">
        <v>104</v>
      </c>
      <c r="N266" s="6"/>
      <c r="O266" s="3">
        <v>15</v>
      </c>
      <c r="P266" s="3">
        <v>15</v>
      </c>
      <c r="Q266" s="3">
        <v>0</v>
      </c>
      <c r="R266" s="3">
        <v>2</v>
      </c>
      <c r="S266" s="3">
        <v>2</v>
      </c>
      <c r="T266" s="3">
        <v>11</v>
      </c>
      <c r="U266" s="3">
        <v>0</v>
      </c>
      <c r="V266" s="3">
        <f t="shared" si="62"/>
        <v>15</v>
      </c>
      <c r="W266" s="3">
        <v>0</v>
      </c>
      <c r="X266" s="3">
        <v>2</v>
      </c>
      <c r="Y266" s="3">
        <v>2</v>
      </c>
      <c r="Z266" s="3">
        <v>11</v>
      </c>
      <c r="AA266" s="3">
        <v>0</v>
      </c>
      <c r="AB266" s="3">
        <f t="shared" si="63"/>
        <v>15</v>
      </c>
      <c r="AC266" s="6">
        <f t="shared" si="56"/>
        <v>0</v>
      </c>
      <c r="AD266" s="6">
        <f t="shared" si="57"/>
        <v>-2</v>
      </c>
      <c r="AE266" s="6">
        <f t="shared" si="58"/>
        <v>-2</v>
      </c>
      <c r="AF266" s="6">
        <f t="shared" si="59"/>
        <v>-11</v>
      </c>
      <c r="AG266" s="6">
        <f t="shared" si="60"/>
        <v>0</v>
      </c>
      <c r="AH266" s="6">
        <f t="shared" si="64"/>
        <v>-15</v>
      </c>
      <c r="AI266" s="3"/>
      <c r="AJ266" s="3" t="e">
        <f>_xlfn.XLOOKUP(K266,工作表1!A:A,工作表1!C:C)</f>
        <v>#N/A</v>
      </c>
      <c r="AK266" s="3"/>
      <c r="AL266" s="6">
        <f t="shared" si="65"/>
        <v>0</v>
      </c>
      <c r="AM266" s="6">
        <f t="shared" si="66"/>
        <v>0</v>
      </c>
      <c r="AN266" s="6">
        <f t="shared" si="67"/>
        <v>0</v>
      </c>
      <c r="AO266" s="6">
        <f t="shared" si="68"/>
        <v>0</v>
      </c>
      <c r="AP266" s="6">
        <f t="shared" si="69"/>
        <v>0</v>
      </c>
      <c r="AQ266" s="6">
        <f t="shared" si="70"/>
        <v>0</v>
      </c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  <c r="BC266" s="6"/>
      <c r="BD266" s="6"/>
      <c r="BE266" s="6"/>
      <c r="BF266" s="6"/>
      <c r="BG266" s="6"/>
      <c r="BH266" s="6"/>
      <c r="BI266" s="6"/>
      <c r="BJ266" s="6"/>
      <c r="BK266" s="6"/>
      <c r="BL266" s="6"/>
      <c r="BM266" s="6"/>
      <c r="BN266" s="6"/>
      <c r="BO266" s="6"/>
      <c r="BP266" s="3">
        <v>15</v>
      </c>
      <c r="BQ266" s="6">
        <f t="shared" si="61"/>
        <v>0</v>
      </c>
    </row>
    <row r="267" spans="1:69" x14ac:dyDescent="0.3">
      <c r="A267" s="3" t="s">
        <v>17</v>
      </c>
      <c r="B267" s="3">
        <v>471</v>
      </c>
      <c r="C267" s="3" t="s">
        <v>440</v>
      </c>
      <c r="D267" s="3">
        <v>0.75</v>
      </c>
      <c r="E267" s="3" t="s">
        <v>19</v>
      </c>
      <c r="F267" s="3" t="s">
        <v>19</v>
      </c>
      <c r="G267" s="3" t="s">
        <v>19</v>
      </c>
      <c r="H267" s="3" t="s">
        <v>103</v>
      </c>
      <c r="I267" s="3"/>
      <c r="J267" s="3" t="s">
        <v>91</v>
      </c>
      <c r="K267" s="3" t="s">
        <v>450</v>
      </c>
      <c r="L267" s="3" t="s">
        <v>335</v>
      </c>
      <c r="M267" s="3">
        <v>102</v>
      </c>
      <c r="N267" s="6"/>
      <c r="O267" s="3">
        <v>25</v>
      </c>
      <c r="P267" s="3">
        <v>25</v>
      </c>
      <c r="Q267" s="3">
        <v>0</v>
      </c>
      <c r="R267" s="3">
        <v>21</v>
      </c>
      <c r="S267" s="3">
        <v>2</v>
      </c>
      <c r="T267" s="3">
        <v>2</v>
      </c>
      <c r="U267" s="3">
        <v>0</v>
      </c>
      <c r="V267" s="3">
        <f t="shared" si="62"/>
        <v>25</v>
      </c>
      <c r="W267" s="3">
        <v>0</v>
      </c>
      <c r="X267" s="3">
        <v>21</v>
      </c>
      <c r="Y267" s="3">
        <v>2</v>
      </c>
      <c r="Z267" s="3">
        <v>2</v>
      </c>
      <c r="AA267" s="3">
        <v>0</v>
      </c>
      <c r="AB267" s="3">
        <f t="shared" si="63"/>
        <v>25</v>
      </c>
      <c r="AC267" s="6">
        <f t="shared" si="56"/>
        <v>0</v>
      </c>
      <c r="AD267" s="6">
        <f t="shared" si="57"/>
        <v>-21</v>
      </c>
      <c r="AE267" s="6">
        <f t="shared" si="58"/>
        <v>-2</v>
      </c>
      <c r="AF267" s="6">
        <f t="shared" si="59"/>
        <v>-2</v>
      </c>
      <c r="AG267" s="6">
        <f t="shared" si="60"/>
        <v>0</v>
      </c>
      <c r="AH267" s="6">
        <f t="shared" si="64"/>
        <v>-25</v>
      </c>
      <c r="AI267" s="3"/>
      <c r="AJ267" s="3" t="e">
        <f>_xlfn.XLOOKUP(K267,工作表1!A:A,工作表1!C:C)</f>
        <v>#N/A</v>
      </c>
      <c r="AK267" s="3"/>
      <c r="AL267" s="6">
        <f t="shared" si="65"/>
        <v>0</v>
      </c>
      <c r="AM267" s="6">
        <f t="shared" si="66"/>
        <v>0</v>
      </c>
      <c r="AN267" s="6">
        <f t="shared" si="67"/>
        <v>0</v>
      </c>
      <c r="AO267" s="6">
        <f t="shared" si="68"/>
        <v>0</v>
      </c>
      <c r="AP267" s="6">
        <f t="shared" si="69"/>
        <v>0</v>
      </c>
      <c r="AQ267" s="6">
        <f t="shared" si="70"/>
        <v>0</v>
      </c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  <c r="BC267" s="6"/>
      <c r="BD267" s="6"/>
      <c r="BE267" s="6"/>
      <c r="BF267" s="6"/>
      <c r="BG267" s="6"/>
      <c r="BH267" s="6"/>
      <c r="BI267" s="6"/>
      <c r="BJ267" s="6"/>
      <c r="BK267" s="6"/>
      <c r="BL267" s="6"/>
      <c r="BM267" s="6"/>
      <c r="BN267" s="6"/>
      <c r="BO267" s="6"/>
      <c r="BP267" s="3">
        <v>25</v>
      </c>
      <c r="BQ267" s="6">
        <f t="shared" si="61"/>
        <v>0</v>
      </c>
    </row>
    <row r="268" spans="1:69" x14ac:dyDescent="0.3">
      <c r="A268" s="3" t="s">
        <v>17</v>
      </c>
      <c r="B268" s="3">
        <v>471</v>
      </c>
      <c r="C268" s="3" t="s">
        <v>452</v>
      </c>
      <c r="D268" s="3">
        <v>2</v>
      </c>
      <c r="E268" s="3" t="s">
        <v>19</v>
      </c>
      <c r="F268" s="3" t="s">
        <v>19</v>
      </c>
      <c r="G268" s="3" t="s">
        <v>19</v>
      </c>
      <c r="H268" s="3" t="s">
        <v>340</v>
      </c>
      <c r="I268" s="3"/>
      <c r="J268" s="3" t="s">
        <v>91</v>
      </c>
      <c r="K268" s="3" t="s">
        <v>454</v>
      </c>
      <c r="L268" s="3" t="s">
        <v>335</v>
      </c>
      <c r="M268" s="3">
        <v>20</v>
      </c>
      <c r="N268" s="6"/>
      <c r="O268" s="3">
        <v>5</v>
      </c>
      <c r="P268" s="3">
        <v>5</v>
      </c>
      <c r="Q268" s="3">
        <v>0</v>
      </c>
      <c r="R268" s="3">
        <v>0</v>
      </c>
      <c r="S268" s="3">
        <v>5</v>
      </c>
      <c r="T268" s="3">
        <v>0</v>
      </c>
      <c r="U268" s="3">
        <v>0</v>
      </c>
      <c r="V268" s="3">
        <f t="shared" si="62"/>
        <v>5</v>
      </c>
      <c r="W268" s="3">
        <v>0</v>
      </c>
      <c r="X268" s="3">
        <v>0</v>
      </c>
      <c r="Y268" s="3">
        <v>5</v>
      </c>
      <c r="Z268" s="3">
        <v>0</v>
      </c>
      <c r="AA268" s="3">
        <v>0</v>
      </c>
      <c r="AB268" s="3">
        <f t="shared" si="63"/>
        <v>5</v>
      </c>
      <c r="AC268" s="6">
        <f t="shared" si="56"/>
        <v>0</v>
      </c>
      <c r="AD268" s="6">
        <f t="shared" si="57"/>
        <v>0</v>
      </c>
      <c r="AE268" s="6">
        <f t="shared" si="58"/>
        <v>-5</v>
      </c>
      <c r="AF268" s="6">
        <f t="shared" si="59"/>
        <v>0</v>
      </c>
      <c r="AG268" s="6">
        <f t="shared" si="60"/>
        <v>0</v>
      </c>
      <c r="AH268" s="6">
        <f t="shared" si="64"/>
        <v>-5</v>
      </c>
      <c r="AI268" s="3"/>
      <c r="AJ268" s="3" t="e">
        <f>_xlfn.XLOOKUP(K268,工作表1!A:A,工作表1!C:C)</f>
        <v>#N/A</v>
      </c>
      <c r="AK268" s="3"/>
      <c r="AL268" s="6">
        <f t="shared" si="65"/>
        <v>0</v>
      </c>
      <c r="AM268" s="6">
        <f t="shared" si="66"/>
        <v>0</v>
      </c>
      <c r="AN268" s="6">
        <f t="shared" si="67"/>
        <v>0</v>
      </c>
      <c r="AO268" s="6">
        <f t="shared" si="68"/>
        <v>0</v>
      </c>
      <c r="AP268" s="6">
        <f t="shared" si="69"/>
        <v>0</v>
      </c>
      <c r="AQ268" s="6">
        <f t="shared" si="70"/>
        <v>0</v>
      </c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  <c r="BC268" s="6"/>
      <c r="BD268" s="6"/>
      <c r="BE268" s="6"/>
      <c r="BF268" s="6"/>
      <c r="BG268" s="6"/>
      <c r="BH268" s="6"/>
      <c r="BI268" s="6"/>
      <c r="BJ268" s="6"/>
      <c r="BK268" s="6"/>
      <c r="BL268" s="6"/>
      <c r="BM268" s="6"/>
      <c r="BN268" s="6"/>
      <c r="BO268" s="6"/>
      <c r="BP268" s="3">
        <v>5</v>
      </c>
      <c r="BQ268" s="6">
        <f t="shared" si="61"/>
        <v>0</v>
      </c>
    </row>
    <row r="269" spans="1:69" x14ac:dyDescent="0.3">
      <c r="A269" s="3" t="s">
        <v>17</v>
      </c>
      <c r="B269" s="3">
        <v>471</v>
      </c>
      <c r="C269" s="3" t="s">
        <v>452</v>
      </c>
      <c r="D269" s="3">
        <v>1.5</v>
      </c>
      <c r="E269" s="3" t="s">
        <v>19</v>
      </c>
      <c r="F269" s="3" t="s">
        <v>19</v>
      </c>
      <c r="G269" s="3" t="s">
        <v>19</v>
      </c>
      <c r="H269" s="3" t="s">
        <v>99</v>
      </c>
      <c r="I269" s="3"/>
      <c r="J269" s="3" t="s">
        <v>91</v>
      </c>
      <c r="K269" s="3" t="s">
        <v>455</v>
      </c>
      <c r="L269" s="3" t="s">
        <v>335</v>
      </c>
      <c r="M269" s="3">
        <v>10</v>
      </c>
      <c r="N269" s="6"/>
      <c r="O269" s="3">
        <v>4</v>
      </c>
      <c r="P269" s="3">
        <v>4</v>
      </c>
      <c r="Q269" s="3">
        <v>0</v>
      </c>
      <c r="R269" s="3">
        <v>0</v>
      </c>
      <c r="S269" s="3">
        <v>4</v>
      </c>
      <c r="T269" s="3">
        <v>0</v>
      </c>
      <c r="U269" s="3">
        <v>0</v>
      </c>
      <c r="V269" s="3">
        <f t="shared" si="62"/>
        <v>4</v>
      </c>
      <c r="W269" s="3">
        <v>0</v>
      </c>
      <c r="X269" s="3">
        <v>0</v>
      </c>
      <c r="Y269" s="3">
        <v>4</v>
      </c>
      <c r="Z269" s="3">
        <v>0</v>
      </c>
      <c r="AA269" s="3">
        <v>0</v>
      </c>
      <c r="AB269" s="3">
        <f t="shared" si="63"/>
        <v>4</v>
      </c>
      <c r="AC269" s="6">
        <f t="shared" si="56"/>
        <v>0</v>
      </c>
      <c r="AD269" s="6">
        <f t="shared" si="57"/>
        <v>0</v>
      </c>
      <c r="AE269" s="6">
        <f t="shared" si="58"/>
        <v>-4</v>
      </c>
      <c r="AF269" s="6">
        <f t="shared" si="59"/>
        <v>0</v>
      </c>
      <c r="AG269" s="6">
        <f t="shared" si="60"/>
        <v>0</v>
      </c>
      <c r="AH269" s="6">
        <f t="shared" si="64"/>
        <v>-4</v>
      </c>
      <c r="AI269" s="3"/>
      <c r="AJ269" s="3" t="e">
        <f>_xlfn.XLOOKUP(K269,工作表1!A:A,工作表1!C:C)</f>
        <v>#N/A</v>
      </c>
      <c r="AK269" s="3"/>
      <c r="AL269" s="6">
        <f t="shared" si="65"/>
        <v>0</v>
      </c>
      <c r="AM269" s="6">
        <f t="shared" si="66"/>
        <v>0</v>
      </c>
      <c r="AN269" s="6">
        <f t="shared" si="67"/>
        <v>0</v>
      </c>
      <c r="AO269" s="6">
        <f t="shared" si="68"/>
        <v>0</v>
      </c>
      <c r="AP269" s="6">
        <f t="shared" si="69"/>
        <v>0</v>
      </c>
      <c r="AQ269" s="6">
        <f t="shared" si="70"/>
        <v>0</v>
      </c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  <c r="BC269" s="6"/>
      <c r="BD269" s="6"/>
      <c r="BE269" s="6"/>
      <c r="BF269" s="6"/>
      <c r="BG269" s="6"/>
      <c r="BH269" s="6"/>
      <c r="BI269" s="6"/>
      <c r="BJ269" s="6"/>
      <c r="BK269" s="6"/>
      <c r="BL269" s="6"/>
      <c r="BM269" s="6"/>
      <c r="BN269" s="6"/>
      <c r="BO269" s="6"/>
      <c r="BP269" s="3">
        <v>4</v>
      </c>
      <c r="BQ269" s="6">
        <f t="shared" si="61"/>
        <v>0</v>
      </c>
    </row>
    <row r="270" spans="1:69" x14ac:dyDescent="0.3">
      <c r="A270" s="3" t="s">
        <v>17</v>
      </c>
      <c r="B270" s="3">
        <v>471</v>
      </c>
      <c r="C270" s="3" t="s">
        <v>457</v>
      </c>
      <c r="D270" s="3">
        <v>2</v>
      </c>
      <c r="E270" s="3" t="s">
        <v>19</v>
      </c>
      <c r="F270" s="3" t="s">
        <v>19</v>
      </c>
      <c r="G270" s="3" t="s">
        <v>19</v>
      </c>
      <c r="H270" s="3" t="s">
        <v>340</v>
      </c>
      <c r="I270" s="3"/>
      <c r="J270" s="3" t="s">
        <v>91</v>
      </c>
      <c r="K270" s="3" t="s">
        <v>458</v>
      </c>
      <c r="L270" s="3" t="s">
        <v>335</v>
      </c>
      <c r="M270" s="3">
        <v>43</v>
      </c>
      <c r="N270" s="6"/>
      <c r="O270" s="3">
        <v>3</v>
      </c>
      <c r="P270" s="3">
        <v>3</v>
      </c>
      <c r="Q270" s="3">
        <v>0</v>
      </c>
      <c r="R270" s="3">
        <v>0</v>
      </c>
      <c r="S270" s="3">
        <v>3</v>
      </c>
      <c r="T270" s="3">
        <v>0</v>
      </c>
      <c r="U270" s="3">
        <v>0</v>
      </c>
      <c r="V270" s="3">
        <f t="shared" si="62"/>
        <v>3</v>
      </c>
      <c r="W270" s="3">
        <v>0</v>
      </c>
      <c r="X270" s="3">
        <v>0</v>
      </c>
      <c r="Y270" s="3">
        <v>3</v>
      </c>
      <c r="Z270" s="3">
        <v>0</v>
      </c>
      <c r="AA270" s="3">
        <v>0</v>
      </c>
      <c r="AB270" s="3">
        <f t="shared" si="63"/>
        <v>3</v>
      </c>
      <c r="AC270" s="6">
        <f t="shared" si="56"/>
        <v>0</v>
      </c>
      <c r="AD270" s="6">
        <f t="shared" si="57"/>
        <v>0</v>
      </c>
      <c r="AE270" s="6">
        <f t="shared" si="58"/>
        <v>-3</v>
      </c>
      <c r="AF270" s="6">
        <f t="shared" si="59"/>
        <v>0</v>
      </c>
      <c r="AG270" s="6">
        <f t="shared" si="60"/>
        <v>0</v>
      </c>
      <c r="AH270" s="6">
        <f t="shared" si="64"/>
        <v>-3</v>
      </c>
      <c r="AI270" s="3"/>
      <c r="AJ270" s="3" t="e">
        <f>_xlfn.XLOOKUP(K270,工作表1!A:A,工作表1!C:C)</f>
        <v>#N/A</v>
      </c>
      <c r="AK270" s="3"/>
      <c r="AL270" s="6">
        <f t="shared" si="65"/>
        <v>0</v>
      </c>
      <c r="AM270" s="6">
        <f t="shared" si="66"/>
        <v>0</v>
      </c>
      <c r="AN270" s="6">
        <f t="shared" si="67"/>
        <v>0</v>
      </c>
      <c r="AO270" s="6">
        <f t="shared" si="68"/>
        <v>0</v>
      </c>
      <c r="AP270" s="6">
        <f t="shared" si="69"/>
        <v>0</v>
      </c>
      <c r="AQ270" s="6">
        <f t="shared" si="70"/>
        <v>0</v>
      </c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  <c r="BC270" s="6"/>
      <c r="BD270" s="6"/>
      <c r="BE270" s="6"/>
      <c r="BF270" s="6"/>
      <c r="BG270" s="6"/>
      <c r="BH270" s="6"/>
      <c r="BI270" s="6"/>
      <c r="BJ270" s="6"/>
      <c r="BK270" s="6"/>
      <c r="BL270" s="6"/>
      <c r="BM270" s="6"/>
      <c r="BN270" s="6"/>
      <c r="BO270" s="6"/>
      <c r="BP270" s="3">
        <v>3</v>
      </c>
      <c r="BQ270" s="6">
        <f t="shared" si="61"/>
        <v>0</v>
      </c>
    </row>
    <row r="271" spans="1:69" x14ac:dyDescent="0.3">
      <c r="A271" s="3" t="s">
        <v>17</v>
      </c>
      <c r="B271" s="3">
        <v>471</v>
      </c>
      <c r="C271" s="3" t="s">
        <v>457</v>
      </c>
      <c r="D271" s="3">
        <v>1</v>
      </c>
      <c r="E271" s="3" t="s">
        <v>19</v>
      </c>
      <c r="F271" s="3" t="s">
        <v>19</v>
      </c>
      <c r="G271" s="3" t="s">
        <v>19</v>
      </c>
      <c r="H271" s="3" t="s">
        <v>101</v>
      </c>
      <c r="I271" s="3"/>
      <c r="J271" s="3" t="s">
        <v>91</v>
      </c>
      <c r="K271" s="3" t="s">
        <v>459</v>
      </c>
      <c r="L271" s="3" t="s">
        <v>335</v>
      </c>
      <c r="M271" s="3">
        <v>31</v>
      </c>
      <c r="N271" s="6"/>
      <c r="O271" s="3">
        <v>6</v>
      </c>
      <c r="P271" s="3">
        <v>6</v>
      </c>
      <c r="Q271" s="3">
        <v>0</v>
      </c>
      <c r="R271" s="3">
        <v>0</v>
      </c>
      <c r="S271" s="3">
        <v>6</v>
      </c>
      <c r="T271" s="3">
        <v>0</v>
      </c>
      <c r="U271" s="3">
        <v>0</v>
      </c>
      <c r="V271" s="3">
        <f t="shared" si="62"/>
        <v>6</v>
      </c>
      <c r="W271" s="3">
        <v>0</v>
      </c>
      <c r="X271" s="3">
        <v>0</v>
      </c>
      <c r="Y271" s="3">
        <v>6</v>
      </c>
      <c r="Z271" s="3">
        <v>0</v>
      </c>
      <c r="AA271" s="3">
        <v>0</v>
      </c>
      <c r="AB271" s="3">
        <f t="shared" si="63"/>
        <v>6</v>
      </c>
      <c r="AC271" s="6">
        <f t="shared" si="56"/>
        <v>0</v>
      </c>
      <c r="AD271" s="6">
        <f t="shared" si="57"/>
        <v>0</v>
      </c>
      <c r="AE271" s="6">
        <f t="shared" si="58"/>
        <v>-6</v>
      </c>
      <c r="AF271" s="6">
        <f t="shared" si="59"/>
        <v>0</v>
      </c>
      <c r="AG271" s="6">
        <f t="shared" si="60"/>
        <v>0</v>
      </c>
      <c r="AH271" s="6">
        <f t="shared" si="64"/>
        <v>-6</v>
      </c>
      <c r="AI271" s="3"/>
      <c r="AJ271" s="3" t="e">
        <f>_xlfn.XLOOKUP(K271,工作表1!A:A,工作表1!C:C)</f>
        <v>#N/A</v>
      </c>
      <c r="AK271" s="3"/>
      <c r="AL271" s="6">
        <f t="shared" si="65"/>
        <v>0</v>
      </c>
      <c r="AM271" s="6">
        <f t="shared" si="66"/>
        <v>0</v>
      </c>
      <c r="AN271" s="6">
        <f t="shared" si="67"/>
        <v>0</v>
      </c>
      <c r="AO271" s="6">
        <f t="shared" si="68"/>
        <v>0</v>
      </c>
      <c r="AP271" s="6">
        <f t="shared" si="69"/>
        <v>0</v>
      </c>
      <c r="AQ271" s="6">
        <f t="shared" si="70"/>
        <v>0</v>
      </c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  <c r="BC271" s="6"/>
      <c r="BD271" s="6"/>
      <c r="BE271" s="6"/>
      <c r="BF271" s="6"/>
      <c r="BG271" s="6"/>
      <c r="BH271" s="6"/>
      <c r="BI271" s="6"/>
      <c r="BJ271" s="6"/>
      <c r="BK271" s="6"/>
      <c r="BL271" s="6"/>
      <c r="BM271" s="6"/>
      <c r="BN271" s="6"/>
      <c r="BO271" s="6"/>
      <c r="BP271" s="3">
        <v>6</v>
      </c>
      <c r="BQ271" s="6">
        <f t="shared" si="61"/>
        <v>0</v>
      </c>
    </row>
    <row r="272" spans="1:69" x14ac:dyDescent="0.3">
      <c r="A272" s="3" t="s">
        <v>17</v>
      </c>
      <c r="B272" s="3">
        <v>471</v>
      </c>
      <c r="C272" s="3" t="s">
        <v>457</v>
      </c>
      <c r="D272" s="3">
        <v>0.75</v>
      </c>
      <c r="E272" s="3" t="s">
        <v>19</v>
      </c>
      <c r="F272" s="3" t="s">
        <v>19</v>
      </c>
      <c r="G272" s="3" t="s">
        <v>19</v>
      </c>
      <c r="H272" s="3" t="s">
        <v>103</v>
      </c>
      <c r="I272" s="3"/>
      <c r="J272" s="3" t="s">
        <v>91</v>
      </c>
      <c r="K272" s="3" t="s">
        <v>460</v>
      </c>
      <c r="L272" s="3" t="s">
        <v>335</v>
      </c>
      <c r="M272" s="3">
        <v>82</v>
      </c>
      <c r="N272" s="6"/>
      <c r="O272" s="3">
        <v>2</v>
      </c>
      <c r="P272" s="3">
        <v>2</v>
      </c>
      <c r="Q272" s="3">
        <v>0</v>
      </c>
      <c r="R272" s="3">
        <v>0</v>
      </c>
      <c r="S272" s="3">
        <v>2</v>
      </c>
      <c r="T272" s="3">
        <v>0</v>
      </c>
      <c r="U272" s="3">
        <v>0</v>
      </c>
      <c r="V272" s="3">
        <f t="shared" si="62"/>
        <v>2</v>
      </c>
      <c r="W272" s="3">
        <v>0</v>
      </c>
      <c r="X272" s="3">
        <v>0</v>
      </c>
      <c r="Y272" s="3">
        <v>2</v>
      </c>
      <c r="Z272" s="3">
        <v>0</v>
      </c>
      <c r="AA272" s="3">
        <v>0</v>
      </c>
      <c r="AB272" s="3">
        <f t="shared" si="63"/>
        <v>2</v>
      </c>
      <c r="AC272" s="6">
        <f t="shared" si="56"/>
        <v>0</v>
      </c>
      <c r="AD272" s="6">
        <f t="shared" si="57"/>
        <v>0</v>
      </c>
      <c r="AE272" s="6">
        <f t="shared" si="58"/>
        <v>-2</v>
      </c>
      <c r="AF272" s="6">
        <f t="shared" si="59"/>
        <v>0</v>
      </c>
      <c r="AG272" s="6">
        <f t="shared" si="60"/>
        <v>0</v>
      </c>
      <c r="AH272" s="6">
        <f t="shared" si="64"/>
        <v>-2</v>
      </c>
      <c r="AI272" s="3"/>
      <c r="AJ272" s="3" t="e">
        <f>_xlfn.XLOOKUP(K272,工作表1!A:A,工作表1!C:C)</f>
        <v>#N/A</v>
      </c>
      <c r="AK272" s="3"/>
      <c r="AL272" s="6">
        <f t="shared" si="65"/>
        <v>0</v>
      </c>
      <c r="AM272" s="6">
        <f t="shared" si="66"/>
        <v>0</v>
      </c>
      <c r="AN272" s="6">
        <f t="shared" si="67"/>
        <v>0</v>
      </c>
      <c r="AO272" s="6">
        <f t="shared" si="68"/>
        <v>0</v>
      </c>
      <c r="AP272" s="6">
        <f t="shared" si="69"/>
        <v>0</v>
      </c>
      <c r="AQ272" s="6">
        <f t="shared" si="70"/>
        <v>0</v>
      </c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  <c r="BC272" s="6"/>
      <c r="BD272" s="6"/>
      <c r="BE272" s="6"/>
      <c r="BF272" s="6"/>
      <c r="BG272" s="6"/>
      <c r="BH272" s="6"/>
      <c r="BI272" s="6"/>
      <c r="BJ272" s="6"/>
      <c r="BK272" s="6"/>
      <c r="BL272" s="6"/>
      <c r="BM272" s="6"/>
      <c r="BN272" s="6"/>
      <c r="BO272" s="6"/>
      <c r="BP272" s="3">
        <v>2</v>
      </c>
      <c r="BQ272" s="6">
        <f t="shared" si="61"/>
        <v>0</v>
      </c>
    </row>
    <row r="273" spans="1:69" x14ac:dyDescent="0.3">
      <c r="A273" s="3" t="s">
        <v>17</v>
      </c>
      <c r="B273" s="3">
        <v>471</v>
      </c>
      <c r="C273" s="3" t="s">
        <v>461</v>
      </c>
      <c r="D273" s="3">
        <v>0.5</v>
      </c>
      <c r="E273" s="3" t="s">
        <v>19</v>
      </c>
      <c r="F273" s="3" t="s">
        <v>19</v>
      </c>
      <c r="G273" s="3" t="s">
        <v>19</v>
      </c>
      <c r="H273" s="3" t="s">
        <v>105</v>
      </c>
      <c r="I273" s="3"/>
      <c r="J273" s="3" t="s">
        <v>91</v>
      </c>
      <c r="K273" s="3" t="s">
        <v>462</v>
      </c>
      <c r="L273" s="3" t="s">
        <v>335</v>
      </c>
      <c r="M273" s="3">
        <v>101</v>
      </c>
      <c r="N273" s="6"/>
      <c r="O273" s="3">
        <v>18</v>
      </c>
      <c r="P273" s="3">
        <v>18</v>
      </c>
      <c r="Q273" s="3">
        <v>0</v>
      </c>
      <c r="R273" s="3">
        <v>0</v>
      </c>
      <c r="S273" s="3">
        <v>6</v>
      </c>
      <c r="T273" s="3">
        <v>12</v>
      </c>
      <c r="U273" s="3">
        <v>0</v>
      </c>
      <c r="V273" s="3">
        <f t="shared" si="62"/>
        <v>18</v>
      </c>
      <c r="W273" s="3">
        <v>0</v>
      </c>
      <c r="X273" s="3">
        <v>0</v>
      </c>
      <c r="Y273" s="3">
        <v>6</v>
      </c>
      <c r="Z273" s="3">
        <v>12</v>
      </c>
      <c r="AA273" s="3">
        <v>0</v>
      </c>
      <c r="AB273" s="3">
        <f t="shared" si="63"/>
        <v>18</v>
      </c>
      <c r="AC273" s="6">
        <f t="shared" si="56"/>
        <v>0</v>
      </c>
      <c r="AD273" s="6">
        <f t="shared" si="57"/>
        <v>0</v>
      </c>
      <c r="AE273" s="6">
        <f t="shared" si="58"/>
        <v>-6</v>
      </c>
      <c r="AF273" s="6">
        <f t="shared" si="59"/>
        <v>-12</v>
      </c>
      <c r="AG273" s="6">
        <f t="shared" si="60"/>
        <v>0</v>
      </c>
      <c r="AH273" s="6">
        <f t="shared" si="64"/>
        <v>-18</v>
      </c>
      <c r="AI273" s="3"/>
      <c r="AJ273" s="3" t="e">
        <f>_xlfn.XLOOKUP(K273,工作表1!A:A,工作表1!C:C)</f>
        <v>#N/A</v>
      </c>
      <c r="AK273" s="3"/>
      <c r="AL273" s="6">
        <f t="shared" si="65"/>
        <v>0</v>
      </c>
      <c r="AM273" s="6">
        <f t="shared" si="66"/>
        <v>0</v>
      </c>
      <c r="AN273" s="6">
        <f t="shared" si="67"/>
        <v>0</v>
      </c>
      <c r="AO273" s="6">
        <f t="shared" si="68"/>
        <v>0</v>
      </c>
      <c r="AP273" s="6">
        <f t="shared" si="69"/>
        <v>0</v>
      </c>
      <c r="AQ273" s="6">
        <f t="shared" si="70"/>
        <v>0</v>
      </c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  <c r="BC273" s="6"/>
      <c r="BD273" s="6"/>
      <c r="BE273" s="6"/>
      <c r="BF273" s="6"/>
      <c r="BG273" s="6"/>
      <c r="BH273" s="6"/>
      <c r="BI273" s="6"/>
      <c r="BJ273" s="6"/>
      <c r="BK273" s="6"/>
      <c r="BL273" s="6"/>
      <c r="BM273" s="6"/>
      <c r="BN273" s="6"/>
      <c r="BO273" s="6"/>
      <c r="BP273" s="3">
        <v>18</v>
      </c>
      <c r="BQ273" s="6">
        <f t="shared" si="61"/>
        <v>0</v>
      </c>
    </row>
    <row r="274" spans="1:69" x14ac:dyDescent="0.3">
      <c r="A274" s="3" t="s">
        <v>17</v>
      </c>
      <c r="B274" s="3">
        <v>471</v>
      </c>
      <c r="C274" s="3" t="s">
        <v>463</v>
      </c>
      <c r="D274" s="3">
        <v>4</v>
      </c>
      <c r="E274" s="3" t="s">
        <v>19</v>
      </c>
      <c r="F274" s="3" t="s">
        <v>19</v>
      </c>
      <c r="G274" s="3" t="s">
        <v>19</v>
      </c>
      <c r="H274" s="3" t="s">
        <v>336</v>
      </c>
      <c r="I274" s="3"/>
      <c r="J274" s="3" t="s">
        <v>91</v>
      </c>
      <c r="K274" s="3" t="s">
        <v>464</v>
      </c>
      <c r="L274" s="3" t="s">
        <v>335</v>
      </c>
      <c r="M274" s="3">
        <v>3</v>
      </c>
      <c r="N274" s="6"/>
      <c r="O274" s="3">
        <v>4</v>
      </c>
      <c r="P274" s="3">
        <v>4</v>
      </c>
      <c r="Q274" s="3">
        <v>0</v>
      </c>
      <c r="R274" s="3">
        <v>0</v>
      </c>
      <c r="S274" s="3">
        <v>4</v>
      </c>
      <c r="T274" s="3">
        <v>0</v>
      </c>
      <c r="U274" s="3">
        <v>0</v>
      </c>
      <c r="V274" s="3">
        <f t="shared" si="62"/>
        <v>4</v>
      </c>
      <c r="W274" s="3">
        <v>0</v>
      </c>
      <c r="X274" s="3">
        <v>0</v>
      </c>
      <c r="Y274" s="3">
        <v>4</v>
      </c>
      <c r="Z274" s="3">
        <v>0</v>
      </c>
      <c r="AA274" s="3">
        <v>0</v>
      </c>
      <c r="AB274" s="3">
        <f t="shared" si="63"/>
        <v>4</v>
      </c>
      <c r="AC274" s="6">
        <f t="shared" si="56"/>
        <v>0</v>
      </c>
      <c r="AD274" s="6">
        <f t="shared" si="57"/>
        <v>0</v>
      </c>
      <c r="AE274" s="6">
        <f t="shared" si="58"/>
        <v>-4</v>
      </c>
      <c r="AF274" s="6">
        <f t="shared" si="59"/>
        <v>0</v>
      </c>
      <c r="AG274" s="6">
        <f t="shared" si="60"/>
        <v>0</v>
      </c>
      <c r="AH274" s="6">
        <f t="shared" si="64"/>
        <v>-4</v>
      </c>
      <c r="AI274" s="3"/>
      <c r="AJ274" s="3" t="e">
        <f>_xlfn.XLOOKUP(K274,工作表1!A:A,工作表1!C:C)</f>
        <v>#N/A</v>
      </c>
      <c r="AK274" s="3"/>
      <c r="AL274" s="6">
        <f t="shared" si="65"/>
        <v>0</v>
      </c>
      <c r="AM274" s="6">
        <f t="shared" si="66"/>
        <v>0</v>
      </c>
      <c r="AN274" s="6">
        <f t="shared" si="67"/>
        <v>0</v>
      </c>
      <c r="AO274" s="6">
        <f t="shared" si="68"/>
        <v>0</v>
      </c>
      <c r="AP274" s="6">
        <f t="shared" si="69"/>
        <v>0</v>
      </c>
      <c r="AQ274" s="6">
        <f t="shared" si="70"/>
        <v>0</v>
      </c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  <c r="BC274" s="6"/>
      <c r="BD274" s="6"/>
      <c r="BE274" s="6"/>
      <c r="BF274" s="6"/>
      <c r="BG274" s="6"/>
      <c r="BH274" s="6"/>
      <c r="BI274" s="6"/>
      <c r="BJ274" s="6"/>
      <c r="BK274" s="6"/>
      <c r="BL274" s="6"/>
      <c r="BM274" s="6"/>
      <c r="BN274" s="6"/>
      <c r="BO274" s="6"/>
      <c r="BP274" s="3">
        <v>4</v>
      </c>
      <c r="BQ274" s="6">
        <f t="shared" si="61"/>
        <v>0</v>
      </c>
    </row>
    <row r="275" spans="1:69" x14ac:dyDescent="0.3">
      <c r="A275" s="3" t="s">
        <v>17</v>
      </c>
      <c r="B275" s="3">
        <v>471</v>
      </c>
      <c r="C275" s="3" t="s">
        <v>463</v>
      </c>
      <c r="D275" s="3">
        <v>1</v>
      </c>
      <c r="E275" s="3" t="s">
        <v>19</v>
      </c>
      <c r="F275" s="3" t="s">
        <v>19</v>
      </c>
      <c r="G275" s="3" t="s">
        <v>19</v>
      </c>
      <c r="H275" s="3" t="s">
        <v>101</v>
      </c>
      <c r="I275" s="3"/>
      <c r="J275" s="3" t="s">
        <v>91</v>
      </c>
      <c r="K275" s="3" t="s">
        <v>465</v>
      </c>
      <c r="L275" s="3" t="s">
        <v>335</v>
      </c>
      <c r="M275" s="3">
        <v>0</v>
      </c>
      <c r="N275" s="6"/>
      <c r="O275" s="3">
        <v>12</v>
      </c>
      <c r="P275" s="3">
        <v>12</v>
      </c>
      <c r="Q275" s="3">
        <v>0</v>
      </c>
      <c r="R275" s="3">
        <v>0</v>
      </c>
      <c r="S275" s="3">
        <v>1</v>
      </c>
      <c r="T275" s="3">
        <v>11</v>
      </c>
      <c r="U275" s="3">
        <v>0</v>
      </c>
      <c r="V275" s="3">
        <f t="shared" si="62"/>
        <v>12</v>
      </c>
      <c r="W275" s="3">
        <v>0</v>
      </c>
      <c r="X275" s="3">
        <v>0</v>
      </c>
      <c r="Y275" s="3">
        <v>1</v>
      </c>
      <c r="Z275" s="3">
        <v>11</v>
      </c>
      <c r="AA275" s="3">
        <v>0</v>
      </c>
      <c r="AB275" s="3">
        <f t="shared" si="63"/>
        <v>12</v>
      </c>
      <c r="AC275" s="6">
        <f t="shared" si="56"/>
        <v>0</v>
      </c>
      <c r="AD275" s="6">
        <f t="shared" si="57"/>
        <v>0</v>
      </c>
      <c r="AE275" s="6">
        <f t="shared" si="58"/>
        <v>-1</v>
      </c>
      <c r="AF275" s="6">
        <f t="shared" si="59"/>
        <v>-11</v>
      </c>
      <c r="AG275" s="6">
        <f t="shared" si="60"/>
        <v>0</v>
      </c>
      <c r="AH275" s="6">
        <f t="shared" si="64"/>
        <v>-12</v>
      </c>
      <c r="AI275" s="3"/>
      <c r="AJ275" s="3" t="e">
        <f>_xlfn.XLOOKUP(K275,工作表1!A:A,工作表1!C:C)</f>
        <v>#N/A</v>
      </c>
      <c r="AK275" s="3"/>
      <c r="AL275" s="6">
        <f t="shared" si="65"/>
        <v>0</v>
      </c>
      <c r="AM275" s="6">
        <f t="shared" si="66"/>
        <v>0</v>
      </c>
      <c r="AN275" s="6">
        <f t="shared" si="67"/>
        <v>0</v>
      </c>
      <c r="AO275" s="6">
        <f t="shared" si="68"/>
        <v>0</v>
      </c>
      <c r="AP275" s="6">
        <f t="shared" si="69"/>
        <v>0</v>
      </c>
      <c r="AQ275" s="6">
        <f t="shared" si="70"/>
        <v>0</v>
      </c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  <c r="BC275" s="6"/>
      <c r="BD275" s="6"/>
      <c r="BE275" s="6"/>
      <c r="BF275" s="6"/>
      <c r="BG275" s="6"/>
      <c r="BH275" s="6"/>
      <c r="BI275" s="6"/>
      <c r="BJ275" s="6"/>
      <c r="BK275" s="6"/>
      <c r="BL275" s="6"/>
      <c r="BM275" s="6"/>
      <c r="BN275" s="6"/>
      <c r="BO275" s="6"/>
      <c r="BP275" s="3">
        <v>12</v>
      </c>
      <c r="BQ275" s="6">
        <f t="shared" si="61"/>
        <v>0</v>
      </c>
    </row>
    <row r="276" spans="1:69" x14ac:dyDescent="0.3">
      <c r="A276" s="3" t="s">
        <v>17</v>
      </c>
      <c r="B276" s="3">
        <v>471</v>
      </c>
      <c r="C276" s="3" t="s">
        <v>466</v>
      </c>
      <c r="D276" s="3">
        <v>8</v>
      </c>
      <c r="E276" s="3" t="s">
        <v>19</v>
      </c>
      <c r="F276" s="3" t="s">
        <v>19</v>
      </c>
      <c r="G276" s="3" t="s">
        <v>19</v>
      </c>
      <c r="H276" s="3" t="s">
        <v>348</v>
      </c>
      <c r="I276" s="3"/>
      <c r="J276" s="3" t="s">
        <v>91</v>
      </c>
      <c r="K276" s="3" t="s">
        <v>467</v>
      </c>
      <c r="L276" s="3" t="s">
        <v>335</v>
      </c>
      <c r="M276" s="3">
        <v>62</v>
      </c>
      <c r="N276" s="6"/>
      <c r="O276" s="3">
        <v>17</v>
      </c>
      <c r="P276" s="3">
        <v>17</v>
      </c>
      <c r="Q276" s="3">
        <v>0</v>
      </c>
      <c r="R276" s="3">
        <v>0</v>
      </c>
      <c r="S276" s="3">
        <v>0</v>
      </c>
      <c r="T276" s="3">
        <v>17</v>
      </c>
      <c r="U276" s="3">
        <v>0</v>
      </c>
      <c r="V276" s="3">
        <f t="shared" si="62"/>
        <v>17</v>
      </c>
      <c r="W276" s="3">
        <v>0</v>
      </c>
      <c r="X276" s="3">
        <v>0</v>
      </c>
      <c r="Y276" s="3">
        <v>0</v>
      </c>
      <c r="Z276" s="3">
        <v>17</v>
      </c>
      <c r="AA276" s="3">
        <v>0</v>
      </c>
      <c r="AB276" s="3">
        <f t="shared" si="63"/>
        <v>17</v>
      </c>
      <c r="AC276" s="6">
        <f t="shared" si="56"/>
        <v>0</v>
      </c>
      <c r="AD276" s="6">
        <f t="shared" si="57"/>
        <v>0</v>
      </c>
      <c r="AE276" s="6">
        <f t="shared" si="58"/>
        <v>0</v>
      </c>
      <c r="AF276" s="6">
        <f t="shared" si="59"/>
        <v>-17</v>
      </c>
      <c r="AG276" s="6">
        <f t="shared" si="60"/>
        <v>0</v>
      </c>
      <c r="AH276" s="6">
        <f t="shared" si="64"/>
        <v>-17</v>
      </c>
      <c r="AI276" s="3"/>
      <c r="AJ276" s="3" t="e">
        <f>_xlfn.XLOOKUP(K276,工作表1!A:A,工作表1!C:C)</f>
        <v>#N/A</v>
      </c>
      <c r="AK276" s="3"/>
      <c r="AL276" s="6">
        <f t="shared" si="65"/>
        <v>0</v>
      </c>
      <c r="AM276" s="6">
        <f t="shared" si="66"/>
        <v>0</v>
      </c>
      <c r="AN276" s="6">
        <f t="shared" si="67"/>
        <v>0</v>
      </c>
      <c r="AO276" s="6">
        <f t="shared" si="68"/>
        <v>0</v>
      </c>
      <c r="AP276" s="6">
        <f t="shared" si="69"/>
        <v>0</v>
      </c>
      <c r="AQ276" s="6">
        <f t="shared" si="70"/>
        <v>0</v>
      </c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  <c r="BC276" s="6"/>
      <c r="BD276" s="6"/>
      <c r="BE276" s="6"/>
      <c r="BF276" s="6"/>
      <c r="BG276" s="6"/>
      <c r="BH276" s="6"/>
      <c r="BI276" s="6"/>
      <c r="BJ276" s="6"/>
      <c r="BK276" s="6"/>
      <c r="BL276" s="6"/>
      <c r="BM276" s="6"/>
      <c r="BN276" s="6"/>
      <c r="BO276" s="6"/>
      <c r="BP276" s="3">
        <v>17</v>
      </c>
      <c r="BQ276" s="6">
        <f t="shared" si="61"/>
        <v>0</v>
      </c>
    </row>
    <row r="277" spans="1:69" x14ac:dyDescent="0.3">
      <c r="A277" s="3" t="s">
        <v>17</v>
      </c>
      <c r="B277" s="3">
        <v>471</v>
      </c>
      <c r="C277" s="3" t="s">
        <v>466</v>
      </c>
      <c r="D277" s="3">
        <v>6</v>
      </c>
      <c r="E277" s="3" t="s">
        <v>19</v>
      </c>
      <c r="F277" s="3" t="s">
        <v>19</v>
      </c>
      <c r="G277" s="3" t="s">
        <v>19</v>
      </c>
      <c r="H277" s="3" t="s">
        <v>443</v>
      </c>
      <c r="I277" s="3"/>
      <c r="J277" s="3" t="s">
        <v>91</v>
      </c>
      <c r="K277" s="3" t="s">
        <v>468</v>
      </c>
      <c r="L277" s="3" t="s">
        <v>335</v>
      </c>
      <c r="M277" s="3">
        <v>64</v>
      </c>
      <c r="N277" s="6"/>
      <c r="O277" s="3">
        <v>20</v>
      </c>
      <c r="P277" s="3">
        <v>20</v>
      </c>
      <c r="Q277" s="3">
        <v>0</v>
      </c>
      <c r="R277" s="3">
        <v>0</v>
      </c>
      <c r="S277" s="3">
        <v>2</v>
      </c>
      <c r="T277" s="3">
        <v>18</v>
      </c>
      <c r="U277" s="3">
        <v>0</v>
      </c>
      <c r="V277" s="3">
        <f t="shared" si="62"/>
        <v>20</v>
      </c>
      <c r="W277" s="3">
        <v>0</v>
      </c>
      <c r="X277" s="3">
        <v>0</v>
      </c>
      <c r="Y277" s="3">
        <v>2</v>
      </c>
      <c r="Z277" s="3">
        <v>18</v>
      </c>
      <c r="AA277" s="3">
        <v>0</v>
      </c>
      <c r="AB277" s="3">
        <f t="shared" si="63"/>
        <v>20</v>
      </c>
      <c r="AC277" s="6">
        <f t="shared" si="56"/>
        <v>0</v>
      </c>
      <c r="AD277" s="6">
        <f t="shared" si="57"/>
        <v>0</v>
      </c>
      <c r="AE277" s="6">
        <f t="shared" si="58"/>
        <v>-2</v>
      </c>
      <c r="AF277" s="6">
        <f t="shared" si="59"/>
        <v>-18</v>
      </c>
      <c r="AG277" s="6">
        <f t="shared" si="60"/>
        <v>0</v>
      </c>
      <c r="AH277" s="6">
        <f t="shared" si="64"/>
        <v>-20</v>
      </c>
      <c r="AI277" s="3"/>
      <c r="AJ277" s="3" t="e">
        <f>_xlfn.XLOOKUP(K277,工作表1!A:A,工作表1!C:C)</f>
        <v>#N/A</v>
      </c>
      <c r="AK277" s="3"/>
      <c r="AL277" s="6">
        <f t="shared" si="65"/>
        <v>0</v>
      </c>
      <c r="AM277" s="6">
        <f t="shared" si="66"/>
        <v>0</v>
      </c>
      <c r="AN277" s="6">
        <f t="shared" si="67"/>
        <v>0</v>
      </c>
      <c r="AO277" s="6">
        <f t="shared" si="68"/>
        <v>0</v>
      </c>
      <c r="AP277" s="6">
        <f t="shared" si="69"/>
        <v>0</v>
      </c>
      <c r="AQ277" s="6">
        <f t="shared" si="70"/>
        <v>0</v>
      </c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  <c r="BC277" s="6"/>
      <c r="BD277" s="6"/>
      <c r="BE277" s="6"/>
      <c r="BF277" s="6"/>
      <c r="BG277" s="6"/>
      <c r="BH277" s="6"/>
      <c r="BI277" s="6"/>
      <c r="BJ277" s="6"/>
      <c r="BK277" s="6"/>
      <c r="BL277" s="6"/>
      <c r="BM277" s="6"/>
      <c r="BN277" s="6"/>
      <c r="BO277" s="6"/>
      <c r="BP277" s="3">
        <v>20</v>
      </c>
      <c r="BQ277" s="6">
        <f t="shared" si="61"/>
        <v>0</v>
      </c>
    </row>
    <row r="278" spans="1:69" x14ac:dyDescent="0.3">
      <c r="A278" s="3" t="s">
        <v>17</v>
      </c>
      <c r="B278" s="3">
        <v>471</v>
      </c>
      <c r="C278" s="3" t="s">
        <v>466</v>
      </c>
      <c r="D278" s="3">
        <v>4</v>
      </c>
      <c r="E278" s="3" t="s">
        <v>19</v>
      </c>
      <c r="F278" s="3" t="s">
        <v>19</v>
      </c>
      <c r="G278" s="3" t="s">
        <v>19</v>
      </c>
      <c r="H278" s="3" t="s">
        <v>336</v>
      </c>
      <c r="I278" s="3"/>
      <c r="J278" s="3" t="s">
        <v>91</v>
      </c>
      <c r="K278" s="3" t="s">
        <v>469</v>
      </c>
      <c r="L278" s="3" t="s">
        <v>335</v>
      </c>
      <c r="M278" s="3">
        <v>70</v>
      </c>
      <c r="N278" s="6"/>
      <c r="O278" s="3">
        <v>21</v>
      </c>
      <c r="P278" s="3">
        <v>21</v>
      </c>
      <c r="Q278" s="3">
        <v>0</v>
      </c>
      <c r="R278" s="3">
        <v>0</v>
      </c>
      <c r="S278" s="3">
        <v>0</v>
      </c>
      <c r="T278" s="3">
        <v>21</v>
      </c>
      <c r="U278" s="3">
        <v>0</v>
      </c>
      <c r="V278" s="3">
        <f t="shared" si="62"/>
        <v>21</v>
      </c>
      <c r="W278" s="3">
        <v>0</v>
      </c>
      <c r="X278" s="3">
        <v>0</v>
      </c>
      <c r="Y278" s="3">
        <v>0</v>
      </c>
      <c r="Z278" s="3">
        <v>21</v>
      </c>
      <c r="AA278" s="3">
        <v>0</v>
      </c>
      <c r="AB278" s="3">
        <f t="shared" si="63"/>
        <v>21</v>
      </c>
      <c r="AC278" s="6">
        <f t="shared" si="56"/>
        <v>0</v>
      </c>
      <c r="AD278" s="6">
        <f t="shared" si="57"/>
        <v>0</v>
      </c>
      <c r="AE278" s="6">
        <f t="shared" si="58"/>
        <v>0</v>
      </c>
      <c r="AF278" s="6">
        <f t="shared" si="59"/>
        <v>-21</v>
      </c>
      <c r="AG278" s="6">
        <f t="shared" si="60"/>
        <v>0</v>
      </c>
      <c r="AH278" s="6">
        <f t="shared" si="64"/>
        <v>-21</v>
      </c>
      <c r="AI278" s="3"/>
      <c r="AJ278" s="3" t="e">
        <f>_xlfn.XLOOKUP(K278,工作表1!A:A,工作表1!C:C)</f>
        <v>#N/A</v>
      </c>
      <c r="AK278" s="3"/>
      <c r="AL278" s="6">
        <f t="shared" si="65"/>
        <v>0</v>
      </c>
      <c r="AM278" s="6">
        <f t="shared" si="66"/>
        <v>0</v>
      </c>
      <c r="AN278" s="6">
        <f t="shared" si="67"/>
        <v>0</v>
      </c>
      <c r="AO278" s="6">
        <f t="shared" si="68"/>
        <v>0</v>
      </c>
      <c r="AP278" s="6">
        <f t="shared" si="69"/>
        <v>0</v>
      </c>
      <c r="AQ278" s="6">
        <f t="shared" si="70"/>
        <v>0</v>
      </c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  <c r="BC278" s="6"/>
      <c r="BD278" s="6"/>
      <c r="BE278" s="6"/>
      <c r="BF278" s="6"/>
      <c r="BG278" s="6"/>
      <c r="BH278" s="6"/>
      <c r="BI278" s="6"/>
      <c r="BJ278" s="6"/>
      <c r="BK278" s="6"/>
      <c r="BL278" s="6"/>
      <c r="BM278" s="6"/>
      <c r="BN278" s="6"/>
      <c r="BO278" s="6"/>
      <c r="BP278" s="3">
        <v>21</v>
      </c>
      <c r="BQ278" s="6">
        <f t="shared" si="61"/>
        <v>0</v>
      </c>
    </row>
    <row r="279" spans="1:69" x14ac:dyDescent="0.3">
      <c r="A279" s="3" t="s">
        <v>17</v>
      </c>
      <c r="B279" s="3">
        <v>471</v>
      </c>
      <c r="C279" s="3" t="s">
        <v>466</v>
      </c>
      <c r="D279" s="3">
        <v>3</v>
      </c>
      <c r="E279" s="3" t="s">
        <v>19</v>
      </c>
      <c r="F279" s="3" t="s">
        <v>19</v>
      </c>
      <c r="G279" s="3" t="s">
        <v>19</v>
      </c>
      <c r="H279" s="3" t="s">
        <v>338</v>
      </c>
      <c r="I279" s="3"/>
      <c r="J279" s="3" t="s">
        <v>91</v>
      </c>
      <c r="K279" s="3" t="s">
        <v>470</v>
      </c>
      <c r="L279" s="3" t="s">
        <v>335</v>
      </c>
      <c r="M279" s="3">
        <v>110</v>
      </c>
      <c r="N279" s="6"/>
      <c r="O279" s="3">
        <v>45</v>
      </c>
      <c r="P279" s="3">
        <v>45</v>
      </c>
      <c r="Q279" s="3">
        <v>0</v>
      </c>
      <c r="R279" s="3">
        <v>12</v>
      </c>
      <c r="S279" s="3">
        <v>0</v>
      </c>
      <c r="T279" s="3">
        <v>33</v>
      </c>
      <c r="U279" s="3">
        <v>0</v>
      </c>
      <c r="V279" s="3">
        <f t="shared" si="62"/>
        <v>45</v>
      </c>
      <c r="W279" s="3">
        <v>0</v>
      </c>
      <c r="X279" s="3">
        <v>12</v>
      </c>
      <c r="Y279" s="3">
        <v>0</v>
      </c>
      <c r="Z279" s="3">
        <v>33</v>
      </c>
      <c r="AA279" s="3">
        <v>0</v>
      </c>
      <c r="AB279" s="3">
        <f t="shared" si="63"/>
        <v>45</v>
      </c>
      <c r="AC279" s="6">
        <f t="shared" ref="AC279:AC342" si="71">AL279-W279</f>
        <v>0</v>
      </c>
      <c r="AD279" s="6">
        <f t="shared" ref="AD279:AD342" si="72">AM279-X279</f>
        <v>-12</v>
      </c>
      <c r="AE279" s="6">
        <f t="shared" ref="AE279:AE342" si="73">AN279-Y279</f>
        <v>0</v>
      </c>
      <c r="AF279" s="6">
        <f t="shared" ref="AF279:AF342" si="74">AO279-Z279</f>
        <v>-33</v>
      </c>
      <c r="AG279" s="6">
        <f t="shared" ref="AG279:AG342" si="75">AP279-AA279</f>
        <v>0</v>
      </c>
      <c r="AH279" s="6">
        <f t="shared" si="64"/>
        <v>-45</v>
      </c>
      <c r="AI279" s="3"/>
      <c r="AJ279" s="3" t="e">
        <f>_xlfn.XLOOKUP(K279,工作表1!A:A,工作表1!C:C)</f>
        <v>#N/A</v>
      </c>
      <c r="AK279" s="3"/>
      <c r="AL279" s="6">
        <f t="shared" si="65"/>
        <v>0</v>
      </c>
      <c r="AM279" s="6">
        <f t="shared" si="66"/>
        <v>0</v>
      </c>
      <c r="AN279" s="6">
        <f t="shared" si="67"/>
        <v>0</v>
      </c>
      <c r="AO279" s="6">
        <f t="shared" si="68"/>
        <v>0</v>
      </c>
      <c r="AP279" s="6">
        <f t="shared" si="69"/>
        <v>0</v>
      </c>
      <c r="AQ279" s="6">
        <f t="shared" si="70"/>
        <v>0</v>
      </c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  <c r="BC279" s="6"/>
      <c r="BD279" s="6"/>
      <c r="BE279" s="6"/>
      <c r="BF279" s="6"/>
      <c r="BG279" s="6"/>
      <c r="BH279" s="6"/>
      <c r="BI279" s="6"/>
      <c r="BJ279" s="6"/>
      <c r="BK279" s="6"/>
      <c r="BL279" s="6"/>
      <c r="BM279" s="6"/>
      <c r="BN279" s="6"/>
      <c r="BO279" s="6"/>
      <c r="BP279" s="3">
        <v>45</v>
      </c>
      <c r="BQ279" s="6">
        <f t="shared" si="61"/>
        <v>0</v>
      </c>
    </row>
    <row r="280" spans="1:69" x14ac:dyDescent="0.3">
      <c r="A280" s="3" t="s">
        <v>17</v>
      </c>
      <c r="B280" s="3">
        <v>471</v>
      </c>
      <c r="C280" s="3" t="s">
        <v>466</v>
      </c>
      <c r="D280" s="3">
        <v>2</v>
      </c>
      <c r="E280" s="3" t="s">
        <v>19</v>
      </c>
      <c r="F280" s="3" t="s">
        <v>19</v>
      </c>
      <c r="G280" s="3" t="s">
        <v>19</v>
      </c>
      <c r="H280" s="3" t="s">
        <v>340</v>
      </c>
      <c r="I280" s="3"/>
      <c r="J280" s="3" t="s">
        <v>91</v>
      </c>
      <c r="K280" s="3" t="s">
        <v>471</v>
      </c>
      <c r="L280" s="3" t="s">
        <v>335</v>
      </c>
      <c r="M280" s="3">
        <v>162</v>
      </c>
      <c r="N280" s="6"/>
      <c r="O280" s="3">
        <v>24</v>
      </c>
      <c r="P280" s="3">
        <v>24</v>
      </c>
      <c r="Q280" s="3">
        <v>0</v>
      </c>
      <c r="R280" s="3">
        <v>2</v>
      </c>
      <c r="S280" s="3">
        <v>6</v>
      </c>
      <c r="T280" s="3">
        <v>16</v>
      </c>
      <c r="U280" s="3">
        <v>0</v>
      </c>
      <c r="V280" s="3">
        <f t="shared" si="62"/>
        <v>24</v>
      </c>
      <c r="W280" s="3">
        <v>0</v>
      </c>
      <c r="X280" s="3">
        <v>2</v>
      </c>
      <c r="Y280" s="3">
        <v>6</v>
      </c>
      <c r="Z280" s="3">
        <v>16</v>
      </c>
      <c r="AA280" s="3">
        <v>0</v>
      </c>
      <c r="AB280" s="3">
        <f t="shared" si="63"/>
        <v>24</v>
      </c>
      <c r="AC280" s="6">
        <f t="shared" si="71"/>
        <v>0</v>
      </c>
      <c r="AD280" s="6">
        <f t="shared" si="72"/>
        <v>-2</v>
      </c>
      <c r="AE280" s="6">
        <f t="shared" si="73"/>
        <v>-6</v>
      </c>
      <c r="AF280" s="6">
        <f t="shared" si="74"/>
        <v>-16</v>
      </c>
      <c r="AG280" s="6">
        <f t="shared" si="75"/>
        <v>0</v>
      </c>
      <c r="AH280" s="6">
        <f t="shared" si="64"/>
        <v>-24</v>
      </c>
      <c r="AI280" s="3"/>
      <c r="AJ280" s="3" t="e">
        <f>_xlfn.XLOOKUP(K280,工作表1!A:A,工作表1!C:C)</f>
        <v>#N/A</v>
      </c>
      <c r="AK280" s="3"/>
      <c r="AL280" s="6">
        <f t="shared" si="65"/>
        <v>0</v>
      </c>
      <c r="AM280" s="6">
        <f t="shared" si="66"/>
        <v>0</v>
      </c>
      <c r="AN280" s="6">
        <f t="shared" si="67"/>
        <v>0</v>
      </c>
      <c r="AO280" s="6">
        <f t="shared" si="68"/>
        <v>0</v>
      </c>
      <c r="AP280" s="6">
        <f t="shared" si="69"/>
        <v>0</v>
      </c>
      <c r="AQ280" s="6">
        <f t="shared" si="70"/>
        <v>0</v>
      </c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  <c r="BC280" s="6"/>
      <c r="BD280" s="6"/>
      <c r="BE280" s="6"/>
      <c r="BF280" s="6"/>
      <c r="BG280" s="6"/>
      <c r="BH280" s="6"/>
      <c r="BI280" s="6"/>
      <c r="BJ280" s="6"/>
      <c r="BK280" s="6"/>
      <c r="BL280" s="6"/>
      <c r="BM280" s="6"/>
      <c r="BN280" s="6"/>
      <c r="BO280" s="6"/>
      <c r="BP280" s="3">
        <v>24</v>
      </c>
      <c r="BQ280" s="6">
        <f t="shared" si="61"/>
        <v>0</v>
      </c>
    </row>
    <row r="281" spans="1:69" x14ac:dyDescent="0.3">
      <c r="A281" s="3" t="s">
        <v>17</v>
      </c>
      <c r="B281" s="3">
        <v>471</v>
      </c>
      <c r="C281" s="3" t="s">
        <v>466</v>
      </c>
      <c r="D281" s="3">
        <v>1.5</v>
      </c>
      <c r="E281" s="3" t="s">
        <v>19</v>
      </c>
      <c r="F281" s="3" t="s">
        <v>19</v>
      </c>
      <c r="G281" s="3" t="s">
        <v>19</v>
      </c>
      <c r="H281" s="3" t="s">
        <v>99</v>
      </c>
      <c r="I281" s="3"/>
      <c r="J281" s="3" t="s">
        <v>91</v>
      </c>
      <c r="K281" s="3" t="s">
        <v>472</v>
      </c>
      <c r="L281" s="3" t="s">
        <v>335</v>
      </c>
      <c r="M281" s="3">
        <v>22</v>
      </c>
      <c r="N281" s="6"/>
      <c r="O281" s="3">
        <v>9</v>
      </c>
      <c r="P281" s="3">
        <v>9</v>
      </c>
      <c r="Q281" s="3">
        <v>0</v>
      </c>
      <c r="R281" s="3">
        <v>4</v>
      </c>
      <c r="S281" s="3">
        <v>1</v>
      </c>
      <c r="T281" s="3">
        <v>4</v>
      </c>
      <c r="U281" s="3">
        <v>0</v>
      </c>
      <c r="V281" s="3">
        <f t="shared" si="62"/>
        <v>9</v>
      </c>
      <c r="W281" s="3">
        <v>0</v>
      </c>
      <c r="X281" s="3">
        <v>4</v>
      </c>
      <c r="Y281" s="3">
        <v>1</v>
      </c>
      <c r="Z281" s="3">
        <v>4</v>
      </c>
      <c r="AA281" s="3">
        <v>0</v>
      </c>
      <c r="AB281" s="3">
        <f t="shared" si="63"/>
        <v>9</v>
      </c>
      <c r="AC281" s="6">
        <f t="shared" si="71"/>
        <v>0</v>
      </c>
      <c r="AD281" s="6">
        <f t="shared" si="72"/>
        <v>-4</v>
      </c>
      <c r="AE281" s="6">
        <f t="shared" si="73"/>
        <v>-1</v>
      </c>
      <c r="AF281" s="6">
        <f t="shared" si="74"/>
        <v>-4</v>
      </c>
      <c r="AG281" s="6">
        <f t="shared" si="75"/>
        <v>0</v>
      </c>
      <c r="AH281" s="6">
        <f t="shared" si="64"/>
        <v>-9</v>
      </c>
      <c r="AI281" s="3"/>
      <c r="AJ281" s="3" t="e">
        <f>_xlfn.XLOOKUP(K281,工作表1!A:A,工作表1!C:C)</f>
        <v>#N/A</v>
      </c>
      <c r="AK281" s="3"/>
      <c r="AL281" s="6">
        <f t="shared" si="65"/>
        <v>0</v>
      </c>
      <c r="AM281" s="6">
        <f t="shared" si="66"/>
        <v>0</v>
      </c>
      <c r="AN281" s="6">
        <f t="shared" si="67"/>
        <v>0</v>
      </c>
      <c r="AO281" s="6">
        <f t="shared" si="68"/>
        <v>0</v>
      </c>
      <c r="AP281" s="6">
        <f t="shared" si="69"/>
        <v>0</v>
      </c>
      <c r="AQ281" s="6">
        <f t="shared" si="70"/>
        <v>0</v>
      </c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  <c r="BC281" s="6"/>
      <c r="BD281" s="6"/>
      <c r="BE281" s="6"/>
      <c r="BF281" s="6"/>
      <c r="BG281" s="6"/>
      <c r="BH281" s="6"/>
      <c r="BI281" s="6"/>
      <c r="BJ281" s="6"/>
      <c r="BK281" s="6"/>
      <c r="BL281" s="6"/>
      <c r="BM281" s="6"/>
      <c r="BN281" s="6"/>
      <c r="BO281" s="6"/>
      <c r="BP281" s="3">
        <v>9</v>
      </c>
      <c r="BQ281" s="6">
        <f t="shared" si="61"/>
        <v>0</v>
      </c>
    </row>
    <row r="282" spans="1:69" x14ac:dyDescent="0.3">
      <c r="A282" s="3" t="s">
        <v>17</v>
      </c>
      <c r="B282" s="3">
        <v>471</v>
      </c>
      <c r="C282" s="3" t="s">
        <v>466</v>
      </c>
      <c r="D282" s="3">
        <v>1</v>
      </c>
      <c r="E282" s="3" t="s">
        <v>19</v>
      </c>
      <c r="F282" s="3" t="s">
        <v>19</v>
      </c>
      <c r="G282" s="3" t="s">
        <v>19</v>
      </c>
      <c r="H282" s="3" t="s">
        <v>101</v>
      </c>
      <c r="I282" s="3"/>
      <c r="J282" s="3" t="s">
        <v>91</v>
      </c>
      <c r="K282" s="3" t="s">
        <v>473</v>
      </c>
      <c r="L282" s="3" t="s">
        <v>335</v>
      </c>
      <c r="M282" s="3">
        <v>152</v>
      </c>
      <c r="N282" s="6"/>
      <c r="O282" s="3">
        <v>67</v>
      </c>
      <c r="P282" s="3">
        <v>67</v>
      </c>
      <c r="Q282" s="3">
        <v>0</v>
      </c>
      <c r="R282" s="3">
        <v>10</v>
      </c>
      <c r="S282" s="3">
        <v>38</v>
      </c>
      <c r="T282" s="3">
        <v>19</v>
      </c>
      <c r="U282" s="3">
        <v>0</v>
      </c>
      <c r="V282" s="3">
        <f t="shared" si="62"/>
        <v>67</v>
      </c>
      <c r="W282" s="3">
        <v>0</v>
      </c>
      <c r="X282" s="3">
        <v>10</v>
      </c>
      <c r="Y282" s="3">
        <v>38</v>
      </c>
      <c r="Z282" s="3">
        <v>19</v>
      </c>
      <c r="AA282" s="3">
        <v>0</v>
      </c>
      <c r="AB282" s="3">
        <f t="shared" si="63"/>
        <v>67</v>
      </c>
      <c r="AC282" s="6">
        <f t="shared" si="71"/>
        <v>0</v>
      </c>
      <c r="AD282" s="6">
        <f t="shared" si="72"/>
        <v>-10</v>
      </c>
      <c r="AE282" s="6">
        <f t="shared" si="73"/>
        <v>-38</v>
      </c>
      <c r="AF282" s="6">
        <f t="shared" si="74"/>
        <v>-19</v>
      </c>
      <c r="AG282" s="6">
        <f t="shared" si="75"/>
        <v>0</v>
      </c>
      <c r="AH282" s="6">
        <f t="shared" si="64"/>
        <v>-67</v>
      </c>
      <c r="AI282" s="3"/>
      <c r="AJ282" s="3" t="e">
        <f>_xlfn.XLOOKUP(K282,工作表1!A:A,工作表1!C:C)</f>
        <v>#N/A</v>
      </c>
      <c r="AK282" s="3"/>
      <c r="AL282" s="6">
        <f t="shared" si="65"/>
        <v>0</v>
      </c>
      <c r="AM282" s="6">
        <f t="shared" si="66"/>
        <v>0</v>
      </c>
      <c r="AN282" s="6">
        <f t="shared" si="67"/>
        <v>0</v>
      </c>
      <c r="AO282" s="6">
        <f t="shared" si="68"/>
        <v>0</v>
      </c>
      <c r="AP282" s="6">
        <f t="shared" si="69"/>
        <v>0</v>
      </c>
      <c r="AQ282" s="6">
        <f t="shared" si="70"/>
        <v>0</v>
      </c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  <c r="BC282" s="6"/>
      <c r="BD282" s="6"/>
      <c r="BE282" s="6"/>
      <c r="BF282" s="6"/>
      <c r="BG282" s="6"/>
      <c r="BH282" s="6"/>
      <c r="BI282" s="6"/>
      <c r="BJ282" s="6"/>
      <c r="BK282" s="6"/>
      <c r="BL282" s="6"/>
      <c r="BM282" s="6"/>
      <c r="BN282" s="6"/>
      <c r="BO282" s="6"/>
      <c r="BP282" s="3">
        <v>67</v>
      </c>
      <c r="BQ282" s="6">
        <f t="shared" si="61"/>
        <v>0</v>
      </c>
    </row>
    <row r="283" spans="1:69" x14ac:dyDescent="0.3">
      <c r="A283" s="3" t="s">
        <v>17</v>
      </c>
      <c r="B283" s="3">
        <v>471</v>
      </c>
      <c r="C283" s="3" t="s">
        <v>466</v>
      </c>
      <c r="D283" s="3">
        <v>0.75</v>
      </c>
      <c r="E283" s="3" t="s">
        <v>19</v>
      </c>
      <c r="F283" s="3" t="s">
        <v>19</v>
      </c>
      <c r="G283" s="3" t="s">
        <v>19</v>
      </c>
      <c r="H283" s="3" t="s">
        <v>103</v>
      </c>
      <c r="I283" s="3"/>
      <c r="J283" s="3" t="s">
        <v>91</v>
      </c>
      <c r="K283" s="3" t="s">
        <v>474</v>
      </c>
      <c r="L283" s="3" t="s">
        <v>335</v>
      </c>
      <c r="M283" s="3">
        <v>82</v>
      </c>
      <c r="N283" s="6"/>
      <c r="O283" s="3">
        <v>32</v>
      </c>
      <c r="P283" s="3">
        <v>32</v>
      </c>
      <c r="Q283" s="3">
        <v>0</v>
      </c>
      <c r="R283" s="3">
        <v>18</v>
      </c>
      <c r="S283" s="3">
        <v>10</v>
      </c>
      <c r="T283" s="3">
        <v>4</v>
      </c>
      <c r="U283" s="3">
        <v>0</v>
      </c>
      <c r="V283" s="3">
        <f t="shared" si="62"/>
        <v>32</v>
      </c>
      <c r="W283" s="3">
        <v>0</v>
      </c>
      <c r="X283" s="3">
        <v>18</v>
      </c>
      <c r="Y283" s="3">
        <v>10</v>
      </c>
      <c r="Z283" s="3">
        <v>4</v>
      </c>
      <c r="AA283" s="3">
        <v>0</v>
      </c>
      <c r="AB283" s="3">
        <f t="shared" si="63"/>
        <v>32</v>
      </c>
      <c r="AC283" s="6">
        <f t="shared" si="71"/>
        <v>0</v>
      </c>
      <c r="AD283" s="6">
        <f t="shared" si="72"/>
        <v>-18</v>
      </c>
      <c r="AE283" s="6">
        <f t="shared" si="73"/>
        <v>-10</v>
      </c>
      <c r="AF283" s="6">
        <f t="shared" si="74"/>
        <v>-4</v>
      </c>
      <c r="AG283" s="6">
        <f t="shared" si="75"/>
        <v>0</v>
      </c>
      <c r="AH283" s="6">
        <f t="shared" si="64"/>
        <v>-32</v>
      </c>
      <c r="AI283" s="3"/>
      <c r="AJ283" s="3" t="e">
        <f>_xlfn.XLOOKUP(K283,工作表1!A:A,工作表1!C:C)</f>
        <v>#N/A</v>
      </c>
      <c r="AK283" s="3"/>
      <c r="AL283" s="6">
        <f t="shared" si="65"/>
        <v>0</v>
      </c>
      <c r="AM283" s="6">
        <f t="shared" si="66"/>
        <v>0</v>
      </c>
      <c r="AN283" s="6">
        <f t="shared" si="67"/>
        <v>0</v>
      </c>
      <c r="AO283" s="6">
        <f t="shared" si="68"/>
        <v>0</v>
      </c>
      <c r="AP283" s="6">
        <f t="shared" si="69"/>
        <v>0</v>
      </c>
      <c r="AQ283" s="6">
        <f t="shared" si="70"/>
        <v>0</v>
      </c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  <c r="BC283" s="6"/>
      <c r="BD283" s="6"/>
      <c r="BE283" s="6"/>
      <c r="BF283" s="6"/>
      <c r="BG283" s="6"/>
      <c r="BH283" s="6"/>
      <c r="BI283" s="6"/>
      <c r="BJ283" s="6"/>
      <c r="BK283" s="6"/>
      <c r="BL283" s="6"/>
      <c r="BM283" s="6"/>
      <c r="BN283" s="6"/>
      <c r="BO283" s="6"/>
      <c r="BP283" s="3">
        <v>32</v>
      </c>
      <c r="BQ283" s="6">
        <f t="shared" si="61"/>
        <v>0</v>
      </c>
    </row>
    <row r="284" spans="1:69" x14ac:dyDescent="0.3">
      <c r="A284" s="3" t="s">
        <v>17</v>
      </c>
      <c r="B284" s="3">
        <v>471</v>
      </c>
      <c r="C284" s="3" t="s">
        <v>466</v>
      </c>
      <c r="D284" s="3">
        <v>0.5</v>
      </c>
      <c r="E284" s="3" t="s">
        <v>19</v>
      </c>
      <c r="F284" s="3" t="s">
        <v>19</v>
      </c>
      <c r="G284" s="3" t="s">
        <v>19</v>
      </c>
      <c r="H284" s="3" t="s">
        <v>105</v>
      </c>
      <c r="I284" s="3"/>
      <c r="J284" s="3" t="s">
        <v>91</v>
      </c>
      <c r="K284" s="3" t="s">
        <v>475</v>
      </c>
      <c r="L284" s="3" t="s">
        <v>335</v>
      </c>
      <c r="M284" s="3">
        <v>88</v>
      </c>
      <c r="N284" s="6"/>
      <c r="O284" s="3">
        <v>8</v>
      </c>
      <c r="P284" s="3">
        <v>8</v>
      </c>
      <c r="Q284" s="3">
        <v>0</v>
      </c>
      <c r="R284" s="3">
        <v>0</v>
      </c>
      <c r="S284" s="3">
        <v>4</v>
      </c>
      <c r="T284" s="3">
        <v>4</v>
      </c>
      <c r="U284" s="3">
        <v>0</v>
      </c>
      <c r="V284" s="3">
        <f t="shared" si="62"/>
        <v>8</v>
      </c>
      <c r="W284" s="3">
        <v>0</v>
      </c>
      <c r="X284" s="3">
        <v>0</v>
      </c>
      <c r="Y284" s="3">
        <v>4</v>
      </c>
      <c r="Z284" s="3">
        <v>4</v>
      </c>
      <c r="AA284" s="3">
        <v>0</v>
      </c>
      <c r="AB284" s="3">
        <f t="shared" si="63"/>
        <v>8</v>
      </c>
      <c r="AC284" s="6">
        <f t="shared" si="71"/>
        <v>0</v>
      </c>
      <c r="AD284" s="6">
        <f t="shared" si="72"/>
        <v>0</v>
      </c>
      <c r="AE284" s="6">
        <f t="shared" si="73"/>
        <v>-4</v>
      </c>
      <c r="AF284" s="6">
        <f t="shared" si="74"/>
        <v>-4</v>
      </c>
      <c r="AG284" s="6">
        <f t="shared" si="75"/>
        <v>0</v>
      </c>
      <c r="AH284" s="6">
        <f t="shared" si="64"/>
        <v>-8</v>
      </c>
      <c r="AI284" s="3"/>
      <c r="AJ284" s="3" t="e">
        <f>_xlfn.XLOOKUP(K284,工作表1!A:A,工作表1!C:C)</f>
        <v>#N/A</v>
      </c>
      <c r="AK284" s="3"/>
      <c r="AL284" s="6">
        <f t="shared" si="65"/>
        <v>0</v>
      </c>
      <c r="AM284" s="6">
        <f t="shared" si="66"/>
        <v>0</v>
      </c>
      <c r="AN284" s="6">
        <f t="shared" si="67"/>
        <v>0</v>
      </c>
      <c r="AO284" s="6">
        <f t="shared" si="68"/>
        <v>0</v>
      </c>
      <c r="AP284" s="6">
        <f t="shared" si="69"/>
        <v>0</v>
      </c>
      <c r="AQ284" s="6">
        <f t="shared" si="70"/>
        <v>0</v>
      </c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  <c r="BC284" s="6"/>
      <c r="BD284" s="6"/>
      <c r="BE284" s="6"/>
      <c r="BF284" s="6"/>
      <c r="BG284" s="6"/>
      <c r="BH284" s="6"/>
      <c r="BI284" s="6"/>
      <c r="BJ284" s="6"/>
      <c r="BK284" s="6"/>
      <c r="BL284" s="6"/>
      <c r="BM284" s="6"/>
      <c r="BN284" s="6"/>
      <c r="BO284" s="6"/>
      <c r="BP284" s="3">
        <v>8</v>
      </c>
      <c r="BQ284" s="6">
        <f t="shared" si="61"/>
        <v>0</v>
      </c>
    </row>
    <row r="285" spans="1:69" x14ac:dyDescent="0.3">
      <c r="A285" s="3" t="s">
        <v>17</v>
      </c>
      <c r="B285" s="3">
        <v>471</v>
      </c>
      <c r="C285" s="3" t="s">
        <v>476</v>
      </c>
      <c r="D285" s="3">
        <v>6</v>
      </c>
      <c r="E285" s="3" t="s">
        <v>19</v>
      </c>
      <c r="F285" s="3" t="s">
        <v>19</v>
      </c>
      <c r="G285" s="3" t="s">
        <v>19</v>
      </c>
      <c r="H285" s="3" t="s">
        <v>443</v>
      </c>
      <c r="I285" s="3"/>
      <c r="J285" s="3" t="s">
        <v>91</v>
      </c>
      <c r="K285" s="3" t="s">
        <v>477</v>
      </c>
      <c r="L285" s="3" t="s">
        <v>335</v>
      </c>
      <c r="M285" s="3">
        <v>8</v>
      </c>
      <c r="N285" s="6"/>
      <c r="O285" s="3">
        <v>4</v>
      </c>
      <c r="P285" s="3">
        <v>4</v>
      </c>
      <c r="Q285" s="3">
        <v>0</v>
      </c>
      <c r="R285" s="3">
        <v>0</v>
      </c>
      <c r="S285" s="3">
        <v>4</v>
      </c>
      <c r="T285" s="3">
        <v>0</v>
      </c>
      <c r="U285" s="3">
        <v>0</v>
      </c>
      <c r="V285" s="3">
        <f t="shared" si="62"/>
        <v>4</v>
      </c>
      <c r="W285" s="3">
        <v>0</v>
      </c>
      <c r="X285" s="3">
        <v>0</v>
      </c>
      <c r="Y285" s="3">
        <v>4</v>
      </c>
      <c r="Z285" s="3">
        <v>0</v>
      </c>
      <c r="AA285" s="3">
        <v>0</v>
      </c>
      <c r="AB285" s="3">
        <f t="shared" si="63"/>
        <v>4</v>
      </c>
      <c r="AC285" s="6">
        <f t="shared" si="71"/>
        <v>0</v>
      </c>
      <c r="AD285" s="6">
        <f t="shared" si="72"/>
        <v>0</v>
      </c>
      <c r="AE285" s="6">
        <f t="shared" si="73"/>
        <v>-4</v>
      </c>
      <c r="AF285" s="6">
        <f t="shared" si="74"/>
        <v>0</v>
      </c>
      <c r="AG285" s="6">
        <f t="shared" si="75"/>
        <v>0</v>
      </c>
      <c r="AH285" s="6">
        <f t="shared" si="64"/>
        <v>-4</v>
      </c>
      <c r="AI285" s="3"/>
      <c r="AJ285" s="3" t="e">
        <f>_xlfn.XLOOKUP(K285,工作表1!A:A,工作表1!C:C)</f>
        <v>#N/A</v>
      </c>
      <c r="AK285" s="3"/>
      <c r="AL285" s="6">
        <f t="shared" si="65"/>
        <v>0</v>
      </c>
      <c r="AM285" s="6">
        <f t="shared" si="66"/>
        <v>0</v>
      </c>
      <c r="AN285" s="6">
        <f t="shared" si="67"/>
        <v>0</v>
      </c>
      <c r="AO285" s="6">
        <f t="shared" si="68"/>
        <v>0</v>
      </c>
      <c r="AP285" s="6">
        <f t="shared" si="69"/>
        <v>0</v>
      </c>
      <c r="AQ285" s="6">
        <f t="shared" si="70"/>
        <v>0</v>
      </c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  <c r="BC285" s="6"/>
      <c r="BD285" s="6"/>
      <c r="BE285" s="6"/>
      <c r="BF285" s="6"/>
      <c r="BG285" s="6"/>
      <c r="BH285" s="6"/>
      <c r="BI285" s="6"/>
      <c r="BJ285" s="6"/>
      <c r="BK285" s="6"/>
      <c r="BL285" s="6"/>
      <c r="BM285" s="6"/>
      <c r="BN285" s="6"/>
      <c r="BO285" s="6"/>
      <c r="BP285" s="3">
        <v>4</v>
      </c>
      <c r="BQ285" s="6">
        <f t="shared" si="61"/>
        <v>0</v>
      </c>
    </row>
    <row r="286" spans="1:69" x14ac:dyDescent="0.3">
      <c r="A286" s="3" t="s">
        <v>17</v>
      </c>
      <c r="B286" s="3">
        <v>471</v>
      </c>
      <c r="C286" s="3" t="s">
        <v>476</v>
      </c>
      <c r="D286" s="3">
        <v>4</v>
      </c>
      <c r="E286" s="3" t="s">
        <v>19</v>
      </c>
      <c r="F286" s="3" t="s">
        <v>19</v>
      </c>
      <c r="G286" s="3" t="s">
        <v>19</v>
      </c>
      <c r="H286" s="3" t="s">
        <v>336</v>
      </c>
      <c r="I286" s="3"/>
      <c r="J286" s="3" t="s">
        <v>91</v>
      </c>
      <c r="K286" s="3" t="s">
        <v>478</v>
      </c>
      <c r="L286" s="3" t="s">
        <v>335</v>
      </c>
      <c r="M286" s="3">
        <v>34</v>
      </c>
      <c r="N286" s="6"/>
      <c r="O286" s="3">
        <v>4</v>
      </c>
      <c r="P286" s="3">
        <v>4</v>
      </c>
      <c r="Q286" s="3">
        <v>0</v>
      </c>
      <c r="R286" s="3">
        <v>0</v>
      </c>
      <c r="S286" s="3">
        <v>4</v>
      </c>
      <c r="T286" s="3">
        <v>0</v>
      </c>
      <c r="U286" s="3">
        <v>0</v>
      </c>
      <c r="V286" s="3">
        <f t="shared" si="62"/>
        <v>4</v>
      </c>
      <c r="W286" s="3">
        <v>0</v>
      </c>
      <c r="X286" s="3">
        <v>0</v>
      </c>
      <c r="Y286" s="3">
        <v>4</v>
      </c>
      <c r="Z286" s="3">
        <v>0</v>
      </c>
      <c r="AA286" s="3">
        <v>0</v>
      </c>
      <c r="AB286" s="3">
        <f t="shared" si="63"/>
        <v>4</v>
      </c>
      <c r="AC286" s="6">
        <f t="shared" si="71"/>
        <v>0</v>
      </c>
      <c r="AD286" s="6">
        <f t="shared" si="72"/>
        <v>0</v>
      </c>
      <c r="AE286" s="6">
        <f t="shared" si="73"/>
        <v>-4</v>
      </c>
      <c r="AF286" s="6">
        <f t="shared" si="74"/>
        <v>0</v>
      </c>
      <c r="AG286" s="6">
        <f t="shared" si="75"/>
        <v>0</v>
      </c>
      <c r="AH286" s="6">
        <f t="shared" si="64"/>
        <v>-4</v>
      </c>
      <c r="AI286" s="3"/>
      <c r="AJ286" s="3" t="e">
        <f>_xlfn.XLOOKUP(K286,工作表1!A:A,工作表1!C:C)</f>
        <v>#N/A</v>
      </c>
      <c r="AK286" s="3"/>
      <c r="AL286" s="6">
        <f t="shared" si="65"/>
        <v>0</v>
      </c>
      <c r="AM286" s="6">
        <f t="shared" si="66"/>
        <v>0</v>
      </c>
      <c r="AN286" s="6">
        <f t="shared" si="67"/>
        <v>0</v>
      </c>
      <c r="AO286" s="6">
        <f t="shared" si="68"/>
        <v>0</v>
      </c>
      <c r="AP286" s="6">
        <f t="shared" si="69"/>
        <v>0</v>
      </c>
      <c r="AQ286" s="6">
        <f t="shared" si="70"/>
        <v>0</v>
      </c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  <c r="BC286" s="6"/>
      <c r="BD286" s="6"/>
      <c r="BE286" s="6"/>
      <c r="BF286" s="6"/>
      <c r="BG286" s="6"/>
      <c r="BH286" s="6"/>
      <c r="BI286" s="6"/>
      <c r="BJ286" s="6"/>
      <c r="BK286" s="6"/>
      <c r="BL286" s="6"/>
      <c r="BM286" s="6"/>
      <c r="BN286" s="6"/>
      <c r="BO286" s="6"/>
      <c r="BP286" s="3">
        <v>4</v>
      </c>
      <c r="BQ286" s="6">
        <f t="shared" si="61"/>
        <v>0</v>
      </c>
    </row>
    <row r="287" spans="1:69" x14ac:dyDescent="0.3">
      <c r="A287" s="3" t="s">
        <v>17</v>
      </c>
      <c r="B287" s="3">
        <v>471</v>
      </c>
      <c r="C287" s="3" t="s">
        <v>476</v>
      </c>
      <c r="D287" s="3">
        <v>0.75</v>
      </c>
      <c r="E287" s="3" t="s">
        <v>19</v>
      </c>
      <c r="F287" s="3" t="s">
        <v>19</v>
      </c>
      <c r="G287" s="3" t="s">
        <v>19</v>
      </c>
      <c r="H287" s="3" t="s">
        <v>103</v>
      </c>
      <c r="I287" s="3"/>
      <c r="J287" s="3" t="s">
        <v>91</v>
      </c>
      <c r="K287" s="3" t="s">
        <v>481</v>
      </c>
      <c r="L287" s="3" t="s">
        <v>335</v>
      </c>
      <c r="M287" s="3">
        <v>69</v>
      </c>
      <c r="N287" s="6"/>
      <c r="O287" s="3">
        <v>8</v>
      </c>
      <c r="P287" s="3">
        <v>8</v>
      </c>
      <c r="Q287" s="3">
        <v>0</v>
      </c>
      <c r="R287" s="3">
        <v>0</v>
      </c>
      <c r="S287" s="3">
        <v>8</v>
      </c>
      <c r="T287" s="3">
        <v>0</v>
      </c>
      <c r="U287" s="3">
        <v>0</v>
      </c>
      <c r="V287" s="3">
        <f t="shared" si="62"/>
        <v>8</v>
      </c>
      <c r="W287" s="3">
        <v>0</v>
      </c>
      <c r="X287" s="3">
        <v>0</v>
      </c>
      <c r="Y287" s="3">
        <v>8</v>
      </c>
      <c r="Z287" s="3">
        <v>0</v>
      </c>
      <c r="AA287" s="3">
        <v>0</v>
      </c>
      <c r="AB287" s="3">
        <f t="shared" si="63"/>
        <v>8</v>
      </c>
      <c r="AC287" s="6">
        <f t="shared" si="71"/>
        <v>0</v>
      </c>
      <c r="AD287" s="6">
        <f t="shared" si="72"/>
        <v>0</v>
      </c>
      <c r="AE287" s="6">
        <f t="shared" si="73"/>
        <v>-8</v>
      </c>
      <c r="AF287" s="6">
        <f t="shared" si="74"/>
        <v>0</v>
      </c>
      <c r="AG287" s="6">
        <f t="shared" si="75"/>
        <v>0</v>
      </c>
      <c r="AH287" s="6">
        <f t="shared" si="64"/>
        <v>-8</v>
      </c>
      <c r="AI287" s="3"/>
      <c r="AJ287" s="3" t="e">
        <f>_xlfn.XLOOKUP(K287,工作表1!A:A,工作表1!C:C)</f>
        <v>#N/A</v>
      </c>
      <c r="AK287" s="3"/>
      <c r="AL287" s="6">
        <f t="shared" si="65"/>
        <v>0</v>
      </c>
      <c r="AM287" s="6">
        <f t="shared" si="66"/>
        <v>0</v>
      </c>
      <c r="AN287" s="6">
        <f t="shared" si="67"/>
        <v>0</v>
      </c>
      <c r="AO287" s="6">
        <f t="shared" si="68"/>
        <v>0</v>
      </c>
      <c r="AP287" s="6">
        <f t="shared" si="69"/>
        <v>0</v>
      </c>
      <c r="AQ287" s="6">
        <f t="shared" si="70"/>
        <v>0</v>
      </c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  <c r="BC287" s="6"/>
      <c r="BD287" s="6"/>
      <c r="BE287" s="6"/>
      <c r="BF287" s="6"/>
      <c r="BG287" s="6"/>
      <c r="BH287" s="6"/>
      <c r="BI287" s="6"/>
      <c r="BJ287" s="6"/>
      <c r="BK287" s="6"/>
      <c r="BL287" s="6"/>
      <c r="BM287" s="6"/>
      <c r="BN287" s="6"/>
      <c r="BO287" s="6"/>
      <c r="BP287" s="3">
        <v>8</v>
      </c>
      <c r="BQ287" s="6">
        <f t="shared" si="61"/>
        <v>0</v>
      </c>
    </row>
    <row r="288" spans="1:69" x14ac:dyDescent="0.3">
      <c r="A288" s="3" t="s">
        <v>17</v>
      </c>
      <c r="B288" s="3">
        <v>471</v>
      </c>
      <c r="C288" s="3" t="s">
        <v>476</v>
      </c>
      <c r="D288" s="3">
        <v>0.5</v>
      </c>
      <c r="E288" s="3" t="s">
        <v>19</v>
      </c>
      <c r="F288" s="3" t="s">
        <v>19</v>
      </c>
      <c r="G288" s="3" t="s">
        <v>19</v>
      </c>
      <c r="H288" s="3" t="s">
        <v>105</v>
      </c>
      <c r="I288" s="3"/>
      <c r="J288" s="3" t="s">
        <v>91</v>
      </c>
      <c r="K288" s="3" t="s">
        <v>482</v>
      </c>
      <c r="L288" s="3" t="s">
        <v>335</v>
      </c>
      <c r="M288" s="3">
        <v>4</v>
      </c>
      <c r="N288" s="6"/>
      <c r="O288" s="3">
        <v>2</v>
      </c>
      <c r="P288" s="3">
        <v>2</v>
      </c>
      <c r="Q288" s="3">
        <v>0</v>
      </c>
      <c r="R288" s="3">
        <v>0</v>
      </c>
      <c r="S288" s="3">
        <v>2</v>
      </c>
      <c r="T288" s="3">
        <v>0</v>
      </c>
      <c r="U288" s="3">
        <v>0</v>
      </c>
      <c r="V288" s="3">
        <f t="shared" si="62"/>
        <v>2</v>
      </c>
      <c r="W288" s="3">
        <v>0</v>
      </c>
      <c r="X288" s="3">
        <v>0</v>
      </c>
      <c r="Y288" s="3">
        <v>2</v>
      </c>
      <c r="Z288" s="3">
        <v>0</v>
      </c>
      <c r="AA288" s="3">
        <v>0</v>
      </c>
      <c r="AB288" s="3">
        <f t="shared" si="63"/>
        <v>2</v>
      </c>
      <c r="AC288" s="6">
        <f t="shared" si="71"/>
        <v>0</v>
      </c>
      <c r="AD288" s="6">
        <f t="shared" si="72"/>
        <v>0</v>
      </c>
      <c r="AE288" s="6">
        <f t="shared" si="73"/>
        <v>-2</v>
      </c>
      <c r="AF288" s="6">
        <f t="shared" si="74"/>
        <v>0</v>
      </c>
      <c r="AG288" s="6">
        <f t="shared" si="75"/>
        <v>0</v>
      </c>
      <c r="AH288" s="6">
        <f t="shared" si="64"/>
        <v>-2</v>
      </c>
      <c r="AI288" s="3"/>
      <c r="AJ288" s="3" t="e">
        <f>_xlfn.XLOOKUP(K288,工作表1!A:A,工作表1!C:C)</f>
        <v>#N/A</v>
      </c>
      <c r="AK288" s="3"/>
      <c r="AL288" s="6">
        <f t="shared" si="65"/>
        <v>0</v>
      </c>
      <c r="AM288" s="6">
        <f t="shared" si="66"/>
        <v>0</v>
      </c>
      <c r="AN288" s="6">
        <f t="shared" si="67"/>
        <v>0</v>
      </c>
      <c r="AO288" s="6">
        <f t="shared" si="68"/>
        <v>0</v>
      </c>
      <c r="AP288" s="6">
        <f t="shared" si="69"/>
        <v>0</v>
      </c>
      <c r="AQ288" s="6">
        <f t="shared" si="70"/>
        <v>0</v>
      </c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  <c r="BC288" s="6"/>
      <c r="BD288" s="6"/>
      <c r="BE288" s="6"/>
      <c r="BF288" s="6"/>
      <c r="BG288" s="6"/>
      <c r="BH288" s="6"/>
      <c r="BI288" s="6"/>
      <c r="BJ288" s="6"/>
      <c r="BK288" s="6"/>
      <c r="BL288" s="6"/>
      <c r="BM288" s="6"/>
      <c r="BN288" s="6"/>
      <c r="BO288" s="6"/>
      <c r="BP288" s="3">
        <v>2</v>
      </c>
      <c r="BQ288" s="6">
        <f t="shared" si="61"/>
        <v>0</v>
      </c>
    </row>
    <row r="289" spans="1:69" x14ac:dyDescent="0.3">
      <c r="A289" s="3" t="s">
        <v>17</v>
      </c>
      <c r="B289" s="3">
        <v>472</v>
      </c>
      <c r="C289" s="3" t="s">
        <v>485</v>
      </c>
      <c r="D289" s="3">
        <v>1.5</v>
      </c>
      <c r="E289" s="3" t="s">
        <v>19</v>
      </c>
      <c r="F289" s="3" t="s">
        <v>19</v>
      </c>
      <c r="G289" s="3" t="s">
        <v>19</v>
      </c>
      <c r="H289" s="3" t="s">
        <v>99</v>
      </c>
      <c r="I289" s="3"/>
      <c r="J289" s="3" t="s">
        <v>486</v>
      </c>
      <c r="K289" s="3" t="s">
        <v>488</v>
      </c>
      <c r="L289" s="3" t="s">
        <v>335</v>
      </c>
      <c r="M289" s="3">
        <v>0</v>
      </c>
      <c r="N289" s="6"/>
      <c r="O289" s="3">
        <v>1</v>
      </c>
      <c r="P289" s="3">
        <v>1</v>
      </c>
      <c r="Q289" s="3">
        <v>0</v>
      </c>
      <c r="R289" s="3">
        <v>0</v>
      </c>
      <c r="S289" s="3">
        <v>1</v>
      </c>
      <c r="T289" s="3">
        <v>0</v>
      </c>
      <c r="U289" s="3">
        <v>0</v>
      </c>
      <c r="V289" s="3">
        <f t="shared" si="62"/>
        <v>1</v>
      </c>
      <c r="W289" s="3">
        <v>0</v>
      </c>
      <c r="X289" s="3">
        <v>0</v>
      </c>
      <c r="Y289" s="3">
        <v>1</v>
      </c>
      <c r="Z289" s="3">
        <v>0</v>
      </c>
      <c r="AA289" s="3">
        <v>0</v>
      </c>
      <c r="AB289" s="3">
        <f t="shared" si="63"/>
        <v>1</v>
      </c>
      <c r="AC289" s="6">
        <f t="shared" si="71"/>
        <v>0</v>
      </c>
      <c r="AD289" s="6">
        <f t="shared" si="72"/>
        <v>0</v>
      </c>
      <c r="AE289" s="6">
        <f t="shared" si="73"/>
        <v>-1</v>
      </c>
      <c r="AF289" s="6">
        <f t="shared" si="74"/>
        <v>0</v>
      </c>
      <c r="AG289" s="6">
        <f t="shared" si="75"/>
        <v>0</v>
      </c>
      <c r="AH289" s="6">
        <f t="shared" si="64"/>
        <v>-1</v>
      </c>
      <c r="AI289" s="3"/>
      <c r="AJ289" s="3" t="e">
        <f>_xlfn.XLOOKUP(K289,工作表1!A:A,工作表1!C:C)</f>
        <v>#N/A</v>
      </c>
      <c r="AK289" s="3"/>
      <c r="AL289" s="6">
        <f t="shared" si="65"/>
        <v>0</v>
      </c>
      <c r="AM289" s="6">
        <f t="shared" si="66"/>
        <v>0</v>
      </c>
      <c r="AN289" s="6">
        <f t="shared" si="67"/>
        <v>0</v>
      </c>
      <c r="AO289" s="6">
        <f t="shared" si="68"/>
        <v>0</v>
      </c>
      <c r="AP289" s="6">
        <f t="shared" si="69"/>
        <v>0</v>
      </c>
      <c r="AQ289" s="6">
        <f t="shared" si="70"/>
        <v>0</v>
      </c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  <c r="BC289" s="6"/>
      <c r="BD289" s="6"/>
      <c r="BE289" s="6"/>
      <c r="BF289" s="6"/>
      <c r="BG289" s="6"/>
      <c r="BH289" s="6"/>
      <c r="BI289" s="6"/>
      <c r="BJ289" s="6"/>
      <c r="BK289" s="6"/>
      <c r="BL289" s="6"/>
      <c r="BM289" s="6"/>
      <c r="BN289" s="6"/>
      <c r="BO289" s="6"/>
      <c r="BP289" s="3">
        <v>1</v>
      </c>
      <c r="BQ289" s="6">
        <f t="shared" si="61"/>
        <v>0</v>
      </c>
    </row>
    <row r="290" spans="1:69" x14ac:dyDescent="0.3">
      <c r="A290" s="3" t="s">
        <v>17</v>
      </c>
      <c r="B290" s="3">
        <v>472</v>
      </c>
      <c r="C290" s="3" t="s">
        <v>485</v>
      </c>
      <c r="D290" s="3">
        <v>1</v>
      </c>
      <c r="E290" s="3" t="s">
        <v>19</v>
      </c>
      <c r="F290" s="3" t="s">
        <v>19</v>
      </c>
      <c r="G290" s="3" t="s">
        <v>19</v>
      </c>
      <c r="H290" s="3" t="s">
        <v>101</v>
      </c>
      <c r="I290" s="3"/>
      <c r="J290" s="3" t="s">
        <v>486</v>
      </c>
      <c r="K290" s="3" t="s">
        <v>489</v>
      </c>
      <c r="L290" s="3" t="s">
        <v>335</v>
      </c>
      <c r="M290" s="3">
        <v>0</v>
      </c>
      <c r="N290" s="6"/>
      <c r="O290" s="3">
        <v>12</v>
      </c>
      <c r="P290" s="3">
        <v>12</v>
      </c>
      <c r="Q290" s="3">
        <v>0</v>
      </c>
      <c r="R290" s="3">
        <v>0</v>
      </c>
      <c r="S290" s="3">
        <v>12</v>
      </c>
      <c r="T290" s="3">
        <v>0</v>
      </c>
      <c r="U290" s="3">
        <v>0</v>
      </c>
      <c r="V290" s="3">
        <f t="shared" si="62"/>
        <v>12</v>
      </c>
      <c r="W290" s="3">
        <v>0</v>
      </c>
      <c r="X290" s="3">
        <v>0</v>
      </c>
      <c r="Y290" s="3">
        <v>12</v>
      </c>
      <c r="Z290" s="3">
        <v>0</v>
      </c>
      <c r="AA290" s="3">
        <v>0</v>
      </c>
      <c r="AB290" s="3">
        <f t="shared" si="63"/>
        <v>12</v>
      </c>
      <c r="AC290" s="6">
        <f t="shared" si="71"/>
        <v>0</v>
      </c>
      <c r="AD290" s="6">
        <f t="shared" si="72"/>
        <v>0</v>
      </c>
      <c r="AE290" s="6">
        <f t="shared" si="73"/>
        <v>-12</v>
      </c>
      <c r="AF290" s="6">
        <f t="shared" si="74"/>
        <v>0</v>
      </c>
      <c r="AG290" s="6">
        <f t="shared" si="75"/>
        <v>0</v>
      </c>
      <c r="AH290" s="6">
        <f t="shared" si="64"/>
        <v>-12</v>
      </c>
      <c r="AI290" s="3"/>
      <c r="AJ290" s="3" t="e">
        <f>_xlfn.XLOOKUP(K290,工作表1!A:A,工作表1!C:C)</f>
        <v>#N/A</v>
      </c>
      <c r="AK290" s="3"/>
      <c r="AL290" s="6">
        <f t="shared" si="65"/>
        <v>0</v>
      </c>
      <c r="AM290" s="6">
        <f t="shared" si="66"/>
        <v>0</v>
      </c>
      <c r="AN290" s="6">
        <f t="shared" si="67"/>
        <v>0</v>
      </c>
      <c r="AO290" s="6">
        <f t="shared" si="68"/>
        <v>0</v>
      </c>
      <c r="AP290" s="6">
        <f t="shared" si="69"/>
        <v>0</v>
      </c>
      <c r="AQ290" s="6">
        <f t="shared" si="70"/>
        <v>0</v>
      </c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  <c r="BC290" s="6"/>
      <c r="BD290" s="6"/>
      <c r="BE290" s="6"/>
      <c r="BF290" s="6"/>
      <c r="BG290" s="6"/>
      <c r="BH290" s="6"/>
      <c r="BI290" s="6"/>
      <c r="BJ290" s="6"/>
      <c r="BK290" s="6"/>
      <c r="BL290" s="6"/>
      <c r="BM290" s="6"/>
      <c r="BN290" s="6"/>
      <c r="BO290" s="6"/>
      <c r="BP290" s="3">
        <v>12</v>
      </c>
      <c r="BQ290" s="6">
        <f t="shared" si="61"/>
        <v>0</v>
      </c>
    </row>
    <row r="291" spans="1:69" x14ac:dyDescent="0.3">
      <c r="A291" s="3" t="s">
        <v>17</v>
      </c>
      <c r="B291" s="3">
        <v>481</v>
      </c>
      <c r="C291" s="3" t="s">
        <v>490</v>
      </c>
      <c r="D291" s="3">
        <v>2</v>
      </c>
      <c r="E291" s="3">
        <v>480</v>
      </c>
      <c r="F291" s="3" t="s">
        <v>19</v>
      </c>
      <c r="G291" s="3" t="s">
        <v>19</v>
      </c>
      <c r="H291" s="3" t="s">
        <v>491</v>
      </c>
      <c r="I291" s="3"/>
      <c r="J291" s="3" t="s">
        <v>486</v>
      </c>
      <c r="K291" s="3" t="s">
        <v>492</v>
      </c>
      <c r="L291" s="3" t="s">
        <v>335</v>
      </c>
      <c r="M291" s="3">
        <v>0</v>
      </c>
      <c r="N291" s="6"/>
      <c r="O291" s="3">
        <v>12</v>
      </c>
      <c r="P291" s="3">
        <v>12</v>
      </c>
      <c r="Q291" s="3">
        <v>0</v>
      </c>
      <c r="R291" s="3">
        <v>0</v>
      </c>
      <c r="S291" s="3">
        <v>12</v>
      </c>
      <c r="T291" s="3">
        <v>0</v>
      </c>
      <c r="U291" s="3">
        <v>0</v>
      </c>
      <c r="V291" s="3">
        <f t="shared" si="62"/>
        <v>12</v>
      </c>
      <c r="W291" s="3">
        <v>0</v>
      </c>
      <c r="X291" s="3">
        <v>0</v>
      </c>
      <c r="Y291" s="3">
        <v>12</v>
      </c>
      <c r="Z291" s="3">
        <v>0</v>
      </c>
      <c r="AA291" s="3">
        <v>0</v>
      </c>
      <c r="AB291" s="3">
        <f t="shared" si="63"/>
        <v>12</v>
      </c>
      <c r="AC291" s="6">
        <f t="shared" si="71"/>
        <v>0</v>
      </c>
      <c r="AD291" s="6">
        <f t="shared" si="72"/>
        <v>0</v>
      </c>
      <c r="AE291" s="6">
        <f t="shared" si="73"/>
        <v>-12</v>
      </c>
      <c r="AF291" s="6">
        <f t="shared" si="74"/>
        <v>0</v>
      </c>
      <c r="AG291" s="6">
        <f t="shared" si="75"/>
        <v>0</v>
      </c>
      <c r="AH291" s="6">
        <f t="shared" si="64"/>
        <v>-12</v>
      </c>
      <c r="AI291" s="3"/>
      <c r="AJ291" s="3" t="e">
        <f>_xlfn.XLOOKUP(K291,工作表1!A:A,工作表1!C:C)</f>
        <v>#N/A</v>
      </c>
      <c r="AK291" s="3"/>
      <c r="AL291" s="6">
        <f t="shared" si="65"/>
        <v>0</v>
      </c>
      <c r="AM291" s="6">
        <f t="shared" si="66"/>
        <v>0</v>
      </c>
      <c r="AN291" s="6">
        <f t="shared" si="67"/>
        <v>0</v>
      </c>
      <c r="AO291" s="6">
        <f t="shared" si="68"/>
        <v>0</v>
      </c>
      <c r="AP291" s="6">
        <f t="shared" si="69"/>
        <v>0</v>
      </c>
      <c r="AQ291" s="6">
        <f t="shared" si="70"/>
        <v>0</v>
      </c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  <c r="BC291" s="6"/>
      <c r="BD291" s="6"/>
      <c r="BE291" s="6"/>
      <c r="BF291" s="6"/>
      <c r="BG291" s="6"/>
      <c r="BH291" s="6"/>
      <c r="BI291" s="6"/>
      <c r="BJ291" s="6"/>
      <c r="BK291" s="6"/>
      <c r="BL291" s="6"/>
      <c r="BM291" s="6"/>
      <c r="BN291" s="6"/>
      <c r="BO291" s="6"/>
      <c r="BP291" s="3">
        <v>12</v>
      </c>
      <c r="BQ291" s="6">
        <f t="shared" si="61"/>
        <v>0</v>
      </c>
    </row>
    <row r="292" spans="1:69" x14ac:dyDescent="0.3">
      <c r="A292" s="3" t="s">
        <v>17</v>
      </c>
      <c r="B292" s="3">
        <v>481</v>
      </c>
      <c r="C292" s="3" t="s">
        <v>490</v>
      </c>
      <c r="D292" s="3">
        <v>1.5</v>
      </c>
      <c r="E292" s="3">
        <v>280</v>
      </c>
      <c r="F292" s="3" t="s">
        <v>19</v>
      </c>
      <c r="G292" s="3" t="s">
        <v>19</v>
      </c>
      <c r="H292" s="3" t="s">
        <v>493</v>
      </c>
      <c r="I292" s="3"/>
      <c r="J292" s="3" t="s">
        <v>486</v>
      </c>
      <c r="K292" s="3" t="s">
        <v>494</v>
      </c>
      <c r="L292" s="3" t="s">
        <v>335</v>
      </c>
      <c r="M292" s="3">
        <v>0</v>
      </c>
      <c r="N292" s="6"/>
      <c r="O292" s="3">
        <v>32</v>
      </c>
      <c r="P292" s="3">
        <v>32</v>
      </c>
      <c r="Q292" s="3">
        <v>0</v>
      </c>
      <c r="R292" s="3">
        <v>0</v>
      </c>
      <c r="S292" s="3">
        <v>32</v>
      </c>
      <c r="T292" s="3">
        <v>0</v>
      </c>
      <c r="U292" s="3">
        <v>0</v>
      </c>
      <c r="V292" s="3">
        <f t="shared" si="62"/>
        <v>32</v>
      </c>
      <c r="W292" s="3">
        <v>0</v>
      </c>
      <c r="X292" s="3">
        <v>0</v>
      </c>
      <c r="Y292" s="3">
        <v>32</v>
      </c>
      <c r="Z292" s="3">
        <v>0</v>
      </c>
      <c r="AA292" s="3">
        <v>0</v>
      </c>
      <c r="AB292" s="3">
        <f t="shared" si="63"/>
        <v>32</v>
      </c>
      <c r="AC292" s="6">
        <f t="shared" si="71"/>
        <v>0</v>
      </c>
      <c r="AD292" s="6">
        <f t="shared" si="72"/>
        <v>0</v>
      </c>
      <c r="AE292" s="6">
        <f t="shared" si="73"/>
        <v>-32</v>
      </c>
      <c r="AF292" s="6">
        <f t="shared" si="74"/>
        <v>0</v>
      </c>
      <c r="AG292" s="6">
        <f t="shared" si="75"/>
        <v>0</v>
      </c>
      <c r="AH292" s="6">
        <f t="shared" si="64"/>
        <v>-32</v>
      </c>
      <c r="AI292" s="3"/>
      <c r="AJ292" s="3" t="e">
        <f>_xlfn.XLOOKUP(K292,工作表1!A:A,工作表1!C:C)</f>
        <v>#N/A</v>
      </c>
      <c r="AK292" s="3"/>
      <c r="AL292" s="6">
        <f t="shared" si="65"/>
        <v>0</v>
      </c>
      <c r="AM292" s="6">
        <f t="shared" si="66"/>
        <v>0</v>
      </c>
      <c r="AN292" s="6">
        <f t="shared" si="67"/>
        <v>0</v>
      </c>
      <c r="AO292" s="6">
        <f t="shared" si="68"/>
        <v>0</v>
      </c>
      <c r="AP292" s="6">
        <f t="shared" si="69"/>
        <v>0</v>
      </c>
      <c r="AQ292" s="6">
        <f t="shared" si="70"/>
        <v>0</v>
      </c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  <c r="BC292" s="6"/>
      <c r="BD292" s="6"/>
      <c r="BE292" s="6"/>
      <c r="BF292" s="6"/>
      <c r="BG292" s="6"/>
      <c r="BH292" s="6"/>
      <c r="BI292" s="6"/>
      <c r="BJ292" s="6"/>
      <c r="BK292" s="6"/>
      <c r="BL292" s="6"/>
      <c r="BM292" s="6"/>
      <c r="BN292" s="6"/>
      <c r="BO292" s="6"/>
      <c r="BP292" s="3">
        <v>32</v>
      </c>
      <c r="BQ292" s="6">
        <f t="shared" si="61"/>
        <v>0</v>
      </c>
    </row>
    <row r="293" spans="1:69" x14ac:dyDescent="0.3">
      <c r="A293" s="3" t="s">
        <v>17</v>
      </c>
      <c r="B293" s="3">
        <v>481</v>
      </c>
      <c r="C293" s="3" t="s">
        <v>495</v>
      </c>
      <c r="D293" s="3">
        <v>0.875</v>
      </c>
      <c r="E293" s="3">
        <v>175</v>
      </c>
      <c r="F293" s="3" t="s">
        <v>19</v>
      </c>
      <c r="G293" s="3" t="s">
        <v>19</v>
      </c>
      <c r="H293" s="3" t="s">
        <v>496</v>
      </c>
      <c r="I293" s="3"/>
      <c r="J293" s="3" t="s">
        <v>486</v>
      </c>
      <c r="K293" s="3" t="s">
        <v>497</v>
      </c>
      <c r="L293" s="3" t="s">
        <v>335</v>
      </c>
      <c r="M293" s="3">
        <v>29</v>
      </c>
      <c r="N293" s="6"/>
      <c r="O293" s="3">
        <v>24</v>
      </c>
      <c r="P293" s="3">
        <v>24</v>
      </c>
      <c r="Q293" s="3">
        <v>0</v>
      </c>
      <c r="R293" s="3">
        <v>0</v>
      </c>
      <c r="S293" s="3">
        <v>0</v>
      </c>
      <c r="T293" s="3">
        <v>24</v>
      </c>
      <c r="U293" s="3">
        <v>0</v>
      </c>
      <c r="V293" s="3">
        <f t="shared" si="62"/>
        <v>24</v>
      </c>
      <c r="W293" s="3">
        <v>0</v>
      </c>
      <c r="X293" s="3">
        <v>0</v>
      </c>
      <c r="Y293" s="3">
        <v>0</v>
      </c>
      <c r="Z293" s="3">
        <v>24</v>
      </c>
      <c r="AA293" s="3">
        <v>0</v>
      </c>
      <c r="AB293" s="3">
        <f t="shared" si="63"/>
        <v>24</v>
      </c>
      <c r="AC293" s="6">
        <f t="shared" si="71"/>
        <v>0</v>
      </c>
      <c r="AD293" s="6">
        <f t="shared" si="72"/>
        <v>0</v>
      </c>
      <c r="AE293" s="6">
        <f t="shared" si="73"/>
        <v>0</v>
      </c>
      <c r="AF293" s="6">
        <f t="shared" si="74"/>
        <v>-24</v>
      </c>
      <c r="AG293" s="6">
        <f t="shared" si="75"/>
        <v>0</v>
      </c>
      <c r="AH293" s="6">
        <f t="shared" si="64"/>
        <v>-24</v>
      </c>
      <c r="AI293" s="3"/>
      <c r="AJ293" s="3" t="e">
        <f>_xlfn.XLOOKUP(K293,工作表1!A:A,工作表1!C:C)</f>
        <v>#N/A</v>
      </c>
      <c r="AK293" s="3"/>
      <c r="AL293" s="6">
        <f t="shared" si="65"/>
        <v>0</v>
      </c>
      <c r="AM293" s="6">
        <f t="shared" si="66"/>
        <v>0</v>
      </c>
      <c r="AN293" s="6">
        <f t="shared" si="67"/>
        <v>0</v>
      </c>
      <c r="AO293" s="6">
        <f t="shared" si="68"/>
        <v>0</v>
      </c>
      <c r="AP293" s="6">
        <f t="shared" si="69"/>
        <v>0</v>
      </c>
      <c r="AQ293" s="6">
        <f t="shared" si="70"/>
        <v>0</v>
      </c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  <c r="BC293" s="6"/>
      <c r="BD293" s="6"/>
      <c r="BE293" s="6"/>
      <c r="BF293" s="6"/>
      <c r="BG293" s="6"/>
      <c r="BH293" s="6"/>
      <c r="BI293" s="6"/>
      <c r="BJ293" s="6"/>
      <c r="BK293" s="6"/>
      <c r="BL293" s="6"/>
      <c r="BM293" s="6"/>
      <c r="BN293" s="6"/>
      <c r="BO293" s="6"/>
      <c r="BP293" s="3">
        <v>24</v>
      </c>
      <c r="BQ293" s="6">
        <f t="shared" si="61"/>
        <v>0</v>
      </c>
    </row>
    <row r="294" spans="1:69" x14ac:dyDescent="0.3">
      <c r="A294" s="3" t="s">
        <v>17</v>
      </c>
      <c r="B294" s="3">
        <v>481</v>
      </c>
      <c r="C294" s="3" t="s">
        <v>495</v>
      </c>
      <c r="D294" s="3">
        <v>0.875</v>
      </c>
      <c r="E294" s="3">
        <v>145</v>
      </c>
      <c r="F294" s="3" t="s">
        <v>19</v>
      </c>
      <c r="G294" s="3" t="s">
        <v>19</v>
      </c>
      <c r="H294" s="3" t="s">
        <v>498</v>
      </c>
      <c r="I294" s="3"/>
      <c r="J294" s="3" t="s">
        <v>486</v>
      </c>
      <c r="K294" s="3" t="s">
        <v>499</v>
      </c>
      <c r="L294" s="3" t="s">
        <v>335</v>
      </c>
      <c r="M294" s="3">
        <v>331</v>
      </c>
      <c r="N294" s="6"/>
      <c r="O294" s="3">
        <v>132</v>
      </c>
      <c r="P294" s="3">
        <v>132</v>
      </c>
      <c r="Q294" s="3">
        <v>0</v>
      </c>
      <c r="R294" s="3">
        <v>0</v>
      </c>
      <c r="S294" s="3">
        <v>0</v>
      </c>
      <c r="T294" s="3">
        <v>132</v>
      </c>
      <c r="U294" s="3">
        <v>0</v>
      </c>
      <c r="V294" s="3">
        <f t="shared" si="62"/>
        <v>132</v>
      </c>
      <c r="W294" s="3">
        <v>0</v>
      </c>
      <c r="X294" s="3">
        <v>0</v>
      </c>
      <c r="Y294" s="3">
        <v>0</v>
      </c>
      <c r="Z294" s="3">
        <v>132</v>
      </c>
      <c r="AA294" s="3">
        <v>0</v>
      </c>
      <c r="AB294" s="3">
        <f t="shared" si="63"/>
        <v>132</v>
      </c>
      <c r="AC294" s="6">
        <f t="shared" si="71"/>
        <v>0</v>
      </c>
      <c r="AD294" s="6">
        <f t="shared" si="72"/>
        <v>0</v>
      </c>
      <c r="AE294" s="6">
        <f t="shared" si="73"/>
        <v>0</v>
      </c>
      <c r="AF294" s="6">
        <f t="shared" si="74"/>
        <v>-132</v>
      </c>
      <c r="AG294" s="6">
        <f t="shared" si="75"/>
        <v>0</v>
      </c>
      <c r="AH294" s="6">
        <f t="shared" si="64"/>
        <v>-132</v>
      </c>
      <c r="AI294" s="3"/>
      <c r="AJ294" s="3" t="e">
        <f>_xlfn.XLOOKUP(K294,工作表1!A:A,工作表1!C:C)</f>
        <v>#N/A</v>
      </c>
      <c r="AK294" s="3"/>
      <c r="AL294" s="6">
        <f t="shared" si="65"/>
        <v>0</v>
      </c>
      <c r="AM294" s="6">
        <f t="shared" si="66"/>
        <v>0</v>
      </c>
      <c r="AN294" s="6">
        <f t="shared" si="67"/>
        <v>0</v>
      </c>
      <c r="AO294" s="6">
        <f t="shared" si="68"/>
        <v>0</v>
      </c>
      <c r="AP294" s="6">
        <f t="shared" si="69"/>
        <v>0</v>
      </c>
      <c r="AQ294" s="6">
        <f t="shared" si="70"/>
        <v>0</v>
      </c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  <c r="BC294" s="6"/>
      <c r="BD294" s="6"/>
      <c r="BE294" s="6"/>
      <c r="BF294" s="6"/>
      <c r="BG294" s="6"/>
      <c r="BH294" s="6"/>
      <c r="BI294" s="6"/>
      <c r="BJ294" s="6"/>
      <c r="BK294" s="6"/>
      <c r="BL294" s="6"/>
      <c r="BM294" s="6"/>
      <c r="BN294" s="6"/>
      <c r="BO294" s="6"/>
      <c r="BP294" s="3">
        <v>132</v>
      </c>
      <c r="BQ294" s="6">
        <f t="shared" si="61"/>
        <v>0</v>
      </c>
    </row>
    <row r="295" spans="1:69" x14ac:dyDescent="0.3">
      <c r="A295" s="3" t="s">
        <v>17</v>
      </c>
      <c r="B295" s="3">
        <v>481</v>
      </c>
      <c r="C295" s="3" t="s">
        <v>495</v>
      </c>
      <c r="D295" s="3">
        <v>0.875</v>
      </c>
      <c r="E295" s="3">
        <v>125</v>
      </c>
      <c r="F295" s="3" t="s">
        <v>19</v>
      </c>
      <c r="G295" s="3" t="s">
        <v>19</v>
      </c>
      <c r="H295" s="3" t="s">
        <v>500</v>
      </c>
      <c r="I295" s="3"/>
      <c r="J295" s="3" t="s">
        <v>486</v>
      </c>
      <c r="K295" s="3" t="s">
        <v>501</v>
      </c>
      <c r="L295" s="3" t="s">
        <v>335</v>
      </c>
      <c r="M295" s="3">
        <v>14</v>
      </c>
      <c r="N295" s="6"/>
      <c r="O295" s="3">
        <v>12</v>
      </c>
      <c r="P295" s="3">
        <v>12</v>
      </c>
      <c r="Q295" s="3">
        <v>0</v>
      </c>
      <c r="R295" s="3">
        <v>0</v>
      </c>
      <c r="S295" s="3">
        <v>0</v>
      </c>
      <c r="T295" s="3">
        <v>12</v>
      </c>
      <c r="U295" s="3">
        <v>0</v>
      </c>
      <c r="V295" s="3">
        <f t="shared" si="62"/>
        <v>12</v>
      </c>
      <c r="W295" s="3">
        <v>0</v>
      </c>
      <c r="X295" s="3">
        <v>0</v>
      </c>
      <c r="Y295" s="3">
        <v>0</v>
      </c>
      <c r="Z295" s="3">
        <v>12</v>
      </c>
      <c r="AA295" s="3">
        <v>0</v>
      </c>
      <c r="AB295" s="3">
        <f t="shared" si="63"/>
        <v>12</v>
      </c>
      <c r="AC295" s="6">
        <f t="shared" si="71"/>
        <v>0</v>
      </c>
      <c r="AD295" s="6">
        <f t="shared" si="72"/>
        <v>0</v>
      </c>
      <c r="AE295" s="6">
        <f t="shared" si="73"/>
        <v>0</v>
      </c>
      <c r="AF295" s="6">
        <f t="shared" si="74"/>
        <v>-12</v>
      </c>
      <c r="AG295" s="6">
        <f t="shared" si="75"/>
        <v>0</v>
      </c>
      <c r="AH295" s="6">
        <f t="shared" si="64"/>
        <v>-12</v>
      </c>
      <c r="AI295" s="3"/>
      <c r="AJ295" s="3" t="e">
        <f>_xlfn.XLOOKUP(K295,工作表1!A:A,工作表1!C:C)</f>
        <v>#N/A</v>
      </c>
      <c r="AK295" s="3"/>
      <c r="AL295" s="6">
        <f t="shared" si="65"/>
        <v>0</v>
      </c>
      <c r="AM295" s="6">
        <f t="shared" si="66"/>
        <v>0</v>
      </c>
      <c r="AN295" s="6">
        <f t="shared" si="67"/>
        <v>0</v>
      </c>
      <c r="AO295" s="6">
        <f t="shared" si="68"/>
        <v>0</v>
      </c>
      <c r="AP295" s="6">
        <f t="shared" si="69"/>
        <v>0</v>
      </c>
      <c r="AQ295" s="6">
        <f t="shared" si="70"/>
        <v>0</v>
      </c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  <c r="BC295" s="6"/>
      <c r="BD295" s="6"/>
      <c r="BE295" s="6"/>
      <c r="BF295" s="6"/>
      <c r="BG295" s="6"/>
      <c r="BH295" s="6"/>
      <c r="BI295" s="6"/>
      <c r="BJ295" s="6"/>
      <c r="BK295" s="6"/>
      <c r="BL295" s="6"/>
      <c r="BM295" s="6"/>
      <c r="BN295" s="6"/>
      <c r="BO295" s="6"/>
      <c r="BP295" s="3">
        <v>12</v>
      </c>
      <c r="BQ295" s="6">
        <f t="shared" si="61"/>
        <v>0</v>
      </c>
    </row>
    <row r="296" spans="1:69" x14ac:dyDescent="0.3">
      <c r="A296" s="3" t="s">
        <v>17</v>
      </c>
      <c r="B296" s="3">
        <v>481</v>
      </c>
      <c r="C296" s="3" t="s">
        <v>495</v>
      </c>
      <c r="D296" s="3">
        <v>0.875</v>
      </c>
      <c r="E296" s="3">
        <v>155</v>
      </c>
      <c r="F296" s="3" t="s">
        <v>19</v>
      </c>
      <c r="G296" s="3" t="s">
        <v>19</v>
      </c>
      <c r="H296" s="3" t="s">
        <v>502</v>
      </c>
      <c r="I296" s="3"/>
      <c r="J296" s="3" t="s">
        <v>486</v>
      </c>
      <c r="K296" s="3" t="s">
        <v>503</v>
      </c>
      <c r="L296" s="3" t="s">
        <v>335</v>
      </c>
      <c r="M296" s="3">
        <v>29</v>
      </c>
      <c r="N296" s="6"/>
      <c r="O296" s="3">
        <v>12</v>
      </c>
      <c r="P296" s="3">
        <v>12</v>
      </c>
      <c r="Q296" s="3">
        <v>0</v>
      </c>
      <c r="R296" s="3">
        <v>0</v>
      </c>
      <c r="S296" s="3">
        <v>0</v>
      </c>
      <c r="T296" s="3">
        <v>12</v>
      </c>
      <c r="U296" s="3">
        <v>0</v>
      </c>
      <c r="V296" s="3">
        <f t="shared" si="62"/>
        <v>12</v>
      </c>
      <c r="W296" s="3">
        <v>0</v>
      </c>
      <c r="X296" s="3">
        <v>0</v>
      </c>
      <c r="Y296" s="3">
        <v>0</v>
      </c>
      <c r="Z296" s="3">
        <v>12</v>
      </c>
      <c r="AA296" s="3">
        <v>0</v>
      </c>
      <c r="AB296" s="3">
        <f t="shared" si="63"/>
        <v>12</v>
      </c>
      <c r="AC296" s="6">
        <f t="shared" si="71"/>
        <v>0</v>
      </c>
      <c r="AD296" s="6">
        <f t="shared" si="72"/>
        <v>0</v>
      </c>
      <c r="AE296" s="6">
        <f t="shared" si="73"/>
        <v>0</v>
      </c>
      <c r="AF296" s="6">
        <f t="shared" si="74"/>
        <v>-12</v>
      </c>
      <c r="AG296" s="6">
        <f t="shared" si="75"/>
        <v>0</v>
      </c>
      <c r="AH296" s="6">
        <f t="shared" si="64"/>
        <v>-12</v>
      </c>
      <c r="AI296" s="3"/>
      <c r="AJ296" s="3" t="e">
        <f>_xlfn.XLOOKUP(K296,工作表1!A:A,工作表1!C:C)</f>
        <v>#N/A</v>
      </c>
      <c r="AK296" s="3"/>
      <c r="AL296" s="6">
        <f t="shared" si="65"/>
        <v>0</v>
      </c>
      <c r="AM296" s="6">
        <f t="shared" si="66"/>
        <v>0</v>
      </c>
      <c r="AN296" s="6">
        <f t="shared" si="67"/>
        <v>0</v>
      </c>
      <c r="AO296" s="6">
        <f t="shared" si="68"/>
        <v>0</v>
      </c>
      <c r="AP296" s="6">
        <f t="shared" si="69"/>
        <v>0</v>
      </c>
      <c r="AQ296" s="6">
        <f t="shared" si="70"/>
        <v>0</v>
      </c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  <c r="BC296" s="6"/>
      <c r="BD296" s="6"/>
      <c r="BE296" s="6"/>
      <c r="BF296" s="6"/>
      <c r="BG296" s="6"/>
      <c r="BH296" s="6"/>
      <c r="BI296" s="6"/>
      <c r="BJ296" s="6"/>
      <c r="BK296" s="6"/>
      <c r="BL296" s="6"/>
      <c r="BM296" s="6"/>
      <c r="BN296" s="6"/>
      <c r="BO296" s="6"/>
      <c r="BP296" s="3">
        <v>12</v>
      </c>
      <c r="BQ296" s="6">
        <f t="shared" si="61"/>
        <v>0</v>
      </c>
    </row>
    <row r="297" spans="1:69" x14ac:dyDescent="0.3">
      <c r="A297" s="3" t="s">
        <v>17</v>
      </c>
      <c r="B297" s="3">
        <v>481</v>
      </c>
      <c r="C297" s="3" t="s">
        <v>495</v>
      </c>
      <c r="D297" s="3">
        <v>0.75</v>
      </c>
      <c r="E297" s="3">
        <v>130</v>
      </c>
      <c r="F297" s="3" t="s">
        <v>19</v>
      </c>
      <c r="G297" s="3" t="s">
        <v>19</v>
      </c>
      <c r="H297" s="3" t="s">
        <v>504</v>
      </c>
      <c r="I297" s="3"/>
      <c r="J297" s="3" t="s">
        <v>486</v>
      </c>
      <c r="K297" s="3" t="s">
        <v>505</v>
      </c>
      <c r="L297" s="3" t="s">
        <v>335</v>
      </c>
      <c r="M297" s="3">
        <v>365</v>
      </c>
      <c r="N297" s="6"/>
      <c r="O297" s="3">
        <v>160</v>
      </c>
      <c r="P297" s="3">
        <v>160</v>
      </c>
      <c r="Q297" s="3">
        <v>0</v>
      </c>
      <c r="R297" s="3">
        <v>0</v>
      </c>
      <c r="S297" s="3">
        <v>0</v>
      </c>
      <c r="T297" s="3">
        <v>160</v>
      </c>
      <c r="U297" s="3">
        <v>0</v>
      </c>
      <c r="V297" s="3">
        <f t="shared" si="62"/>
        <v>160</v>
      </c>
      <c r="W297" s="3">
        <v>0</v>
      </c>
      <c r="X297" s="3">
        <v>0</v>
      </c>
      <c r="Y297" s="3">
        <v>0</v>
      </c>
      <c r="Z297" s="3">
        <v>160</v>
      </c>
      <c r="AA297" s="3">
        <v>0</v>
      </c>
      <c r="AB297" s="3">
        <f t="shared" si="63"/>
        <v>160</v>
      </c>
      <c r="AC297" s="6">
        <f t="shared" si="71"/>
        <v>0</v>
      </c>
      <c r="AD297" s="6">
        <f t="shared" si="72"/>
        <v>0</v>
      </c>
      <c r="AE297" s="6">
        <f t="shared" si="73"/>
        <v>0</v>
      </c>
      <c r="AF297" s="6">
        <f t="shared" si="74"/>
        <v>-160</v>
      </c>
      <c r="AG297" s="6">
        <f t="shared" si="75"/>
        <v>0</v>
      </c>
      <c r="AH297" s="6">
        <f t="shared" si="64"/>
        <v>-160</v>
      </c>
      <c r="AI297" s="3"/>
      <c r="AJ297" s="3" t="e">
        <f>_xlfn.XLOOKUP(K297,工作表1!A:A,工作表1!C:C)</f>
        <v>#N/A</v>
      </c>
      <c r="AK297" s="3"/>
      <c r="AL297" s="6">
        <f t="shared" si="65"/>
        <v>0</v>
      </c>
      <c r="AM297" s="6">
        <f t="shared" si="66"/>
        <v>0</v>
      </c>
      <c r="AN297" s="6">
        <f t="shared" si="67"/>
        <v>0</v>
      </c>
      <c r="AO297" s="6">
        <f t="shared" si="68"/>
        <v>0</v>
      </c>
      <c r="AP297" s="6">
        <f t="shared" si="69"/>
        <v>0</v>
      </c>
      <c r="AQ297" s="6">
        <f t="shared" si="70"/>
        <v>0</v>
      </c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  <c r="BC297" s="6"/>
      <c r="BD297" s="6"/>
      <c r="BE297" s="6"/>
      <c r="BF297" s="6"/>
      <c r="BG297" s="6"/>
      <c r="BH297" s="6"/>
      <c r="BI297" s="6"/>
      <c r="BJ297" s="6"/>
      <c r="BK297" s="6"/>
      <c r="BL297" s="6"/>
      <c r="BM297" s="6"/>
      <c r="BN297" s="6"/>
      <c r="BO297" s="6"/>
      <c r="BP297" s="3">
        <v>160</v>
      </c>
      <c r="BQ297" s="6">
        <f t="shared" si="61"/>
        <v>0</v>
      </c>
    </row>
    <row r="298" spans="1:69" x14ac:dyDescent="0.3">
      <c r="A298" s="3" t="s">
        <v>17</v>
      </c>
      <c r="B298" s="3">
        <v>481</v>
      </c>
      <c r="C298" s="3" t="s">
        <v>495</v>
      </c>
      <c r="D298" s="3">
        <v>0.75</v>
      </c>
      <c r="E298" s="3">
        <v>95</v>
      </c>
      <c r="F298" s="3" t="s">
        <v>19</v>
      </c>
      <c r="G298" s="3" t="s">
        <v>19</v>
      </c>
      <c r="H298" s="3" t="s">
        <v>506</v>
      </c>
      <c r="I298" s="3"/>
      <c r="J298" s="3" t="s">
        <v>486</v>
      </c>
      <c r="K298" s="3" t="s">
        <v>507</v>
      </c>
      <c r="L298" s="3" t="s">
        <v>335</v>
      </c>
      <c r="M298" s="3">
        <v>48</v>
      </c>
      <c r="N298" s="6"/>
      <c r="O298" s="3">
        <v>32</v>
      </c>
      <c r="P298" s="3">
        <v>32</v>
      </c>
      <c r="Q298" s="3">
        <v>0</v>
      </c>
      <c r="R298" s="3">
        <v>16</v>
      </c>
      <c r="S298" s="3">
        <v>0</v>
      </c>
      <c r="T298" s="3">
        <v>16</v>
      </c>
      <c r="U298" s="3">
        <v>0</v>
      </c>
      <c r="V298" s="3">
        <f t="shared" si="62"/>
        <v>32</v>
      </c>
      <c r="W298" s="3">
        <v>0</v>
      </c>
      <c r="X298" s="3">
        <v>16</v>
      </c>
      <c r="Y298" s="3">
        <v>0</v>
      </c>
      <c r="Z298" s="3">
        <v>16</v>
      </c>
      <c r="AA298" s="3">
        <v>0</v>
      </c>
      <c r="AB298" s="3">
        <f t="shared" si="63"/>
        <v>32</v>
      </c>
      <c r="AC298" s="6">
        <f t="shared" si="71"/>
        <v>0</v>
      </c>
      <c r="AD298" s="6">
        <f t="shared" si="72"/>
        <v>-16</v>
      </c>
      <c r="AE298" s="6">
        <f t="shared" si="73"/>
        <v>0</v>
      </c>
      <c r="AF298" s="6">
        <f t="shared" si="74"/>
        <v>-16</v>
      </c>
      <c r="AG298" s="6">
        <f t="shared" si="75"/>
        <v>0</v>
      </c>
      <c r="AH298" s="6">
        <f t="shared" si="64"/>
        <v>-32</v>
      </c>
      <c r="AI298" s="3"/>
      <c r="AJ298" s="3" t="e">
        <f>_xlfn.XLOOKUP(K298,工作表1!A:A,工作表1!C:C)</f>
        <v>#N/A</v>
      </c>
      <c r="AK298" s="3"/>
      <c r="AL298" s="6">
        <f t="shared" si="65"/>
        <v>0</v>
      </c>
      <c r="AM298" s="6">
        <f t="shared" si="66"/>
        <v>0</v>
      </c>
      <c r="AN298" s="6">
        <f t="shared" si="67"/>
        <v>0</v>
      </c>
      <c r="AO298" s="6">
        <f t="shared" si="68"/>
        <v>0</v>
      </c>
      <c r="AP298" s="6">
        <f t="shared" si="69"/>
        <v>0</v>
      </c>
      <c r="AQ298" s="6">
        <f t="shared" si="70"/>
        <v>0</v>
      </c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  <c r="BC298" s="6"/>
      <c r="BD298" s="6"/>
      <c r="BE298" s="6"/>
      <c r="BF298" s="6"/>
      <c r="BG298" s="6"/>
      <c r="BH298" s="6"/>
      <c r="BI298" s="6"/>
      <c r="BJ298" s="6"/>
      <c r="BK298" s="6"/>
      <c r="BL298" s="6"/>
      <c r="BM298" s="6"/>
      <c r="BN298" s="6"/>
      <c r="BO298" s="6"/>
      <c r="BP298" s="3">
        <v>32</v>
      </c>
      <c r="BQ298" s="6">
        <f t="shared" si="61"/>
        <v>0</v>
      </c>
    </row>
    <row r="299" spans="1:69" x14ac:dyDescent="0.3">
      <c r="A299" s="3" t="s">
        <v>17</v>
      </c>
      <c r="B299" s="3">
        <v>481</v>
      </c>
      <c r="C299" s="3" t="s">
        <v>495</v>
      </c>
      <c r="D299" s="3">
        <v>0.75</v>
      </c>
      <c r="E299" s="3">
        <v>110</v>
      </c>
      <c r="F299" s="3" t="s">
        <v>19</v>
      </c>
      <c r="G299" s="3" t="s">
        <v>19</v>
      </c>
      <c r="H299" s="3" t="s">
        <v>508</v>
      </c>
      <c r="I299" s="3"/>
      <c r="J299" s="3" t="s">
        <v>486</v>
      </c>
      <c r="K299" s="3" t="s">
        <v>509</v>
      </c>
      <c r="L299" s="3" t="s">
        <v>335</v>
      </c>
      <c r="M299" s="3">
        <v>461</v>
      </c>
      <c r="N299" s="6"/>
      <c r="O299" s="3">
        <v>328</v>
      </c>
      <c r="P299" s="3">
        <v>328</v>
      </c>
      <c r="Q299" s="3">
        <v>0</v>
      </c>
      <c r="R299" s="3">
        <v>80</v>
      </c>
      <c r="S299" s="3">
        <v>0</v>
      </c>
      <c r="T299" s="3">
        <v>248</v>
      </c>
      <c r="U299" s="3">
        <v>0</v>
      </c>
      <c r="V299" s="3">
        <f t="shared" si="62"/>
        <v>328</v>
      </c>
      <c r="W299" s="3">
        <v>0</v>
      </c>
      <c r="X299" s="3">
        <v>80</v>
      </c>
      <c r="Y299" s="3">
        <v>0</v>
      </c>
      <c r="Z299" s="3">
        <v>248</v>
      </c>
      <c r="AA299" s="3">
        <v>0</v>
      </c>
      <c r="AB299" s="3">
        <f t="shared" si="63"/>
        <v>328</v>
      </c>
      <c r="AC299" s="6">
        <f t="shared" si="71"/>
        <v>0</v>
      </c>
      <c r="AD299" s="6">
        <f t="shared" si="72"/>
        <v>-80</v>
      </c>
      <c r="AE299" s="6">
        <f t="shared" si="73"/>
        <v>0</v>
      </c>
      <c r="AF299" s="6">
        <f t="shared" si="74"/>
        <v>-248</v>
      </c>
      <c r="AG299" s="6">
        <f t="shared" si="75"/>
        <v>0</v>
      </c>
      <c r="AH299" s="6">
        <f t="shared" si="64"/>
        <v>-328</v>
      </c>
      <c r="AI299" s="3"/>
      <c r="AJ299" s="3" t="e">
        <f>_xlfn.XLOOKUP(K299,工作表1!A:A,工作表1!C:C)</f>
        <v>#N/A</v>
      </c>
      <c r="AK299" s="3"/>
      <c r="AL299" s="6">
        <f t="shared" si="65"/>
        <v>0</v>
      </c>
      <c r="AM299" s="6">
        <f t="shared" si="66"/>
        <v>0</v>
      </c>
      <c r="AN299" s="6">
        <f t="shared" si="67"/>
        <v>0</v>
      </c>
      <c r="AO299" s="6">
        <f t="shared" si="68"/>
        <v>0</v>
      </c>
      <c r="AP299" s="6">
        <f t="shared" si="69"/>
        <v>0</v>
      </c>
      <c r="AQ299" s="6">
        <f t="shared" si="70"/>
        <v>0</v>
      </c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  <c r="BC299" s="6"/>
      <c r="BD299" s="6"/>
      <c r="BE299" s="6"/>
      <c r="BF299" s="6"/>
      <c r="BG299" s="6"/>
      <c r="BH299" s="6"/>
      <c r="BI299" s="6"/>
      <c r="BJ299" s="6"/>
      <c r="BK299" s="6"/>
      <c r="BL299" s="6"/>
      <c r="BM299" s="6"/>
      <c r="BN299" s="6"/>
      <c r="BO299" s="6"/>
      <c r="BP299" s="3">
        <v>328</v>
      </c>
      <c r="BQ299" s="6">
        <f t="shared" si="61"/>
        <v>0</v>
      </c>
    </row>
    <row r="300" spans="1:69" x14ac:dyDescent="0.3">
      <c r="A300" s="3" t="s">
        <v>17</v>
      </c>
      <c r="B300" s="3">
        <v>481</v>
      </c>
      <c r="C300" s="3" t="s">
        <v>495</v>
      </c>
      <c r="D300" s="3">
        <v>0.75</v>
      </c>
      <c r="E300" s="3">
        <v>140</v>
      </c>
      <c r="F300" s="3" t="s">
        <v>19</v>
      </c>
      <c r="G300" s="3" t="s">
        <v>19</v>
      </c>
      <c r="H300" s="3" t="s">
        <v>510</v>
      </c>
      <c r="I300" s="3"/>
      <c r="J300" s="3" t="s">
        <v>486</v>
      </c>
      <c r="K300" s="3" t="s">
        <v>511</v>
      </c>
      <c r="L300" s="3" t="s">
        <v>335</v>
      </c>
      <c r="M300" s="3">
        <v>96</v>
      </c>
      <c r="N300" s="6"/>
      <c r="O300" s="3">
        <v>60</v>
      </c>
      <c r="P300" s="3">
        <v>60</v>
      </c>
      <c r="Q300" s="3">
        <v>0</v>
      </c>
      <c r="R300" s="3">
        <v>0</v>
      </c>
      <c r="S300" s="3">
        <v>12</v>
      </c>
      <c r="T300" s="3">
        <v>48</v>
      </c>
      <c r="U300" s="3">
        <v>0</v>
      </c>
      <c r="V300" s="3">
        <f t="shared" si="62"/>
        <v>60</v>
      </c>
      <c r="W300" s="3">
        <v>0</v>
      </c>
      <c r="X300" s="3">
        <v>0</v>
      </c>
      <c r="Y300" s="3">
        <v>12</v>
      </c>
      <c r="Z300" s="3">
        <v>48</v>
      </c>
      <c r="AA300" s="3">
        <v>0</v>
      </c>
      <c r="AB300" s="3">
        <f t="shared" si="63"/>
        <v>60</v>
      </c>
      <c r="AC300" s="6">
        <f t="shared" si="71"/>
        <v>0</v>
      </c>
      <c r="AD300" s="6">
        <f t="shared" si="72"/>
        <v>0</v>
      </c>
      <c r="AE300" s="6">
        <f t="shared" si="73"/>
        <v>-12</v>
      </c>
      <c r="AF300" s="6">
        <f t="shared" si="74"/>
        <v>-48</v>
      </c>
      <c r="AG300" s="6">
        <f t="shared" si="75"/>
        <v>0</v>
      </c>
      <c r="AH300" s="6">
        <f t="shared" si="64"/>
        <v>-60</v>
      </c>
      <c r="AI300" s="3"/>
      <c r="AJ300" s="3" t="e">
        <f>_xlfn.XLOOKUP(K300,工作表1!A:A,工作表1!C:C)</f>
        <v>#N/A</v>
      </c>
      <c r="AK300" s="3"/>
      <c r="AL300" s="6">
        <f t="shared" si="65"/>
        <v>0</v>
      </c>
      <c r="AM300" s="6">
        <f t="shared" si="66"/>
        <v>0</v>
      </c>
      <c r="AN300" s="6">
        <f t="shared" si="67"/>
        <v>0</v>
      </c>
      <c r="AO300" s="6">
        <f t="shared" si="68"/>
        <v>0</v>
      </c>
      <c r="AP300" s="6">
        <f t="shared" si="69"/>
        <v>0</v>
      </c>
      <c r="AQ300" s="6">
        <f t="shared" si="70"/>
        <v>0</v>
      </c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  <c r="BC300" s="6"/>
      <c r="BD300" s="6"/>
      <c r="BE300" s="6"/>
      <c r="BF300" s="6"/>
      <c r="BG300" s="6"/>
      <c r="BH300" s="6"/>
      <c r="BI300" s="6"/>
      <c r="BJ300" s="6"/>
      <c r="BK300" s="6"/>
      <c r="BL300" s="6"/>
      <c r="BM300" s="6"/>
      <c r="BN300" s="6"/>
      <c r="BO300" s="6"/>
      <c r="BP300" s="3">
        <v>60</v>
      </c>
      <c r="BQ300" s="6">
        <f t="shared" si="61"/>
        <v>0</v>
      </c>
    </row>
    <row r="301" spans="1:69" x14ac:dyDescent="0.3">
      <c r="A301" s="3" t="s">
        <v>17</v>
      </c>
      <c r="B301" s="3">
        <v>481</v>
      </c>
      <c r="C301" s="3" t="s">
        <v>495</v>
      </c>
      <c r="D301" s="3">
        <v>0.75</v>
      </c>
      <c r="E301" s="3">
        <v>115</v>
      </c>
      <c r="F301" s="3" t="s">
        <v>19</v>
      </c>
      <c r="G301" s="3" t="s">
        <v>19</v>
      </c>
      <c r="H301" s="3" t="s">
        <v>512</v>
      </c>
      <c r="I301" s="3"/>
      <c r="J301" s="3" t="s">
        <v>486</v>
      </c>
      <c r="K301" s="3" t="s">
        <v>513</v>
      </c>
      <c r="L301" s="3" t="s">
        <v>335</v>
      </c>
      <c r="M301" s="3">
        <v>350</v>
      </c>
      <c r="N301" s="6"/>
      <c r="O301" s="3">
        <v>64</v>
      </c>
      <c r="P301" s="3">
        <v>64</v>
      </c>
      <c r="Q301" s="3">
        <v>0</v>
      </c>
      <c r="R301" s="3">
        <v>32</v>
      </c>
      <c r="S301" s="3">
        <v>0</v>
      </c>
      <c r="T301" s="3">
        <v>32</v>
      </c>
      <c r="U301" s="3">
        <v>0</v>
      </c>
      <c r="V301" s="3">
        <f t="shared" si="62"/>
        <v>64</v>
      </c>
      <c r="W301" s="3">
        <v>0</v>
      </c>
      <c r="X301" s="3">
        <v>32</v>
      </c>
      <c r="Y301" s="3">
        <v>0</v>
      </c>
      <c r="Z301" s="3">
        <v>32</v>
      </c>
      <c r="AA301" s="3">
        <v>0</v>
      </c>
      <c r="AB301" s="3">
        <f t="shared" si="63"/>
        <v>64</v>
      </c>
      <c r="AC301" s="6">
        <f t="shared" si="71"/>
        <v>0</v>
      </c>
      <c r="AD301" s="6">
        <f t="shared" si="72"/>
        <v>-32</v>
      </c>
      <c r="AE301" s="6">
        <f t="shared" si="73"/>
        <v>0</v>
      </c>
      <c r="AF301" s="6">
        <f t="shared" si="74"/>
        <v>-32</v>
      </c>
      <c r="AG301" s="6">
        <f t="shared" si="75"/>
        <v>0</v>
      </c>
      <c r="AH301" s="6">
        <f t="shared" si="64"/>
        <v>-64</v>
      </c>
      <c r="AI301" s="3"/>
      <c r="AJ301" s="3" t="e">
        <f>_xlfn.XLOOKUP(K301,工作表1!A:A,工作表1!C:C)</f>
        <v>#N/A</v>
      </c>
      <c r="AK301" s="3"/>
      <c r="AL301" s="6">
        <f t="shared" si="65"/>
        <v>0</v>
      </c>
      <c r="AM301" s="6">
        <f t="shared" si="66"/>
        <v>0</v>
      </c>
      <c r="AN301" s="6">
        <f t="shared" si="67"/>
        <v>0</v>
      </c>
      <c r="AO301" s="6">
        <f t="shared" si="68"/>
        <v>0</v>
      </c>
      <c r="AP301" s="6">
        <f t="shared" si="69"/>
        <v>0</v>
      </c>
      <c r="AQ301" s="6">
        <f t="shared" si="70"/>
        <v>0</v>
      </c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  <c r="BC301" s="6"/>
      <c r="BD301" s="6"/>
      <c r="BE301" s="6"/>
      <c r="BF301" s="6"/>
      <c r="BG301" s="6"/>
      <c r="BH301" s="6"/>
      <c r="BI301" s="6"/>
      <c r="BJ301" s="6"/>
      <c r="BK301" s="6"/>
      <c r="BL301" s="6"/>
      <c r="BM301" s="6"/>
      <c r="BN301" s="6"/>
      <c r="BO301" s="6"/>
      <c r="BP301" s="3">
        <v>64</v>
      </c>
      <c r="BQ301" s="6">
        <f t="shared" si="61"/>
        <v>0</v>
      </c>
    </row>
    <row r="302" spans="1:69" x14ac:dyDescent="0.3">
      <c r="A302" s="3" t="s">
        <v>17</v>
      </c>
      <c r="B302" s="3">
        <v>481</v>
      </c>
      <c r="C302" s="3" t="s">
        <v>495</v>
      </c>
      <c r="D302" s="3">
        <v>0.75</v>
      </c>
      <c r="E302" s="3">
        <v>105</v>
      </c>
      <c r="F302" s="3" t="s">
        <v>19</v>
      </c>
      <c r="G302" s="3" t="s">
        <v>19</v>
      </c>
      <c r="H302" s="3" t="s">
        <v>514</v>
      </c>
      <c r="I302" s="3"/>
      <c r="J302" s="3" t="s">
        <v>486</v>
      </c>
      <c r="K302" s="3" t="s">
        <v>515</v>
      </c>
      <c r="L302" s="3" t="s">
        <v>335</v>
      </c>
      <c r="M302" s="3">
        <v>576</v>
      </c>
      <c r="N302" s="6"/>
      <c r="O302" s="3">
        <v>40</v>
      </c>
      <c r="P302" s="3">
        <v>40</v>
      </c>
      <c r="Q302" s="3">
        <v>0</v>
      </c>
      <c r="R302" s="3">
        <v>8</v>
      </c>
      <c r="S302" s="3">
        <v>0</v>
      </c>
      <c r="T302" s="3">
        <v>32</v>
      </c>
      <c r="U302" s="3">
        <v>0</v>
      </c>
      <c r="V302" s="3">
        <f t="shared" si="62"/>
        <v>40</v>
      </c>
      <c r="W302" s="3">
        <v>0</v>
      </c>
      <c r="X302" s="3">
        <v>8</v>
      </c>
      <c r="Y302" s="3">
        <v>0</v>
      </c>
      <c r="Z302" s="3">
        <v>32</v>
      </c>
      <c r="AA302" s="3">
        <v>0</v>
      </c>
      <c r="AB302" s="3">
        <f t="shared" si="63"/>
        <v>40</v>
      </c>
      <c r="AC302" s="6">
        <f t="shared" si="71"/>
        <v>0</v>
      </c>
      <c r="AD302" s="6">
        <f t="shared" si="72"/>
        <v>-8</v>
      </c>
      <c r="AE302" s="6">
        <f t="shared" si="73"/>
        <v>0</v>
      </c>
      <c r="AF302" s="6">
        <f t="shared" si="74"/>
        <v>-32</v>
      </c>
      <c r="AG302" s="6">
        <f t="shared" si="75"/>
        <v>0</v>
      </c>
      <c r="AH302" s="6">
        <f t="shared" si="64"/>
        <v>-40</v>
      </c>
      <c r="AI302" s="3"/>
      <c r="AJ302" s="3" t="e">
        <f>_xlfn.XLOOKUP(K302,工作表1!A:A,工作表1!C:C)</f>
        <v>#N/A</v>
      </c>
      <c r="AK302" s="3"/>
      <c r="AL302" s="6">
        <f t="shared" si="65"/>
        <v>0</v>
      </c>
      <c r="AM302" s="6">
        <f t="shared" si="66"/>
        <v>0</v>
      </c>
      <c r="AN302" s="6">
        <f t="shared" si="67"/>
        <v>0</v>
      </c>
      <c r="AO302" s="6">
        <f t="shared" si="68"/>
        <v>0</v>
      </c>
      <c r="AP302" s="6">
        <f t="shared" si="69"/>
        <v>0</v>
      </c>
      <c r="AQ302" s="6">
        <f t="shared" si="70"/>
        <v>0</v>
      </c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  <c r="BC302" s="6"/>
      <c r="BD302" s="6"/>
      <c r="BE302" s="6"/>
      <c r="BF302" s="6"/>
      <c r="BG302" s="6"/>
      <c r="BH302" s="6"/>
      <c r="BI302" s="6"/>
      <c r="BJ302" s="6"/>
      <c r="BK302" s="6"/>
      <c r="BL302" s="6"/>
      <c r="BM302" s="6"/>
      <c r="BN302" s="6"/>
      <c r="BO302" s="6"/>
      <c r="BP302" s="3">
        <v>40</v>
      </c>
      <c r="BQ302" s="6">
        <f t="shared" si="61"/>
        <v>0</v>
      </c>
    </row>
    <row r="303" spans="1:69" x14ac:dyDescent="0.3">
      <c r="A303" s="3" t="s">
        <v>17</v>
      </c>
      <c r="B303" s="3">
        <v>481</v>
      </c>
      <c r="C303" s="3" t="s">
        <v>495</v>
      </c>
      <c r="D303" s="3">
        <v>0.75</v>
      </c>
      <c r="E303" s="3">
        <v>120</v>
      </c>
      <c r="F303" s="3" t="s">
        <v>19</v>
      </c>
      <c r="G303" s="3" t="s">
        <v>19</v>
      </c>
      <c r="H303" s="3" t="s">
        <v>516</v>
      </c>
      <c r="I303" s="3"/>
      <c r="J303" s="3" t="s">
        <v>486</v>
      </c>
      <c r="K303" s="3" t="s">
        <v>517</v>
      </c>
      <c r="L303" s="3" t="s">
        <v>335</v>
      </c>
      <c r="M303" s="3">
        <v>254</v>
      </c>
      <c r="N303" s="6"/>
      <c r="O303" s="3">
        <v>92</v>
      </c>
      <c r="P303" s="3">
        <v>92</v>
      </c>
      <c r="Q303" s="3">
        <v>0</v>
      </c>
      <c r="R303" s="3">
        <v>0</v>
      </c>
      <c r="S303" s="3">
        <v>4</v>
      </c>
      <c r="T303" s="3">
        <v>88</v>
      </c>
      <c r="U303" s="3">
        <v>0</v>
      </c>
      <c r="V303" s="3">
        <f t="shared" si="62"/>
        <v>92</v>
      </c>
      <c r="W303" s="3">
        <v>0</v>
      </c>
      <c r="X303" s="3">
        <v>0</v>
      </c>
      <c r="Y303" s="3">
        <v>4</v>
      </c>
      <c r="Z303" s="3">
        <v>88</v>
      </c>
      <c r="AA303" s="3">
        <v>0</v>
      </c>
      <c r="AB303" s="3">
        <f t="shared" si="63"/>
        <v>92</v>
      </c>
      <c r="AC303" s="6">
        <f t="shared" si="71"/>
        <v>0</v>
      </c>
      <c r="AD303" s="6">
        <f t="shared" si="72"/>
        <v>0</v>
      </c>
      <c r="AE303" s="6">
        <f t="shared" si="73"/>
        <v>-4</v>
      </c>
      <c r="AF303" s="6">
        <f t="shared" si="74"/>
        <v>-88</v>
      </c>
      <c r="AG303" s="6">
        <f t="shared" si="75"/>
        <v>0</v>
      </c>
      <c r="AH303" s="6">
        <f t="shared" si="64"/>
        <v>-92</v>
      </c>
      <c r="AI303" s="3"/>
      <c r="AJ303" s="3" t="e">
        <f>_xlfn.XLOOKUP(K303,工作表1!A:A,工作表1!C:C)</f>
        <v>#N/A</v>
      </c>
      <c r="AK303" s="3"/>
      <c r="AL303" s="6">
        <f t="shared" si="65"/>
        <v>0</v>
      </c>
      <c r="AM303" s="6">
        <f t="shared" si="66"/>
        <v>0</v>
      </c>
      <c r="AN303" s="6">
        <f t="shared" si="67"/>
        <v>0</v>
      </c>
      <c r="AO303" s="6">
        <f t="shared" si="68"/>
        <v>0</v>
      </c>
      <c r="AP303" s="6">
        <f t="shared" si="69"/>
        <v>0</v>
      </c>
      <c r="AQ303" s="6">
        <f t="shared" si="70"/>
        <v>0</v>
      </c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  <c r="BC303" s="6"/>
      <c r="BD303" s="6"/>
      <c r="BE303" s="6"/>
      <c r="BF303" s="6"/>
      <c r="BG303" s="6"/>
      <c r="BH303" s="6"/>
      <c r="BI303" s="6"/>
      <c r="BJ303" s="6"/>
      <c r="BK303" s="6"/>
      <c r="BL303" s="6"/>
      <c r="BM303" s="6"/>
      <c r="BN303" s="6"/>
      <c r="BO303" s="6"/>
      <c r="BP303" s="3">
        <v>92</v>
      </c>
      <c r="BQ303" s="6">
        <f t="shared" si="61"/>
        <v>0</v>
      </c>
    </row>
    <row r="304" spans="1:69" x14ac:dyDescent="0.3">
      <c r="A304" s="3" t="s">
        <v>17</v>
      </c>
      <c r="B304" s="3">
        <v>481</v>
      </c>
      <c r="C304" s="3" t="s">
        <v>495</v>
      </c>
      <c r="D304" s="3">
        <v>0.75</v>
      </c>
      <c r="E304" s="3">
        <v>135</v>
      </c>
      <c r="F304" s="3" t="s">
        <v>19</v>
      </c>
      <c r="G304" s="3" t="s">
        <v>19</v>
      </c>
      <c r="H304" s="3" t="s">
        <v>518</v>
      </c>
      <c r="I304" s="3"/>
      <c r="J304" s="3" t="s">
        <v>486</v>
      </c>
      <c r="K304" s="3" t="s">
        <v>519</v>
      </c>
      <c r="L304" s="3" t="s">
        <v>335</v>
      </c>
      <c r="M304" s="3">
        <v>53</v>
      </c>
      <c r="N304" s="6"/>
      <c r="O304" s="3">
        <v>28</v>
      </c>
      <c r="P304" s="3">
        <v>28</v>
      </c>
      <c r="Q304" s="3">
        <v>0</v>
      </c>
      <c r="R304" s="3">
        <v>8</v>
      </c>
      <c r="S304" s="3">
        <v>0</v>
      </c>
      <c r="T304" s="3">
        <v>20</v>
      </c>
      <c r="U304" s="3">
        <v>0</v>
      </c>
      <c r="V304" s="3">
        <f t="shared" si="62"/>
        <v>28</v>
      </c>
      <c r="W304" s="3">
        <v>0</v>
      </c>
      <c r="X304" s="3">
        <v>8</v>
      </c>
      <c r="Y304" s="3">
        <v>0</v>
      </c>
      <c r="Z304" s="3">
        <v>20</v>
      </c>
      <c r="AA304" s="3">
        <v>0</v>
      </c>
      <c r="AB304" s="3">
        <f t="shared" si="63"/>
        <v>28</v>
      </c>
      <c r="AC304" s="6">
        <f t="shared" si="71"/>
        <v>0</v>
      </c>
      <c r="AD304" s="6">
        <f t="shared" si="72"/>
        <v>-8</v>
      </c>
      <c r="AE304" s="6">
        <f t="shared" si="73"/>
        <v>0</v>
      </c>
      <c r="AF304" s="6">
        <f t="shared" si="74"/>
        <v>-20</v>
      </c>
      <c r="AG304" s="6">
        <f t="shared" si="75"/>
        <v>0</v>
      </c>
      <c r="AH304" s="6">
        <f t="shared" si="64"/>
        <v>-28</v>
      </c>
      <c r="AI304" s="3"/>
      <c r="AJ304" s="3" t="e">
        <f>_xlfn.XLOOKUP(K304,工作表1!A:A,工作表1!C:C)</f>
        <v>#N/A</v>
      </c>
      <c r="AK304" s="3"/>
      <c r="AL304" s="6">
        <f t="shared" si="65"/>
        <v>0</v>
      </c>
      <c r="AM304" s="6">
        <f t="shared" si="66"/>
        <v>0</v>
      </c>
      <c r="AN304" s="6">
        <f t="shared" si="67"/>
        <v>0</v>
      </c>
      <c r="AO304" s="6">
        <f t="shared" si="68"/>
        <v>0</v>
      </c>
      <c r="AP304" s="6">
        <f t="shared" si="69"/>
        <v>0</v>
      </c>
      <c r="AQ304" s="6">
        <f t="shared" si="70"/>
        <v>0</v>
      </c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  <c r="BC304" s="6"/>
      <c r="BD304" s="6"/>
      <c r="BE304" s="6"/>
      <c r="BF304" s="6"/>
      <c r="BG304" s="6"/>
      <c r="BH304" s="6"/>
      <c r="BI304" s="6"/>
      <c r="BJ304" s="6"/>
      <c r="BK304" s="6"/>
      <c r="BL304" s="6"/>
      <c r="BM304" s="6"/>
      <c r="BN304" s="6"/>
      <c r="BO304" s="6"/>
      <c r="BP304" s="3">
        <v>28</v>
      </c>
      <c r="BQ304" s="6">
        <f t="shared" si="61"/>
        <v>0</v>
      </c>
    </row>
    <row r="305" spans="1:69" x14ac:dyDescent="0.3">
      <c r="A305" s="3" t="s">
        <v>17</v>
      </c>
      <c r="B305" s="3">
        <v>481</v>
      </c>
      <c r="C305" s="3" t="s">
        <v>495</v>
      </c>
      <c r="D305" s="3">
        <v>0.625</v>
      </c>
      <c r="E305" s="3">
        <v>90</v>
      </c>
      <c r="F305" s="3" t="s">
        <v>19</v>
      </c>
      <c r="G305" s="3" t="s">
        <v>19</v>
      </c>
      <c r="H305" s="3" t="s">
        <v>520</v>
      </c>
      <c r="I305" s="3"/>
      <c r="J305" s="3" t="s">
        <v>486</v>
      </c>
      <c r="K305" s="3" t="s">
        <v>521</v>
      </c>
      <c r="L305" s="3" t="s">
        <v>335</v>
      </c>
      <c r="M305" s="3">
        <v>797</v>
      </c>
      <c r="N305" s="6"/>
      <c r="O305" s="3">
        <v>196</v>
      </c>
      <c r="P305" s="3">
        <v>196</v>
      </c>
      <c r="Q305" s="3">
        <v>0</v>
      </c>
      <c r="R305" s="3">
        <v>16</v>
      </c>
      <c r="S305" s="3">
        <v>48</v>
      </c>
      <c r="T305" s="3">
        <v>132</v>
      </c>
      <c r="U305" s="3">
        <v>0</v>
      </c>
      <c r="V305" s="3">
        <f t="shared" si="62"/>
        <v>196</v>
      </c>
      <c r="W305" s="3">
        <v>0</v>
      </c>
      <c r="X305" s="3">
        <v>16</v>
      </c>
      <c r="Y305" s="3">
        <v>48</v>
      </c>
      <c r="Z305" s="3">
        <v>132</v>
      </c>
      <c r="AA305" s="3">
        <v>0</v>
      </c>
      <c r="AB305" s="3">
        <f t="shared" si="63"/>
        <v>196</v>
      </c>
      <c r="AC305" s="6">
        <f t="shared" si="71"/>
        <v>0</v>
      </c>
      <c r="AD305" s="6">
        <f t="shared" si="72"/>
        <v>-16</v>
      </c>
      <c r="AE305" s="6">
        <f t="shared" si="73"/>
        <v>-48</v>
      </c>
      <c r="AF305" s="6">
        <f t="shared" si="74"/>
        <v>-132</v>
      </c>
      <c r="AG305" s="6">
        <f t="shared" si="75"/>
        <v>0</v>
      </c>
      <c r="AH305" s="6">
        <f t="shared" si="64"/>
        <v>-196</v>
      </c>
      <c r="AI305" s="3"/>
      <c r="AJ305" s="3" t="e">
        <f>_xlfn.XLOOKUP(K305,工作表1!A:A,工作表1!C:C)</f>
        <v>#N/A</v>
      </c>
      <c r="AK305" s="3"/>
      <c r="AL305" s="6">
        <f t="shared" si="65"/>
        <v>0</v>
      </c>
      <c r="AM305" s="6">
        <f t="shared" si="66"/>
        <v>0</v>
      </c>
      <c r="AN305" s="6">
        <f t="shared" si="67"/>
        <v>0</v>
      </c>
      <c r="AO305" s="6">
        <f t="shared" si="68"/>
        <v>0</v>
      </c>
      <c r="AP305" s="6">
        <f t="shared" si="69"/>
        <v>0</v>
      </c>
      <c r="AQ305" s="6">
        <f t="shared" si="70"/>
        <v>0</v>
      </c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  <c r="BC305" s="6"/>
      <c r="BD305" s="6"/>
      <c r="BE305" s="6"/>
      <c r="BF305" s="6"/>
      <c r="BG305" s="6"/>
      <c r="BH305" s="6"/>
      <c r="BI305" s="6"/>
      <c r="BJ305" s="6"/>
      <c r="BK305" s="6"/>
      <c r="BL305" s="6"/>
      <c r="BM305" s="6"/>
      <c r="BN305" s="6"/>
      <c r="BO305" s="6"/>
      <c r="BP305" s="3">
        <v>196</v>
      </c>
      <c r="BQ305" s="6">
        <f t="shared" si="61"/>
        <v>0</v>
      </c>
    </row>
    <row r="306" spans="1:69" x14ac:dyDescent="0.3">
      <c r="A306" s="3" t="s">
        <v>17</v>
      </c>
      <c r="B306" s="3">
        <v>481</v>
      </c>
      <c r="C306" s="3" t="s">
        <v>495</v>
      </c>
      <c r="D306" s="3">
        <v>0.625</v>
      </c>
      <c r="E306" s="3">
        <v>85</v>
      </c>
      <c r="F306" s="3" t="s">
        <v>19</v>
      </c>
      <c r="G306" s="3" t="s">
        <v>19</v>
      </c>
      <c r="H306" s="3" t="s">
        <v>522</v>
      </c>
      <c r="I306" s="3"/>
      <c r="J306" s="3" t="s">
        <v>486</v>
      </c>
      <c r="K306" s="3" t="s">
        <v>523</v>
      </c>
      <c r="L306" s="3" t="s">
        <v>335</v>
      </c>
      <c r="M306" s="3">
        <v>274</v>
      </c>
      <c r="N306" s="6"/>
      <c r="O306" s="3">
        <v>116</v>
      </c>
      <c r="P306" s="3">
        <v>116</v>
      </c>
      <c r="Q306" s="3">
        <v>0</v>
      </c>
      <c r="R306" s="3">
        <v>56</v>
      </c>
      <c r="S306" s="3">
        <v>12</v>
      </c>
      <c r="T306" s="3">
        <v>48</v>
      </c>
      <c r="U306" s="3">
        <v>0</v>
      </c>
      <c r="V306" s="3">
        <f t="shared" si="62"/>
        <v>116</v>
      </c>
      <c r="W306" s="3">
        <v>0</v>
      </c>
      <c r="X306" s="3">
        <v>56</v>
      </c>
      <c r="Y306" s="3">
        <v>12</v>
      </c>
      <c r="Z306" s="3">
        <v>48</v>
      </c>
      <c r="AA306" s="3">
        <v>0</v>
      </c>
      <c r="AB306" s="3">
        <f t="shared" si="63"/>
        <v>116</v>
      </c>
      <c r="AC306" s="6">
        <f t="shared" si="71"/>
        <v>0</v>
      </c>
      <c r="AD306" s="6">
        <f t="shared" si="72"/>
        <v>-56</v>
      </c>
      <c r="AE306" s="6">
        <f t="shared" si="73"/>
        <v>-12</v>
      </c>
      <c r="AF306" s="6">
        <f t="shared" si="74"/>
        <v>-48</v>
      </c>
      <c r="AG306" s="6">
        <f t="shared" si="75"/>
        <v>0</v>
      </c>
      <c r="AH306" s="6">
        <f t="shared" si="64"/>
        <v>-116</v>
      </c>
      <c r="AI306" s="3"/>
      <c r="AJ306" s="3" t="e">
        <f>_xlfn.XLOOKUP(K306,工作表1!A:A,工作表1!C:C)</f>
        <v>#N/A</v>
      </c>
      <c r="AK306" s="3"/>
      <c r="AL306" s="6">
        <f t="shared" si="65"/>
        <v>0</v>
      </c>
      <c r="AM306" s="6">
        <f t="shared" si="66"/>
        <v>0</v>
      </c>
      <c r="AN306" s="6">
        <f t="shared" si="67"/>
        <v>0</v>
      </c>
      <c r="AO306" s="6">
        <f t="shared" si="68"/>
        <v>0</v>
      </c>
      <c r="AP306" s="6">
        <f t="shared" si="69"/>
        <v>0</v>
      </c>
      <c r="AQ306" s="6">
        <f t="shared" si="70"/>
        <v>0</v>
      </c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  <c r="BC306" s="6"/>
      <c r="BD306" s="6"/>
      <c r="BE306" s="6"/>
      <c r="BF306" s="6"/>
      <c r="BG306" s="6"/>
      <c r="BH306" s="6"/>
      <c r="BI306" s="6"/>
      <c r="BJ306" s="6"/>
      <c r="BK306" s="6"/>
      <c r="BL306" s="6"/>
      <c r="BM306" s="6"/>
      <c r="BN306" s="6"/>
      <c r="BO306" s="6"/>
      <c r="BP306" s="3">
        <v>116</v>
      </c>
      <c r="BQ306" s="6">
        <f t="shared" si="61"/>
        <v>0</v>
      </c>
    </row>
    <row r="307" spans="1:69" x14ac:dyDescent="0.3">
      <c r="A307" s="3" t="s">
        <v>17</v>
      </c>
      <c r="B307" s="3">
        <v>481</v>
      </c>
      <c r="C307" s="3" t="s">
        <v>495</v>
      </c>
      <c r="D307" s="3">
        <v>0.625</v>
      </c>
      <c r="E307" s="3">
        <v>80</v>
      </c>
      <c r="F307" s="3" t="s">
        <v>19</v>
      </c>
      <c r="G307" s="3" t="s">
        <v>19</v>
      </c>
      <c r="H307" s="3" t="s">
        <v>524</v>
      </c>
      <c r="I307" s="3"/>
      <c r="J307" s="3" t="s">
        <v>486</v>
      </c>
      <c r="K307" s="3" t="s">
        <v>525</v>
      </c>
      <c r="L307" s="3" t="s">
        <v>335</v>
      </c>
      <c r="M307" s="3">
        <v>168</v>
      </c>
      <c r="N307" s="6"/>
      <c r="O307" s="3">
        <v>120</v>
      </c>
      <c r="P307" s="3">
        <v>120</v>
      </c>
      <c r="Q307" s="3">
        <v>0</v>
      </c>
      <c r="R307" s="3">
        <v>72</v>
      </c>
      <c r="S307" s="3">
        <v>40</v>
      </c>
      <c r="T307" s="3">
        <v>8</v>
      </c>
      <c r="U307" s="3">
        <v>0</v>
      </c>
      <c r="V307" s="3">
        <f t="shared" si="62"/>
        <v>120</v>
      </c>
      <c r="W307" s="3">
        <v>0</v>
      </c>
      <c r="X307" s="3">
        <v>72</v>
      </c>
      <c r="Y307" s="3">
        <v>40</v>
      </c>
      <c r="Z307" s="3">
        <v>8</v>
      </c>
      <c r="AA307" s="3">
        <v>0</v>
      </c>
      <c r="AB307" s="3">
        <f t="shared" si="63"/>
        <v>120</v>
      </c>
      <c r="AC307" s="6">
        <f t="shared" si="71"/>
        <v>0</v>
      </c>
      <c r="AD307" s="6">
        <f t="shared" si="72"/>
        <v>-72</v>
      </c>
      <c r="AE307" s="6">
        <f t="shared" si="73"/>
        <v>-40</v>
      </c>
      <c r="AF307" s="6">
        <f t="shared" si="74"/>
        <v>-8</v>
      </c>
      <c r="AG307" s="6">
        <f t="shared" si="75"/>
        <v>0</v>
      </c>
      <c r="AH307" s="6">
        <f t="shared" si="64"/>
        <v>-120</v>
      </c>
      <c r="AI307" s="3"/>
      <c r="AJ307" s="3" t="e">
        <f>_xlfn.XLOOKUP(K307,工作表1!A:A,工作表1!C:C)</f>
        <v>#N/A</v>
      </c>
      <c r="AK307" s="3"/>
      <c r="AL307" s="6">
        <f t="shared" si="65"/>
        <v>0</v>
      </c>
      <c r="AM307" s="6">
        <f t="shared" si="66"/>
        <v>0</v>
      </c>
      <c r="AN307" s="6">
        <f t="shared" si="67"/>
        <v>0</v>
      </c>
      <c r="AO307" s="6">
        <f t="shared" si="68"/>
        <v>0</v>
      </c>
      <c r="AP307" s="6">
        <f t="shared" si="69"/>
        <v>0</v>
      </c>
      <c r="AQ307" s="6">
        <f t="shared" si="70"/>
        <v>0</v>
      </c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  <c r="BC307" s="6"/>
      <c r="BD307" s="6"/>
      <c r="BE307" s="6"/>
      <c r="BF307" s="6"/>
      <c r="BG307" s="6"/>
      <c r="BH307" s="6"/>
      <c r="BI307" s="6"/>
      <c r="BJ307" s="6"/>
      <c r="BK307" s="6"/>
      <c r="BL307" s="6"/>
      <c r="BM307" s="6"/>
      <c r="BN307" s="6"/>
      <c r="BO307" s="6"/>
      <c r="BP307" s="3">
        <v>120</v>
      </c>
      <c r="BQ307" s="6">
        <f t="shared" si="61"/>
        <v>0</v>
      </c>
    </row>
    <row r="308" spans="1:69" x14ac:dyDescent="0.3">
      <c r="A308" s="3" t="s">
        <v>17</v>
      </c>
      <c r="B308" s="3">
        <v>481</v>
      </c>
      <c r="C308" s="3" t="s">
        <v>495</v>
      </c>
      <c r="D308" s="3">
        <v>0.625</v>
      </c>
      <c r="E308" s="3">
        <v>95</v>
      </c>
      <c r="F308" s="3" t="s">
        <v>19</v>
      </c>
      <c r="G308" s="3" t="s">
        <v>19</v>
      </c>
      <c r="H308" s="3" t="s">
        <v>526</v>
      </c>
      <c r="I308" s="3"/>
      <c r="J308" s="3" t="s">
        <v>486</v>
      </c>
      <c r="K308" s="3" t="s">
        <v>527</v>
      </c>
      <c r="L308" s="3" t="s">
        <v>335</v>
      </c>
      <c r="M308" s="3">
        <v>792</v>
      </c>
      <c r="N308" s="6"/>
      <c r="O308" s="3">
        <v>284</v>
      </c>
      <c r="P308" s="3">
        <v>292</v>
      </c>
      <c r="Q308" s="3">
        <v>0</v>
      </c>
      <c r="R308" s="3">
        <v>104</v>
      </c>
      <c r="S308" s="3">
        <v>80</v>
      </c>
      <c r="T308" s="3">
        <v>108</v>
      </c>
      <c r="U308" s="3">
        <v>0</v>
      </c>
      <c r="V308" s="3">
        <f t="shared" si="62"/>
        <v>292</v>
      </c>
      <c r="W308" s="3">
        <v>0</v>
      </c>
      <c r="X308" s="3">
        <v>104</v>
      </c>
      <c r="Y308" s="3">
        <v>80</v>
      </c>
      <c r="Z308" s="3">
        <v>108</v>
      </c>
      <c r="AA308" s="3">
        <v>0</v>
      </c>
      <c r="AB308" s="3">
        <f t="shared" si="63"/>
        <v>292</v>
      </c>
      <c r="AC308" s="6">
        <f t="shared" si="71"/>
        <v>0</v>
      </c>
      <c r="AD308" s="6">
        <f t="shared" si="72"/>
        <v>-104</v>
      </c>
      <c r="AE308" s="6">
        <f t="shared" si="73"/>
        <v>-80</v>
      </c>
      <c r="AF308" s="6">
        <f t="shared" si="74"/>
        <v>-108</v>
      </c>
      <c r="AG308" s="6">
        <f t="shared" si="75"/>
        <v>0</v>
      </c>
      <c r="AH308" s="6">
        <f t="shared" si="64"/>
        <v>-292</v>
      </c>
      <c r="AI308" s="3"/>
      <c r="AJ308" s="3" t="e">
        <f>_xlfn.XLOOKUP(K308,工作表1!A:A,工作表1!C:C)</f>
        <v>#N/A</v>
      </c>
      <c r="AK308" s="3"/>
      <c r="AL308" s="6">
        <f t="shared" si="65"/>
        <v>0</v>
      </c>
      <c r="AM308" s="6">
        <f t="shared" si="66"/>
        <v>0</v>
      </c>
      <c r="AN308" s="6">
        <f t="shared" si="67"/>
        <v>0</v>
      </c>
      <c r="AO308" s="6">
        <f t="shared" si="68"/>
        <v>0</v>
      </c>
      <c r="AP308" s="6">
        <f t="shared" si="69"/>
        <v>0</v>
      </c>
      <c r="AQ308" s="6">
        <f t="shared" si="70"/>
        <v>0</v>
      </c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  <c r="BC308" s="6"/>
      <c r="BD308" s="6"/>
      <c r="BE308" s="6"/>
      <c r="BF308" s="6"/>
      <c r="BG308" s="6"/>
      <c r="BH308" s="6"/>
      <c r="BI308" s="6"/>
      <c r="BJ308" s="6"/>
      <c r="BK308" s="6"/>
      <c r="BL308" s="6"/>
      <c r="BM308" s="6"/>
      <c r="BN308" s="6"/>
      <c r="BO308" s="6"/>
      <c r="BP308" s="3">
        <v>292</v>
      </c>
      <c r="BQ308" s="6">
        <f t="shared" si="61"/>
        <v>0</v>
      </c>
    </row>
    <row r="309" spans="1:69" x14ac:dyDescent="0.3">
      <c r="A309" s="3" t="s">
        <v>17</v>
      </c>
      <c r="B309" s="3">
        <v>481</v>
      </c>
      <c r="C309" s="3" t="s">
        <v>495</v>
      </c>
      <c r="D309" s="3">
        <v>0.625</v>
      </c>
      <c r="E309" s="3">
        <v>110</v>
      </c>
      <c r="F309" s="3" t="s">
        <v>19</v>
      </c>
      <c r="G309" s="3" t="s">
        <v>19</v>
      </c>
      <c r="H309" s="3" t="s">
        <v>528</v>
      </c>
      <c r="I309" s="3"/>
      <c r="J309" s="3" t="s">
        <v>486</v>
      </c>
      <c r="K309" s="3" t="s">
        <v>529</v>
      </c>
      <c r="L309" s="3" t="s">
        <v>335</v>
      </c>
      <c r="M309" s="3">
        <v>43</v>
      </c>
      <c r="N309" s="6"/>
      <c r="O309" s="3">
        <v>16</v>
      </c>
      <c r="P309" s="3">
        <v>16</v>
      </c>
      <c r="Q309" s="3">
        <v>0</v>
      </c>
      <c r="R309" s="3">
        <v>0</v>
      </c>
      <c r="S309" s="3">
        <v>0</v>
      </c>
      <c r="T309" s="3">
        <v>16</v>
      </c>
      <c r="U309" s="3">
        <v>0</v>
      </c>
      <c r="V309" s="3">
        <f t="shared" si="62"/>
        <v>16</v>
      </c>
      <c r="W309" s="3">
        <v>0</v>
      </c>
      <c r="X309" s="3">
        <v>0</v>
      </c>
      <c r="Y309" s="3">
        <v>0</v>
      </c>
      <c r="Z309" s="3">
        <v>16</v>
      </c>
      <c r="AA309" s="3">
        <v>0</v>
      </c>
      <c r="AB309" s="3">
        <f t="shared" si="63"/>
        <v>16</v>
      </c>
      <c r="AC309" s="6">
        <f t="shared" si="71"/>
        <v>0</v>
      </c>
      <c r="AD309" s="6">
        <f t="shared" si="72"/>
        <v>0</v>
      </c>
      <c r="AE309" s="6">
        <f t="shared" si="73"/>
        <v>0</v>
      </c>
      <c r="AF309" s="6">
        <f t="shared" si="74"/>
        <v>-16</v>
      </c>
      <c r="AG309" s="6">
        <f t="shared" si="75"/>
        <v>0</v>
      </c>
      <c r="AH309" s="6">
        <f t="shared" si="64"/>
        <v>-16</v>
      </c>
      <c r="AI309" s="3"/>
      <c r="AJ309" s="3" t="e">
        <f>_xlfn.XLOOKUP(K309,工作表1!A:A,工作表1!C:C)</f>
        <v>#N/A</v>
      </c>
      <c r="AK309" s="3"/>
      <c r="AL309" s="6">
        <f t="shared" si="65"/>
        <v>0</v>
      </c>
      <c r="AM309" s="6">
        <f t="shared" si="66"/>
        <v>0</v>
      </c>
      <c r="AN309" s="6">
        <f t="shared" si="67"/>
        <v>0</v>
      </c>
      <c r="AO309" s="6">
        <f t="shared" si="68"/>
        <v>0</v>
      </c>
      <c r="AP309" s="6">
        <f t="shared" si="69"/>
        <v>0</v>
      </c>
      <c r="AQ309" s="6">
        <f t="shared" si="70"/>
        <v>0</v>
      </c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  <c r="BC309" s="6"/>
      <c r="BD309" s="6"/>
      <c r="BE309" s="6"/>
      <c r="BF309" s="6"/>
      <c r="BG309" s="6"/>
      <c r="BH309" s="6"/>
      <c r="BI309" s="6"/>
      <c r="BJ309" s="6"/>
      <c r="BK309" s="6"/>
      <c r="BL309" s="6"/>
      <c r="BM309" s="6"/>
      <c r="BN309" s="6"/>
      <c r="BO309" s="6"/>
      <c r="BP309" s="3">
        <v>16</v>
      </c>
      <c r="BQ309" s="6">
        <f t="shared" si="61"/>
        <v>0</v>
      </c>
    </row>
    <row r="310" spans="1:69" x14ac:dyDescent="0.3">
      <c r="A310" s="3" t="s">
        <v>17</v>
      </c>
      <c r="B310" s="3">
        <v>481</v>
      </c>
      <c r="C310" s="3" t="s">
        <v>495</v>
      </c>
      <c r="D310" s="3">
        <v>0.5</v>
      </c>
      <c r="E310" s="3">
        <v>65</v>
      </c>
      <c r="F310" s="3" t="s">
        <v>19</v>
      </c>
      <c r="G310" s="3" t="s">
        <v>19</v>
      </c>
      <c r="H310" s="3" t="s">
        <v>531</v>
      </c>
      <c r="I310" s="3"/>
      <c r="J310" s="3" t="s">
        <v>486</v>
      </c>
      <c r="K310" s="3" t="s">
        <v>532</v>
      </c>
      <c r="L310" s="3" t="s">
        <v>335</v>
      </c>
      <c r="M310" s="3">
        <v>1579</v>
      </c>
      <c r="N310" s="6"/>
      <c r="O310" s="3">
        <v>204</v>
      </c>
      <c r="P310" s="3">
        <v>204</v>
      </c>
      <c r="Q310" s="3">
        <v>0</v>
      </c>
      <c r="R310" s="3">
        <v>196</v>
      </c>
      <c r="S310" s="3">
        <v>0</v>
      </c>
      <c r="T310" s="3">
        <v>8</v>
      </c>
      <c r="U310" s="3">
        <v>0</v>
      </c>
      <c r="V310" s="3">
        <f t="shared" si="62"/>
        <v>204</v>
      </c>
      <c r="W310" s="3">
        <v>0</v>
      </c>
      <c r="X310" s="3">
        <v>196</v>
      </c>
      <c r="Y310" s="3">
        <v>0</v>
      </c>
      <c r="Z310" s="3">
        <v>8</v>
      </c>
      <c r="AA310" s="3">
        <v>0</v>
      </c>
      <c r="AB310" s="3">
        <f t="shared" si="63"/>
        <v>204</v>
      </c>
      <c r="AC310" s="6">
        <f t="shared" si="71"/>
        <v>0</v>
      </c>
      <c r="AD310" s="6">
        <f t="shared" si="72"/>
        <v>-196</v>
      </c>
      <c r="AE310" s="6">
        <f t="shared" si="73"/>
        <v>0</v>
      </c>
      <c r="AF310" s="6">
        <f t="shared" si="74"/>
        <v>-8</v>
      </c>
      <c r="AG310" s="6">
        <f t="shared" si="75"/>
        <v>0</v>
      </c>
      <c r="AH310" s="6">
        <f t="shared" si="64"/>
        <v>-204</v>
      </c>
      <c r="AI310" s="3"/>
      <c r="AJ310" s="3" t="e">
        <f>_xlfn.XLOOKUP(K310,工作表1!A:A,工作表1!C:C)</f>
        <v>#N/A</v>
      </c>
      <c r="AK310" s="3"/>
      <c r="AL310" s="6">
        <f t="shared" si="65"/>
        <v>0</v>
      </c>
      <c r="AM310" s="6">
        <f t="shared" si="66"/>
        <v>0</v>
      </c>
      <c r="AN310" s="6">
        <f t="shared" si="67"/>
        <v>0</v>
      </c>
      <c r="AO310" s="6">
        <f t="shared" si="68"/>
        <v>0</v>
      </c>
      <c r="AP310" s="6">
        <f t="shared" si="69"/>
        <v>0</v>
      </c>
      <c r="AQ310" s="6">
        <f t="shared" si="70"/>
        <v>0</v>
      </c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  <c r="BC310" s="6"/>
      <c r="BD310" s="6"/>
      <c r="BE310" s="6"/>
      <c r="BF310" s="6"/>
      <c r="BG310" s="6"/>
      <c r="BH310" s="6"/>
      <c r="BI310" s="6"/>
      <c r="BJ310" s="6"/>
      <c r="BK310" s="6"/>
      <c r="BL310" s="6"/>
      <c r="BM310" s="6"/>
      <c r="BN310" s="6"/>
      <c r="BO310" s="6"/>
      <c r="BP310" s="3">
        <v>204</v>
      </c>
      <c r="BQ310" s="6">
        <f t="shared" si="61"/>
        <v>0</v>
      </c>
    </row>
    <row r="311" spans="1:69" x14ac:dyDescent="0.3">
      <c r="A311" s="3" t="s">
        <v>17</v>
      </c>
      <c r="B311" s="3">
        <v>481</v>
      </c>
      <c r="C311" s="3" t="s">
        <v>495</v>
      </c>
      <c r="D311" s="3">
        <v>0.5</v>
      </c>
      <c r="E311" s="3">
        <v>80</v>
      </c>
      <c r="F311" s="3" t="s">
        <v>19</v>
      </c>
      <c r="G311" s="3" t="s">
        <v>19</v>
      </c>
      <c r="H311" s="3" t="s">
        <v>533</v>
      </c>
      <c r="I311" s="3"/>
      <c r="J311" s="3" t="s">
        <v>486</v>
      </c>
      <c r="K311" s="3" t="s">
        <v>534</v>
      </c>
      <c r="L311" s="3" t="s">
        <v>335</v>
      </c>
      <c r="M311" s="3">
        <v>72</v>
      </c>
      <c r="N311" s="6"/>
      <c r="O311" s="3">
        <v>28</v>
      </c>
      <c r="P311" s="3">
        <v>28</v>
      </c>
      <c r="Q311" s="3">
        <v>0</v>
      </c>
      <c r="R311" s="3">
        <v>0</v>
      </c>
      <c r="S311" s="3">
        <v>8</v>
      </c>
      <c r="T311" s="3">
        <v>20</v>
      </c>
      <c r="U311" s="3">
        <v>0</v>
      </c>
      <c r="V311" s="3">
        <f t="shared" si="62"/>
        <v>28</v>
      </c>
      <c r="W311" s="3">
        <v>0</v>
      </c>
      <c r="X311" s="3">
        <v>0</v>
      </c>
      <c r="Y311" s="3">
        <v>8</v>
      </c>
      <c r="Z311" s="3">
        <v>20</v>
      </c>
      <c r="AA311" s="3">
        <v>0</v>
      </c>
      <c r="AB311" s="3">
        <f t="shared" si="63"/>
        <v>28</v>
      </c>
      <c r="AC311" s="6">
        <f t="shared" si="71"/>
        <v>0</v>
      </c>
      <c r="AD311" s="6">
        <f t="shared" si="72"/>
        <v>0</v>
      </c>
      <c r="AE311" s="6">
        <f t="shared" si="73"/>
        <v>-8</v>
      </c>
      <c r="AF311" s="6">
        <f t="shared" si="74"/>
        <v>-20</v>
      </c>
      <c r="AG311" s="6">
        <f t="shared" si="75"/>
        <v>0</v>
      </c>
      <c r="AH311" s="6">
        <f t="shared" si="64"/>
        <v>-28</v>
      </c>
      <c r="AI311" s="3"/>
      <c r="AJ311" s="3" t="e">
        <f>_xlfn.XLOOKUP(K311,工作表1!A:A,工作表1!C:C)</f>
        <v>#N/A</v>
      </c>
      <c r="AK311" s="3"/>
      <c r="AL311" s="6">
        <f t="shared" si="65"/>
        <v>0</v>
      </c>
      <c r="AM311" s="6">
        <f t="shared" si="66"/>
        <v>0</v>
      </c>
      <c r="AN311" s="6">
        <f t="shared" si="67"/>
        <v>0</v>
      </c>
      <c r="AO311" s="6">
        <f t="shared" si="68"/>
        <v>0</v>
      </c>
      <c r="AP311" s="6">
        <f t="shared" si="69"/>
        <v>0</v>
      </c>
      <c r="AQ311" s="6">
        <f t="shared" si="70"/>
        <v>0</v>
      </c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  <c r="BC311" s="6"/>
      <c r="BD311" s="6"/>
      <c r="BE311" s="6"/>
      <c r="BF311" s="6"/>
      <c r="BG311" s="6"/>
      <c r="BH311" s="6"/>
      <c r="BI311" s="6"/>
      <c r="BJ311" s="6"/>
      <c r="BK311" s="6"/>
      <c r="BL311" s="6"/>
      <c r="BM311" s="6"/>
      <c r="BN311" s="6"/>
      <c r="BO311" s="6"/>
      <c r="BP311" s="3">
        <v>28</v>
      </c>
      <c r="BQ311" s="6">
        <f t="shared" si="61"/>
        <v>0</v>
      </c>
    </row>
    <row r="312" spans="1:69" x14ac:dyDescent="0.3">
      <c r="A312" s="3" t="s">
        <v>17</v>
      </c>
      <c r="B312" s="3">
        <v>481</v>
      </c>
      <c r="C312" s="3" t="s">
        <v>495</v>
      </c>
      <c r="D312" s="3">
        <v>0.5</v>
      </c>
      <c r="E312" s="3">
        <v>70</v>
      </c>
      <c r="F312" s="3" t="s">
        <v>19</v>
      </c>
      <c r="G312" s="3" t="s">
        <v>19</v>
      </c>
      <c r="H312" s="3" t="s">
        <v>535</v>
      </c>
      <c r="I312" s="3"/>
      <c r="J312" s="3" t="s">
        <v>486</v>
      </c>
      <c r="K312" s="3" t="s">
        <v>536</v>
      </c>
      <c r="L312" s="3" t="s">
        <v>335</v>
      </c>
      <c r="M312" s="3">
        <v>322</v>
      </c>
      <c r="N312" s="6"/>
      <c r="O312" s="3">
        <v>44</v>
      </c>
      <c r="P312" s="3">
        <v>44</v>
      </c>
      <c r="Q312" s="3">
        <v>0</v>
      </c>
      <c r="R312" s="3">
        <v>8</v>
      </c>
      <c r="S312" s="3">
        <v>16</v>
      </c>
      <c r="T312" s="3">
        <v>20</v>
      </c>
      <c r="U312" s="3">
        <v>0</v>
      </c>
      <c r="V312" s="3">
        <f t="shared" si="62"/>
        <v>44</v>
      </c>
      <c r="W312" s="3">
        <v>0</v>
      </c>
      <c r="X312" s="3">
        <v>8</v>
      </c>
      <c r="Y312" s="3">
        <v>16</v>
      </c>
      <c r="Z312" s="3">
        <v>20</v>
      </c>
      <c r="AA312" s="3">
        <v>0</v>
      </c>
      <c r="AB312" s="3">
        <f t="shared" si="63"/>
        <v>44</v>
      </c>
      <c r="AC312" s="6">
        <f t="shared" si="71"/>
        <v>0</v>
      </c>
      <c r="AD312" s="6">
        <f t="shared" si="72"/>
        <v>-8</v>
      </c>
      <c r="AE312" s="6">
        <f t="shared" si="73"/>
        <v>-16</v>
      </c>
      <c r="AF312" s="6">
        <f t="shared" si="74"/>
        <v>-20</v>
      </c>
      <c r="AG312" s="6">
        <f t="shared" si="75"/>
        <v>0</v>
      </c>
      <c r="AH312" s="6">
        <f t="shared" si="64"/>
        <v>-44</v>
      </c>
      <c r="AI312" s="3"/>
      <c r="AJ312" s="3" t="e">
        <f>_xlfn.XLOOKUP(K312,工作表1!A:A,工作表1!C:C)</f>
        <v>#N/A</v>
      </c>
      <c r="AK312" s="3"/>
      <c r="AL312" s="6">
        <f t="shared" si="65"/>
        <v>0</v>
      </c>
      <c r="AM312" s="6">
        <f t="shared" si="66"/>
        <v>0</v>
      </c>
      <c r="AN312" s="6">
        <f t="shared" si="67"/>
        <v>0</v>
      </c>
      <c r="AO312" s="6">
        <f t="shared" si="68"/>
        <v>0</v>
      </c>
      <c r="AP312" s="6">
        <f t="shared" si="69"/>
        <v>0</v>
      </c>
      <c r="AQ312" s="6">
        <f t="shared" si="70"/>
        <v>0</v>
      </c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  <c r="BC312" s="6"/>
      <c r="BD312" s="6"/>
      <c r="BE312" s="6"/>
      <c r="BF312" s="6"/>
      <c r="BG312" s="6"/>
      <c r="BH312" s="6"/>
      <c r="BI312" s="6"/>
      <c r="BJ312" s="6"/>
      <c r="BK312" s="6"/>
      <c r="BL312" s="6"/>
      <c r="BM312" s="6"/>
      <c r="BN312" s="6"/>
      <c r="BO312" s="6"/>
      <c r="BP312" s="3">
        <v>44</v>
      </c>
      <c r="BQ312" s="6">
        <f t="shared" si="61"/>
        <v>0</v>
      </c>
    </row>
    <row r="313" spans="1:69" x14ac:dyDescent="0.3">
      <c r="A313" s="3" t="s">
        <v>17</v>
      </c>
      <c r="B313" s="3">
        <v>481</v>
      </c>
      <c r="C313" s="3" t="s">
        <v>495</v>
      </c>
      <c r="D313" s="3">
        <v>0.5</v>
      </c>
      <c r="E313" s="3">
        <v>105</v>
      </c>
      <c r="F313" s="3" t="s">
        <v>19</v>
      </c>
      <c r="G313" s="3" t="s">
        <v>19</v>
      </c>
      <c r="H313" s="3" t="s">
        <v>537</v>
      </c>
      <c r="I313" s="3"/>
      <c r="J313" s="3" t="s">
        <v>486</v>
      </c>
      <c r="K313" s="3" t="s">
        <v>538</v>
      </c>
      <c r="L313" s="3" t="s">
        <v>335</v>
      </c>
      <c r="M313" s="3">
        <v>19</v>
      </c>
      <c r="N313" s="6"/>
      <c r="O313" s="3">
        <v>4</v>
      </c>
      <c r="P313" s="3">
        <v>4</v>
      </c>
      <c r="Q313" s="3">
        <v>0</v>
      </c>
      <c r="R313" s="3">
        <v>0</v>
      </c>
      <c r="S313" s="3">
        <v>0</v>
      </c>
      <c r="T313" s="3">
        <v>4</v>
      </c>
      <c r="U313" s="3">
        <v>0</v>
      </c>
      <c r="V313" s="3">
        <f t="shared" si="62"/>
        <v>4</v>
      </c>
      <c r="W313" s="3">
        <v>0</v>
      </c>
      <c r="X313" s="3">
        <v>0</v>
      </c>
      <c r="Y313" s="3">
        <v>0</v>
      </c>
      <c r="Z313" s="3">
        <v>4</v>
      </c>
      <c r="AA313" s="3">
        <v>0</v>
      </c>
      <c r="AB313" s="3">
        <f t="shared" si="63"/>
        <v>4</v>
      </c>
      <c r="AC313" s="6">
        <f t="shared" si="71"/>
        <v>0</v>
      </c>
      <c r="AD313" s="6">
        <f t="shared" si="72"/>
        <v>0</v>
      </c>
      <c r="AE313" s="6">
        <f t="shared" si="73"/>
        <v>0</v>
      </c>
      <c r="AF313" s="6">
        <f t="shared" si="74"/>
        <v>-4</v>
      </c>
      <c r="AG313" s="6">
        <f t="shared" si="75"/>
        <v>0</v>
      </c>
      <c r="AH313" s="6">
        <f t="shared" si="64"/>
        <v>-4</v>
      </c>
      <c r="AI313" s="3"/>
      <c r="AJ313" s="3" t="e">
        <f>_xlfn.XLOOKUP(K313,工作表1!A:A,工作表1!C:C)</f>
        <v>#N/A</v>
      </c>
      <c r="AK313" s="3"/>
      <c r="AL313" s="6">
        <f t="shared" si="65"/>
        <v>0</v>
      </c>
      <c r="AM313" s="6">
        <f t="shared" si="66"/>
        <v>0</v>
      </c>
      <c r="AN313" s="6">
        <f t="shared" si="67"/>
        <v>0</v>
      </c>
      <c r="AO313" s="6">
        <f t="shared" si="68"/>
        <v>0</v>
      </c>
      <c r="AP313" s="6">
        <f t="shared" si="69"/>
        <v>0</v>
      </c>
      <c r="AQ313" s="6">
        <f t="shared" si="70"/>
        <v>0</v>
      </c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  <c r="BC313" s="6"/>
      <c r="BD313" s="6"/>
      <c r="BE313" s="6"/>
      <c r="BF313" s="6"/>
      <c r="BG313" s="6"/>
      <c r="BH313" s="6"/>
      <c r="BI313" s="6"/>
      <c r="BJ313" s="6"/>
      <c r="BK313" s="6"/>
      <c r="BL313" s="6"/>
      <c r="BM313" s="6"/>
      <c r="BN313" s="6"/>
      <c r="BO313" s="6"/>
      <c r="BP313" s="3">
        <v>4</v>
      </c>
      <c r="BQ313" s="6">
        <f t="shared" si="61"/>
        <v>0</v>
      </c>
    </row>
    <row r="314" spans="1:69" x14ac:dyDescent="0.3">
      <c r="A314" s="3" t="s">
        <v>17</v>
      </c>
      <c r="B314" s="3">
        <v>481</v>
      </c>
      <c r="C314" s="3" t="s">
        <v>495</v>
      </c>
      <c r="D314" s="3">
        <v>0.5</v>
      </c>
      <c r="E314" s="3">
        <v>75</v>
      </c>
      <c r="F314" s="3" t="s">
        <v>19</v>
      </c>
      <c r="G314" s="3" t="s">
        <v>19</v>
      </c>
      <c r="H314" s="3" t="s">
        <v>539</v>
      </c>
      <c r="I314" s="3"/>
      <c r="J314" s="3" t="s">
        <v>486</v>
      </c>
      <c r="K314" s="3" t="s">
        <v>540</v>
      </c>
      <c r="L314" s="3" t="s">
        <v>335</v>
      </c>
      <c r="M314" s="3">
        <v>115</v>
      </c>
      <c r="N314" s="6"/>
      <c r="O314" s="3">
        <v>60</v>
      </c>
      <c r="P314" s="3">
        <v>60</v>
      </c>
      <c r="Q314" s="3">
        <v>0</v>
      </c>
      <c r="R314" s="3">
        <v>52</v>
      </c>
      <c r="S314" s="3">
        <v>8</v>
      </c>
      <c r="T314" s="3">
        <v>0</v>
      </c>
      <c r="U314" s="3">
        <v>0</v>
      </c>
      <c r="V314" s="3">
        <f t="shared" si="62"/>
        <v>60</v>
      </c>
      <c r="W314" s="3">
        <v>0</v>
      </c>
      <c r="X314" s="3">
        <v>52</v>
      </c>
      <c r="Y314" s="3">
        <v>8</v>
      </c>
      <c r="Z314" s="3">
        <v>0</v>
      </c>
      <c r="AA314" s="3">
        <v>0</v>
      </c>
      <c r="AB314" s="3">
        <f t="shared" si="63"/>
        <v>60</v>
      </c>
      <c r="AC314" s="6">
        <f t="shared" si="71"/>
        <v>0</v>
      </c>
      <c r="AD314" s="6">
        <f t="shared" si="72"/>
        <v>-52</v>
      </c>
      <c r="AE314" s="6">
        <f t="shared" si="73"/>
        <v>-8</v>
      </c>
      <c r="AF314" s="6">
        <f t="shared" si="74"/>
        <v>0</v>
      </c>
      <c r="AG314" s="6">
        <f t="shared" si="75"/>
        <v>0</v>
      </c>
      <c r="AH314" s="6">
        <f t="shared" si="64"/>
        <v>-60</v>
      </c>
      <c r="AI314" s="3"/>
      <c r="AJ314" s="3" t="e">
        <f>_xlfn.XLOOKUP(K314,工作表1!A:A,工作表1!C:C)</f>
        <v>#N/A</v>
      </c>
      <c r="AK314" s="3"/>
      <c r="AL314" s="6">
        <f t="shared" si="65"/>
        <v>0</v>
      </c>
      <c r="AM314" s="6">
        <f t="shared" si="66"/>
        <v>0</v>
      </c>
      <c r="AN314" s="6">
        <f t="shared" si="67"/>
        <v>0</v>
      </c>
      <c r="AO314" s="6">
        <f t="shared" si="68"/>
        <v>0</v>
      </c>
      <c r="AP314" s="6">
        <f t="shared" si="69"/>
        <v>0</v>
      </c>
      <c r="AQ314" s="6">
        <f t="shared" si="70"/>
        <v>0</v>
      </c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  <c r="BC314" s="6"/>
      <c r="BD314" s="6"/>
      <c r="BE314" s="6"/>
      <c r="BF314" s="6"/>
      <c r="BG314" s="6"/>
      <c r="BH314" s="6"/>
      <c r="BI314" s="6"/>
      <c r="BJ314" s="6"/>
      <c r="BK314" s="6"/>
      <c r="BL314" s="6"/>
      <c r="BM314" s="6"/>
      <c r="BN314" s="6"/>
      <c r="BO314" s="6"/>
      <c r="BP314" s="3">
        <v>60</v>
      </c>
      <c r="BQ314" s="6">
        <f t="shared" si="61"/>
        <v>0</v>
      </c>
    </row>
    <row r="315" spans="1:69" x14ac:dyDescent="0.3">
      <c r="A315" s="3" t="s">
        <v>17</v>
      </c>
      <c r="B315" s="3">
        <v>481</v>
      </c>
      <c r="C315" s="3" t="s">
        <v>541</v>
      </c>
      <c r="D315" s="3">
        <v>0.875</v>
      </c>
      <c r="E315" s="3">
        <v>150</v>
      </c>
      <c r="F315" s="3" t="s">
        <v>19</v>
      </c>
      <c r="G315" s="3" t="s">
        <v>19</v>
      </c>
      <c r="H315" s="3" t="s">
        <v>542</v>
      </c>
      <c r="I315" s="3"/>
      <c r="J315" s="3" t="s">
        <v>486</v>
      </c>
      <c r="K315" s="3" t="s">
        <v>543</v>
      </c>
      <c r="L315" s="3" t="s">
        <v>335</v>
      </c>
      <c r="M315" s="3">
        <v>91</v>
      </c>
      <c r="N315" s="6"/>
      <c r="O315" s="3">
        <v>48</v>
      </c>
      <c r="P315" s="3">
        <v>48</v>
      </c>
      <c r="Q315" s="3">
        <v>0</v>
      </c>
      <c r="R315" s="3">
        <v>0</v>
      </c>
      <c r="S315" s="3">
        <v>4</v>
      </c>
      <c r="T315" s="3">
        <v>44</v>
      </c>
      <c r="U315" s="3">
        <v>0</v>
      </c>
      <c r="V315" s="3">
        <f t="shared" si="62"/>
        <v>48</v>
      </c>
      <c r="W315" s="3">
        <v>0</v>
      </c>
      <c r="X315" s="3">
        <v>0</v>
      </c>
      <c r="Y315" s="3">
        <v>4</v>
      </c>
      <c r="Z315" s="3">
        <v>44</v>
      </c>
      <c r="AA315" s="3">
        <v>0</v>
      </c>
      <c r="AB315" s="3">
        <f t="shared" si="63"/>
        <v>48</v>
      </c>
      <c r="AC315" s="6">
        <f t="shared" si="71"/>
        <v>0</v>
      </c>
      <c r="AD315" s="6">
        <f t="shared" si="72"/>
        <v>0</v>
      </c>
      <c r="AE315" s="6">
        <f t="shared" si="73"/>
        <v>-4</v>
      </c>
      <c r="AF315" s="6">
        <f t="shared" si="74"/>
        <v>-44</v>
      </c>
      <c r="AG315" s="6">
        <f t="shared" si="75"/>
        <v>0</v>
      </c>
      <c r="AH315" s="6">
        <f t="shared" si="64"/>
        <v>-48</v>
      </c>
      <c r="AI315" s="3"/>
      <c r="AJ315" s="3" t="e">
        <f>_xlfn.XLOOKUP(K315,工作表1!A:A,工作表1!C:C)</f>
        <v>#N/A</v>
      </c>
      <c r="AK315" s="3"/>
      <c r="AL315" s="6">
        <f t="shared" si="65"/>
        <v>0</v>
      </c>
      <c r="AM315" s="6">
        <f t="shared" si="66"/>
        <v>0</v>
      </c>
      <c r="AN315" s="6">
        <f t="shared" si="67"/>
        <v>0</v>
      </c>
      <c r="AO315" s="6">
        <f t="shared" si="68"/>
        <v>0</v>
      </c>
      <c r="AP315" s="6">
        <f t="shared" si="69"/>
        <v>0</v>
      </c>
      <c r="AQ315" s="6">
        <f t="shared" si="70"/>
        <v>0</v>
      </c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  <c r="BC315" s="6"/>
      <c r="BD315" s="6"/>
      <c r="BE315" s="6"/>
      <c r="BF315" s="6"/>
      <c r="BG315" s="6"/>
      <c r="BH315" s="6"/>
      <c r="BI315" s="6"/>
      <c r="BJ315" s="6"/>
      <c r="BK315" s="6"/>
      <c r="BL315" s="6"/>
      <c r="BM315" s="6"/>
      <c r="BN315" s="6"/>
      <c r="BO315" s="6"/>
      <c r="BP315" s="3">
        <v>48</v>
      </c>
      <c r="BQ315" s="6">
        <f t="shared" si="61"/>
        <v>0</v>
      </c>
    </row>
    <row r="316" spans="1:69" x14ac:dyDescent="0.3">
      <c r="A316" s="3" t="s">
        <v>17</v>
      </c>
      <c r="B316" s="3">
        <v>481</v>
      </c>
      <c r="C316" s="3" t="s">
        <v>541</v>
      </c>
      <c r="D316" s="3">
        <v>0.875</v>
      </c>
      <c r="E316" s="3">
        <v>160</v>
      </c>
      <c r="F316" s="3" t="s">
        <v>19</v>
      </c>
      <c r="G316" s="3" t="s">
        <v>19</v>
      </c>
      <c r="H316" s="3" t="s">
        <v>544</v>
      </c>
      <c r="I316" s="3"/>
      <c r="J316" s="3" t="s">
        <v>486</v>
      </c>
      <c r="K316" s="3" t="s">
        <v>545</v>
      </c>
      <c r="L316" s="3" t="s">
        <v>335</v>
      </c>
      <c r="M316" s="3">
        <v>19</v>
      </c>
      <c r="N316" s="6"/>
      <c r="O316" s="3">
        <v>16</v>
      </c>
      <c r="P316" s="3">
        <v>16</v>
      </c>
      <c r="Q316" s="3">
        <v>0</v>
      </c>
      <c r="R316" s="3">
        <v>0</v>
      </c>
      <c r="S316" s="3">
        <v>16</v>
      </c>
      <c r="T316" s="3">
        <v>0</v>
      </c>
      <c r="U316" s="3">
        <v>0</v>
      </c>
      <c r="V316" s="3">
        <f t="shared" si="62"/>
        <v>16</v>
      </c>
      <c r="W316" s="3">
        <v>0</v>
      </c>
      <c r="X316" s="3">
        <v>0</v>
      </c>
      <c r="Y316" s="3">
        <v>16</v>
      </c>
      <c r="Z316" s="3">
        <v>0</v>
      </c>
      <c r="AA316" s="3">
        <v>0</v>
      </c>
      <c r="AB316" s="3">
        <f t="shared" si="63"/>
        <v>16</v>
      </c>
      <c r="AC316" s="6">
        <f t="shared" si="71"/>
        <v>0</v>
      </c>
      <c r="AD316" s="6">
        <f t="shared" si="72"/>
        <v>0</v>
      </c>
      <c r="AE316" s="6">
        <f t="shared" si="73"/>
        <v>-16</v>
      </c>
      <c r="AF316" s="6">
        <f t="shared" si="74"/>
        <v>0</v>
      </c>
      <c r="AG316" s="6">
        <f t="shared" si="75"/>
        <v>0</v>
      </c>
      <c r="AH316" s="6">
        <f t="shared" si="64"/>
        <v>-16</v>
      </c>
      <c r="AI316" s="3"/>
      <c r="AJ316" s="3" t="e">
        <f>_xlfn.XLOOKUP(K316,工作表1!A:A,工作表1!C:C)</f>
        <v>#N/A</v>
      </c>
      <c r="AK316" s="3"/>
      <c r="AL316" s="6">
        <f t="shared" si="65"/>
        <v>0</v>
      </c>
      <c r="AM316" s="6">
        <f t="shared" si="66"/>
        <v>0</v>
      </c>
      <c r="AN316" s="6">
        <f t="shared" si="67"/>
        <v>0</v>
      </c>
      <c r="AO316" s="6">
        <f t="shared" si="68"/>
        <v>0</v>
      </c>
      <c r="AP316" s="6">
        <f t="shared" si="69"/>
        <v>0</v>
      </c>
      <c r="AQ316" s="6">
        <f t="shared" si="70"/>
        <v>0</v>
      </c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  <c r="BC316" s="6"/>
      <c r="BD316" s="6"/>
      <c r="BE316" s="6"/>
      <c r="BF316" s="6"/>
      <c r="BG316" s="6"/>
      <c r="BH316" s="6"/>
      <c r="BI316" s="6"/>
      <c r="BJ316" s="6"/>
      <c r="BK316" s="6"/>
      <c r="BL316" s="6"/>
      <c r="BM316" s="6"/>
      <c r="BN316" s="6"/>
      <c r="BO316" s="6"/>
      <c r="BP316" s="3">
        <v>16</v>
      </c>
      <c r="BQ316" s="6">
        <f t="shared" si="61"/>
        <v>0</v>
      </c>
    </row>
    <row r="317" spans="1:69" x14ac:dyDescent="0.3">
      <c r="A317" s="3" t="s">
        <v>17</v>
      </c>
      <c r="B317" s="3">
        <v>481</v>
      </c>
      <c r="C317" s="3" t="s">
        <v>541</v>
      </c>
      <c r="D317" s="3">
        <v>0.875</v>
      </c>
      <c r="E317" s="3">
        <v>140</v>
      </c>
      <c r="F317" s="3" t="s">
        <v>19</v>
      </c>
      <c r="G317" s="3" t="s">
        <v>19</v>
      </c>
      <c r="H317" s="3" t="s">
        <v>546</v>
      </c>
      <c r="I317" s="3"/>
      <c r="J317" s="3" t="s">
        <v>486</v>
      </c>
      <c r="K317" s="3" t="s">
        <v>547</v>
      </c>
      <c r="L317" s="3" t="s">
        <v>335</v>
      </c>
      <c r="M317" s="3">
        <v>29</v>
      </c>
      <c r="N317" s="6"/>
      <c r="O317" s="3">
        <v>24</v>
      </c>
      <c r="P317" s="3">
        <v>24</v>
      </c>
      <c r="Q317" s="3">
        <v>0</v>
      </c>
      <c r="R317" s="3">
        <v>0</v>
      </c>
      <c r="S317" s="3">
        <v>24</v>
      </c>
      <c r="T317" s="3">
        <v>0</v>
      </c>
      <c r="U317" s="3">
        <v>0</v>
      </c>
      <c r="V317" s="3">
        <f t="shared" si="62"/>
        <v>24</v>
      </c>
      <c r="W317" s="3">
        <v>0</v>
      </c>
      <c r="X317" s="3">
        <v>0</v>
      </c>
      <c r="Y317" s="3">
        <v>24</v>
      </c>
      <c r="Z317" s="3">
        <v>0</v>
      </c>
      <c r="AA317" s="3">
        <v>0</v>
      </c>
      <c r="AB317" s="3">
        <f t="shared" si="63"/>
        <v>24</v>
      </c>
      <c r="AC317" s="6">
        <f t="shared" si="71"/>
        <v>0</v>
      </c>
      <c r="AD317" s="6">
        <f t="shared" si="72"/>
        <v>0</v>
      </c>
      <c r="AE317" s="6">
        <f t="shared" si="73"/>
        <v>-24</v>
      </c>
      <c r="AF317" s="6">
        <f t="shared" si="74"/>
        <v>0</v>
      </c>
      <c r="AG317" s="6">
        <f t="shared" si="75"/>
        <v>0</v>
      </c>
      <c r="AH317" s="6">
        <f t="shared" si="64"/>
        <v>-24</v>
      </c>
      <c r="AI317" s="3"/>
      <c r="AJ317" s="3" t="e">
        <f>_xlfn.XLOOKUP(K317,工作表1!A:A,工作表1!C:C)</f>
        <v>#N/A</v>
      </c>
      <c r="AK317" s="3"/>
      <c r="AL317" s="6">
        <f t="shared" si="65"/>
        <v>0</v>
      </c>
      <c r="AM317" s="6">
        <f t="shared" si="66"/>
        <v>0</v>
      </c>
      <c r="AN317" s="6">
        <f t="shared" si="67"/>
        <v>0</v>
      </c>
      <c r="AO317" s="6">
        <f t="shared" si="68"/>
        <v>0</v>
      </c>
      <c r="AP317" s="6">
        <f t="shared" si="69"/>
        <v>0</v>
      </c>
      <c r="AQ317" s="6">
        <f t="shared" si="70"/>
        <v>0</v>
      </c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  <c r="BC317" s="6"/>
      <c r="BD317" s="6"/>
      <c r="BE317" s="6"/>
      <c r="BF317" s="6"/>
      <c r="BG317" s="6"/>
      <c r="BH317" s="6"/>
      <c r="BI317" s="6"/>
      <c r="BJ317" s="6"/>
      <c r="BK317" s="6"/>
      <c r="BL317" s="6"/>
      <c r="BM317" s="6"/>
      <c r="BN317" s="6"/>
      <c r="BO317" s="6"/>
      <c r="BP317" s="3">
        <v>24</v>
      </c>
      <c r="BQ317" s="6">
        <f t="shared" si="61"/>
        <v>0</v>
      </c>
    </row>
    <row r="318" spans="1:69" x14ac:dyDescent="0.3">
      <c r="A318" s="3" t="s">
        <v>17</v>
      </c>
      <c r="B318" s="3">
        <v>481</v>
      </c>
      <c r="C318" s="3" t="s">
        <v>541</v>
      </c>
      <c r="D318" s="3">
        <v>0.875</v>
      </c>
      <c r="E318" s="3">
        <v>175</v>
      </c>
      <c r="F318" s="3" t="s">
        <v>19</v>
      </c>
      <c r="G318" s="3" t="s">
        <v>19</v>
      </c>
      <c r="H318" s="3" t="s">
        <v>496</v>
      </c>
      <c r="I318" s="3"/>
      <c r="J318" s="3" t="s">
        <v>486</v>
      </c>
      <c r="K318" s="3" t="s">
        <v>548</v>
      </c>
      <c r="L318" s="3" t="s">
        <v>335</v>
      </c>
      <c r="M318" s="3">
        <v>77</v>
      </c>
      <c r="N318" s="6"/>
      <c r="O318" s="3">
        <v>64</v>
      </c>
      <c r="P318" s="3">
        <v>64</v>
      </c>
      <c r="Q318" s="3">
        <v>0</v>
      </c>
      <c r="R318" s="3">
        <v>0</v>
      </c>
      <c r="S318" s="3">
        <v>64</v>
      </c>
      <c r="T318" s="3">
        <v>0</v>
      </c>
      <c r="U318" s="3">
        <v>0</v>
      </c>
      <c r="V318" s="3">
        <f t="shared" si="62"/>
        <v>64</v>
      </c>
      <c r="W318" s="3">
        <v>0</v>
      </c>
      <c r="X318" s="3">
        <v>0</v>
      </c>
      <c r="Y318" s="3">
        <v>64</v>
      </c>
      <c r="Z318" s="3">
        <v>0</v>
      </c>
      <c r="AA318" s="3">
        <v>0</v>
      </c>
      <c r="AB318" s="3">
        <f t="shared" si="63"/>
        <v>64</v>
      </c>
      <c r="AC318" s="6">
        <f t="shared" si="71"/>
        <v>0</v>
      </c>
      <c r="AD318" s="6">
        <f t="shared" si="72"/>
        <v>0</v>
      </c>
      <c r="AE318" s="6">
        <f t="shared" si="73"/>
        <v>-64</v>
      </c>
      <c r="AF318" s="6">
        <f t="shared" si="74"/>
        <v>0</v>
      </c>
      <c r="AG318" s="6">
        <f t="shared" si="75"/>
        <v>0</v>
      </c>
      <c r="AH318" s="6">
        <f t="shared" si="64"/>
        <v>-64</v>
      </c>
      <c r="AI318" s="3"/>
      <c r="AJ318" s="3" t="e">
        <f>_xlfn.XLOOKUP(K318,工作表1!A:A,工作表1!C:C)</f>
        <v>#N/A</v>
      </c>
      <c r="AK318" s="3"/>
      <c r="AL318" s="6">
        <f t="shared" si="65"/>
        <v>0</v>
      </c>
      <c r="AM318" s="6">
        <f t="shared" si="66"/>
        <v>0</v>
      </c>
      <c r="AN318" s="6">
        <f t="shared" si="67"/>
        <v>0</v>
      </c>
      <c r="AO318" s="6">
        <f t="shared" si="68"/>
        <v>0</v>
      </c>
      <c r="AP318" s="6">
        <f t="shared" si="69"/>
        <v>0</v>
      </c>
      <c r="AQ318" s="6">
        <f t="shared" si="70"/>
        <v>0</v>
      </c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  <c r="BC318" s="6"/>
      <c r="BD318" s="6"/>
      <c r="BE318" s="6"/>
      <c r="BF318" s="6"/>
      <c r="BG318" s="6"/>
      <c r="BH318" s="6"/>
      <c r="BI318" s="6"/>
      <c r="BJ318" s="6"/>
      <c r="BK318" s="6"/>
      <c r="BL318" s="6"/>
      <c r="BM318" s="6"/>
      <c r="BN318" s="6"/>
      <c r="BO318" s="6"/>
      <c r="BP318" s="3">
        <v>64</v>
      </c>
      <c r="BQ318" s="6">
        <f t="shared" si="61"/>
        <v>0</v>
      </c>
    </row>
    <row r="319" spans="1:69" x14ac:dyDescent="0.3">
      <c r="A319" s="3" t="s">
        <v>17</v>
      </c>
      <c r="B319" s="3">
        <v>481</v>
      </c>
      <c r="C319" s="3" t="s">
        <v>541</v>
      </c>
      <c r="D319" s="3">
        <v>0.75</v>
      </c>
      <c r="E319" s="3">
        <v>130</v>
      </c>
      <c r="F319" s="3" t="s">
        <v>19</v>
      </c>
      <c r="G319" s="3" t="s">
        <v>19</v>
      </c>
      <c r="H319" s="3" t="s">
        <v>504</v>
      </c>
      <c r="I319" s="3"/>
      <c r="J319" s="3" t="s">
        <v>486</v>
      </c>
      <c r="K319" s="3" t="s">
        <v>549</v>
      </c>
      <c r="L319" s="3" t="s">
        <v>335</v>
      </c>
      <c r="M319" s="3">
        <v>115</v>
      </c>
      <c r="N319" s="6"/>
      <c r="O319" s="3">
        <v>48</v>
      </c>
      <c r="P319" s="3">
        <v>48</v>
      </c>
      <c r="Q319" s="3">
        <v>0</v>
      </c>
      <c r="R319" s="3">
        <v>0</v>
      </c>
      <c r="S319" s="3">
        <v>48</v>
      </c>
      <c r="T319" s="3">
        <v>0</v>
      </c>
      <c r="U319" s="3">
        <v>0</v>
      </c>
      <c r="V319" s="3">
        <f t="shared" si="62"/>
        <v>48</v>
      </c>
      <c r="W319" s="3">
        <v>0</v>
      </c>
      <c r="X319" s="3">
        <v>0</v>
      </c>
      <c r="Y319" s="3">
        <v>48</v>
      </c>
      <c r="Z319" s="3">
        <v>0</v>
      </c>
      <c r="AA319" s="3">
        <v>0</v>
      </c>
      <c r="AB319" s="3">
        <f t="shared" si="63"/>
        <v>48</v>
      </c>
      <c r="AC319" s="6">
        <f t="shared" si="71"/>
        <v>0</v>
      </c>
      <c r="AD319" s="6">
        <f t="shared" si="72"/>
        <v>0</v>
      </c>
      <c r="AE319" s="6">
        <f t="shared" si="73"/>
        <v>-48</v>
      </c>
      <c r="AF319" s="6">
        <f t="shared" si="74"/>
        <v>0</v>
      </c>
      <c r="AG319" s="6">
        <f t="shared" si="75"/>
        <v>0</v>
      </c>
      <c r="AH319" s="6">
        <f t="shared" si="64"/>
        <v>-48</v>
      </c>
      <c r="AI319" s="3"/>
      <c r="AJ319" s="3" t="e">
        <f>_xlfn.XLOOKUP(K319,工作表1!A:A,工作表1!C:C)</f>
        <v>#N/A</v>
      </c>
      <c r="AK319" s="3"/>
      <c r="AL319" s="6">
        <f t="shared" si="65"/>
        <v>0</v>
      </c>
      <c r="AM319" s="6">
        <f t="shared" si="66"/>
        <v>0</v>
      </c>
      <c r="AN319" s="6">
        <f t="shared" si="67"/>
        <v>0</v>
      </c>
      <c r="AO319" s="6">
        <f t="shared" si="68"/>
        <v>0</v>
      </c>
      <c r="AP319" s="6">
        <f t="shared" si="69"/>
        <v>0</v>
      </c>
      <c r="AQ319" s="6">
        <f t="shared" si="70"/>
        <v>0</v>
      </c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  <c r="BC319" s="6"/>
      <c r="BD319" s="6"/>
      <c r="BE319" s="6"/>
      <c r="BF319" s="6"/>
      <c r="BG319" s="6"/>
      <c r="BH319" s="6"/>
      <c r="BI319" s="6"/>
      <c r="BJ319" s="6"/>
      <c r="BK319" s="6"/>
      <c r="BL319" s="6"/>
      <c r="BM319" s="6"/>
      <c r="BN319" s="6"/>
      <c r="BO319" s="6"/>
      <c r="BP319" s="3">
        <v>48</v>
      </c>
      <c r="BQ319" s="6">
        <f t="shared" si="61"/>
        <v>0</v>
      </c>
    </row>
    <row r="320" spans="1:69" x14ac:dyDescent="0.3">
      <c r="A320" s="3" t="s">
        <v>17</v>
      </c>
      <c r="B320" s="3">
        <v>481</v>
      </c>
      <c r="C320" s="3" t="s">
        <v>541</v>
      </c>
      <c r="D320" s="3">
        <v>0.75</v>
      </c>
      <c r="E320" s="3">
        <v>150</v>
      </c>
      <c r="F320" s="3" t="s">
        <v>19</v>
      </c>
      <c r="G320" s="3" t="s">
        <v>19</v>
      </c>
      <c r="H320" s="3" t="s">
        <v>550</v>
      </c>
      <c r="I320" s="3"/>
      <c r="J320" s="3" t="s">
        <v>486</v>
      </c>
      <c r="K320" s="3" t="s">
        <v>551</v>
      </c>
      <c r="L320" s="3" t="s">
        <v>335</v>
      </c>
      <c r="M320" s="3">
        <v>67</v>
      </c>
      <c r="N320" s="6"/>
      <c r="O320" s="3">
        <v>4</v>
      </c>
      <c r="P320" s="3">
        <v>4</v>
      </c>
      <c r="Q320" s="3">
        <v>0</v>
      </c>
      <c r="R320" s="3">
        <v>0</v>
      </c>
      <c r="S320" s="3">
        <v>4</v>
      </c>
      <c r="T320" s="3">
        <v>0</v>
      </c>
      <c r="U320" s="3">
        <v>0</v>
      </c>
      <c r="V320" s="3">
        <f t="shared" si="62"/>
        <v>4</v>
      </c>
      <c r="W320" s="3">
        <v>0</v>
      </c>
      <c r="X320" s="3">
        <v>0</v>
      </c>
      <c r="Y320" s="3">
        <v>4</v>
      </c>
      <c r="Z320" s="3">
        <v>0</v>
      </c>
      <c r="AA320" s="3">
        <v>0</v>
      </c>
      <c r="AB320" s="3">
        <f t="shared" si="63"/>
        <v>4</v>
      </c>
      <c r="AC320" s="6">
        <f t="shared" si="71"/>
        <v>0</v>
      </c>
      <c r="AD320" s="6">
        <f t="shared" si="72"/>
        <v>0</v>
      </c>
      <c r="AE320" s="6">
        <f t="shared" si="73"/>
        <v>-4</v>
      </c>
      <c r="AF320" s="6">
        <f t="shared" si="74"/>
        <v>0</v>
      </c>
      <c r="AG320" s="6">
        <f t="shared" si="75"/>
        <v>0</v>
      </c>
      <c r="AH320" s="6">
        <f t="shared" si="64"/>
        <v>-4</v>
      </c>
      <c r="AI320" s="3"/>
      <c r="AJ320" s="3" t="e">
        <f>_xlfn.XLOOKUP(K320,工作表1!A:A,工作表1!C:C)</f>
        <v>#N/A</v>
      </c>
      <c r="AK320" s="3"/>
      <c r="AL320" s="6">
        <f t="shared" si="65"/>
        <v>0</v>
      </c>
      <c r="AM320" s="6">
        <f t="shared" si="66"/>
        <v>0</v>
      </c>
      <c r="AN320" s="6">
        <f t="shared" si="67"/>
        <v>0</v>
      </c>
      <c r="AO320" s="6">
        <f t="shared" si="68"/>
        <v>0</v>
      </c>
      <c r="AP320" s="6">
        <f t="shared" si="69"/>
        <v>0</v>
      </c>
      <c r="AQ320" s="6">
        <f t="shared" si="70"/>
        <v>0</v>
      </c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  <c r="BC320" s="6"/>
      <c r="BD320" s="6"/>
      <c r="BE320" s="6"/>
      <c r="BF320" s="6"/>
      <c r="BG320" s="6"/>
      <c r="BH320" s="6"/>
      <c r="BI320" s="6"/>
      <c r="BJ320" s="6"/>
      <c r="BK320" s="6"/>
      <c r="BL320" s="6"/>
      <c r="BM320" s="6"/>
      <c r="BN320" s="6"/>
      <c r="BO320" s="6"/>
      <c r="BP320" s="3">
        <v>4</v>
      </c>
      <c r="BQ320" s="6">
        <f t="shared" si="61"/>
        <v>0</v>
      </c>
    </row>
    <row r="321" spans="1:69" x14ac:dyDescent="0.3">
      <c r="A321" s="3" t="s">
        <v>17</v>
      </c>
      <c r="B321" s="3">
        <v>481</v>
      </c>
      <c r="C321" s="3" t="s">
        <v>541</v>
      </c>
      <c r="D321" s="3">
        <v>0.75</v>
      </c>
      <c r="E321" s="3">
        <v>110</v>
      </c>
      <c r="F321" s="3" t="s">
        <v>19</v>
      </c>
      <c r="G321" s="3" t="s">
        <v>19</v>
      </c>
      <c r="H321" s="3" t="s">
        <v>508</v>
      </c>
      <c r="I321" s="3"/>
      <c r="J321" s="3" t="s">
        <v>486</v>
      </c>
      <c r="K321" s="3" t="s">
        <v>552</v>
      </c>
      <c r="L321" s="3" t="s">
        <v>335</v>
      </c>
      <c r="M321" s="3">
        <v>67</v>
      </c>
      <c r="N321" s="6"/>
      <c r="O321" s="3">
        <v>16</v>
      </c>
      <c r="P321" s="3">
        <v>16</v>
      </c>
      <c r="Q321" s="3">
        <v>0</v>
      </c>
      <c r="R321" s="3">
        <v>0</v>
      </c>
      <c r="S321" s="3">
        <v>16</v>
      </c>
      <c r="T321" s="3">
        <v>0</v>
      </c>
      <c r="U321" s="3">
        <v>0</v>
      </c>
      <c r="V321" s="3">
        <f t="shared" si="62"/>
        <v>16</v>
      </c>
      <c r="W321" s="3">
        <v>0</v>
      </c>
      <c r="X321" s="3">
        <v>0</v>
      </c>
      <c r="Y321" s="3">
        <v>16</v>
      </c>
      <c r="Z321" s="3">
        <v>0</v>
      </c>
      <c r="AA321" s="3">
        <v>0</v>
      </c>
      <c r="AB321" s="3">
        <f t="shared" si="63"/>
        <v>16</v>
      </c>
      <c r="AC321" s="6">
        <f t="shared" si="71"/>
        <v>0</v>
      </c>
      <c r="AD321" s="6">
        <f t="shared" si="72"/>
        <v>0</v>
      </c>
      <c r="AE321" s="6">
        <f t="shared" si="73"/>
        <v>-16</v>
      </c>
      <c r="AF321" s="6">
        <f t="shared" si="74"/>
        <v>0</v>
      </c>
      <c r="AG321" s="6">
        <f t="shared" si="75"/>
        <v>0</v>
      </c>
      <c r="AH321" s="6">
        <f t="shared" si="64"/>
        <v>-16</v>
      </c>
      <c r="AI321" s="3"/>
      <c r="AJ321" s="3" t="e">
        <f>_xlfn.XLOOKUP(K321,工作表1!A:A,工作表1!C:C)</f>
        <v>#N/A</v>
      </c>
      <c r="AK321" s="3"/>
      <c r="AL321" s="6">
        <f t="shared" si="65"/>
        <v>0</v>
      </c>
      <c r="AM321" s="6">
        <f t="shared" si="66"/>
        <v>0</v>
      </c>
      <c r="AN321" s="6">
        <f t="shared" si="67"/>
        <v>0</v>
      </c>
      <c r="AO321" s="6">
        <f t="shared" si="68"/>
        <v>0</v>
      </c>
      <c r="AP321" s="6">
        <f t="shared" si="69"/>
        <v>0</v>
      </c>
      <c r="AQ321" s="6">
        <f t="shared" si="70"/>
        <v>0</v>
      </c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  <c r="BC321" s="6"/>
      <c r="BD321" s="6"/>
      <c r="BE321" s="6"/>
      <c r="BF321" s="6"/>
      <c r="BG321" s="6"/>
      <c r="BH321" s="6"/>
      <c r="BI321" s="6"/>
      <c r="BJ321" s="6"/>
      <c r="BK321" s="6"/>
      <c r="BL321" s="6"/>
      <c r="BM321" s="6"/>
      <c r="BN321" s="6"/>
      <c r="BO321" s="6"/>
      <c r="BP321" s="3">
        <v>16</v>
      </c>
      <c r="BQ321" s="6">
        <f t="shared" si="61"/>
        <v>0</v>
      </c>
    </row>
    <row r="322" spans="1:69" x14ac:dyDescent="0.3">
      <c r="A322" s="3" t="s">
        <v>17</v>
      </c>
      <c r="B322" s="3">
        <v>481</v>
      </c>
      <c r="C322" s="3" t="s">
        <v>541</v>
      </c>
      <c r="D322" s="3">
        <v>0.75</v>
      </c>
      <c r="E322" s="3">
        <v>140</v>
      </c>
      <c r="F322" s="3" t="s">
        <v>19</v>
      </c>
      <c r="G322" s="3" t="s">
        <v>19</v>
      </c>
      <c r="H322" s="3" t="s">
        <v>510</v>
      </c>
      <c r="I322" s="3"/>
      <c r="J322" s="3" t="s">
        <v>486</v>
      </c>
      <c r="K322" s="3" t="s">
        <v>553</v>
      </c>
      <c r="L322" s="3" t="s">
        <v>335</v>
      </c>
      <c r="M322" s="3">
        <v>254</v>
      </c>
      <c r="N322" s="6"/>
      <c r="O322" s="3">
        <v>56</v>
      </c>
      <c r="P322" s="3">
        <v>56</v>
      </c>
      <c r="Q322" s="3">
        <v>0</v>
      </c>
      <c r="R322" s="3">
        <v>0</v>
      </c>
      <c r="S322" s="3">
        <v>40</v>
      </c>
      <c r="T322" s="3">
        <v>16</v>
      </c>
      <c r="U322" s="3">
        <v>0</v>
      </c>
      <c r="V322" s="3">
        <f t="shared" si="62"/>
        <v>56</v>
      </c>
      <c r="W322" s="3">
        <v>0</v>
      </c>
      <c r="X322" s="3">
        <v>0</v>
      </c>
      <c r="Y322" s="3">
        <v>40</v>
      </c>
      <c r="Z322" s="3">
        <v>16</v>
      </c>
      <c r="AA322" s="3">
        <v>0</v>
      </c>
      <c r="AB322" s="3">
        <f t="shared" si="63"/>
        <v>56</v>
      </c>
      <c r="AC322" s="6">
        <f t="shared" si="71"/>
        <v>0</v>
      </c>
      <c r="AD322" s="6">
        <f t="shared" si="72"/>
        <v>0</v>
      </c>
      <c r="AE322" s="6">
        <f t="shared" si="73"/>
        <v>-40</v>
      </c>
      <c r="AF322" s="6">
        <f t="shared" si="74"/>
        <v>-16</v>
      </c>
      <c r="AG322" s="6">
        <f t="shared" si="75"/>
        <v>0</v>
      </c>
      <c r="AH322" s="6">
        <f t="shared" si="64"/>
        <v>-56</v>
      </c>
      <c r="AI322" s="3"/>
      <c r="AJ322" s="3" t="e">
        <f>_xlfn.XLOOKUP(K322,工作表1!A:A,工作表1!C:C)</f>
        <v>#N/A</v>
      </c>
      <c r="AK322" s="3"/>
      <c r="AL322" s="6">
        <f t="shared" si="65"/>
        <v>0</v>
      </c>
      <c r="AM322" s="6">
        <f t="shared" si="66"/>
        <v>0</v>
      </c>
      <c r="AN322" s="6">
        <f t="shared" si="67"/>
        <v>0</v>
      </c>
      <c r="AO322" s="6">
        <f t="shared" si="68"/>
        <v>0</v>
      </c>
      <c r="AP322" s="6">
        <f t="shared" si="69"/>
        <v>0</v>
      </c>
      <c r="AQ322" s="6">
        <f t="shared" si="70"/>
        <v>0</v>
      </c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  <c r="BC322" s="6"/>
      <c r="BD322" s="6"/>
      <c r="BE322" s="6"/>
      <c r="BF322" s="6"/>
      <c r="BG322" s="6"/>
      <c r="BH322" s="6"/>
      <c r="BI322" s="6"/>
      <c r="BJ322" s="6"/>
      <c r="BK322" s="6"/>
      <c r="BL322" s="6"/>
      <c r="BM322" s="6"/>
      <c r="BN322" s="6"/>
      <c r="BO322" s="6"/>
      <c r="BP322" s="3">
        <v>56</v>
      </c>
      <c r="BQ322" s="6">
        <f t="shared" si="61"/>
        <v>0</v>
      </c>
    </row>
    <row r="323" spans="1:69" x14ac:dyDescent="0.3">
      <c r="A323" s="3" t="s">
        <v>17</v>
      </c>
      <c r="B323" s="3">
        <v>481</v>
      </c>
      <c r="C323" s="3" t="s">
        <v>541</v>
      </c>
      <c r="D323" s="3">
        <v>0.75</v>
      </c>
      <c r="E323" s="3">
        <v>120</v>
      </c>
      <c r="F323" s="3" t="s">
        <v>19</v>
      </c>
      <c r="G323" s="3" t="s">
        <v>19</v>
      </c>
      <c r="H323" s="3" t="s">
        <v>516</v>
      </c>
      <c r="I323" s="3"/>
      <c r="J323" s="3" t="s">
        <v>486</v>
      </c>
      <c r="K323" s="3" t="s">
        <v>554</v>
      </c>
      <c r="L323" s="3" t="s">
        <v>335</v>
      </c>
      <c r="M323" s="3">
        <v>82</v>
      </c>
      <c r="N323" s="6"/>
      <c r="O323" s="3">
        <v>4</v>
      </c>
      <c r="P323" s="3">
        <v>4</v>
      </c>
      <c r="Q323" s="3">
        <v>0</v>
      </c>
      <c r="R323" s="3">
        <v>0</v>
      </c>
      <c r="S323" s="3">
        <v>4</v>
      </c>
      <c r="T323" s="3">
        <v>0</v>
      </c>
      <c r="U323" s="3">
        <v>0</v>
      </c>
      <c r="V323" s="3">
        <f t="shared" si="62"/>
        <v>4</v>
      </c>
      <c r="W323" s="3">
        <v>0</v>
      </c>
      <c r="X323" s="3">
        <v>0</v>
      </c>
      <c r="Y323" s="3">
        <v>4</v>
      </c>
      <c r="Z323" s="3">
        <v>0</v>
      </c>
      <c r="AA323" s="3">
        <v>0</v>
      </c>
      <c r="AB323" s="3">
        <f t="shared" si="63"/>
        <v>4</v>
      </c>
      <c r="AC323" s="6">
        <f t="shared" si="71"/>
        <v>0</v>
      </c>
      <c r="AD323" s="6">
        <f t="shared" si="72"/>
        <v>0</v>
      </c>
      <c r="AE323" s="6">
        <f t="shared" si="73"/>
        <v>-4</v>
      </c>
      <c r="AF323" s="6">
        <f t="shared" si="74"/>
        <v>0</v>
      </c>
      <c r="AG323" s="6">
        <f t="shared" si="75"/>
        <v>0</v>
      </c>
      <c r="AH323" s="6">
        <f t="shared" si="64"/>
        <v>-4</v>
      </c>
      <c r="AI323" s="3"/>
      <c r="AJ323" s="3" t="e">
        <f>_xlfn.XLOOKUP(K323,工作表1!A:A,工作表1!C:C)</f>
        <v>#N/A</v>
      </c>
      <c r="AK323" s="3"/>
      <c r="AL323" s="6">
        <f t="shared" si="65"/>
        <v>0</v>
      </c>
      <c r="AM323" s="6">
        <f t="shared" si="66"/>
        <v>0</v>
      </c>
      <c r="AN323" s="6">
        <f t="shared" si="67"/>
        <v>0</v>
      </c>
      <c r="AO323" s="6">
        <f t="shared" si="68"/>
        <v>0</v>
      </c>
      <c r="AP323" s="6">
        <f t="shared" si="69"/>
        <v>0</v>
      </c>
      <c r="AQ323" s="6">
        <f t="shared" si="70"/>
        <v>0</v>
      </c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  <c r="BC323" s="6"/>
      <c r="BD323" s="6"/>
      <c r="BE323" s="6"/>
      <c r="BF323" s="6"/>
      <c r="BG323" s="6"/>
      <c r="BH323" s="6"/>
      <c r="BI323" s="6"/>
      <c r="BJ323" s="6"/>
      <c r="BK323" s="6"/>
      <c r="BL323" s="6"/>
      <c r="BM323" s="6"/>
      <c r="BN323" s="6"/>
      <c r="BO323" s="6"/>
      <c r="BP323" s="3">
        <v>4</v>
      </c>
      <c r="BQ323" s="6">
        <f t="shared" si="61"/>
        <v>0</v>
      </c>
    </row>
    <row r="324" spans="1:69" x14ac:dyDescent="0.3">
      <c r="A324" s="3" t="s">
        <v>17</v>
      </c>
      <c r="B324" s="3">
        <v>481</v>
      </c>
      <c r="C324" s="3" t="s">
        <v>541</v>
      </c>
      <c r="D324" s="3">
        <v>0.75</v>
      </c>
      <c r="E324" s="3">
        <v>145</v>
      </c>
      <c r="F324" s="3" t="s">
        <v>19</v>
      </c>
      <c r="G324" s="3" t="s">
        <v>19</v>
      </c>
      <c r="H324" s="3" t="s">
        <v>555</v>
      </c>
      <c r="I324" s="3"/>
      <c r="J324" s="3" t="s">
        <v>486</v>
      </c>
      <c r="K324" s="3" t="s">
        <v>556</v>
      </c>
      <c r="L324" s="3" t="s">
        <v>335</v>
      </c>
      <c r="M324" s="3">
        <v>10</v>
      </c>
      <c r="N324" s="6"/>
      <c r="O324" s="3">
        <v>8</v>
      </c>
      <c r="P324" s="3">
        <v>8</v>
      </c>
      <c r="Q324" s="3">
        <v>0</v>
      </c>
      <c r="R324" s="3">
        <v>0</v>
      </c>
      <c r="S324" s="3">
        <v>8</v>
      </c>
      <c r="T324" s="3">
        <v>0</v>
      </c>
      <c r="U324" s="3">
        <v>0</v>
      </c>
      <c r="V324" s="3">
        <f t="shared" si="62"/>
        <v>8</v>
      </c>
      <c r="W324" s="3">
        <v>0</v>
      </c>
      <c r="X324" s="3">
        <v>0</v>
      </c>
      <c r="Y324" s="3">
        <v>8</v>
      </c>
      <c r="Z324" s="3">
        <v>0</v>
      </c>
      <c r="AA324" s="3">
        <v>0</v>
      </c>
      <c r="AB324" s="3">
        <f t="shared" si="63"/>
        <v>8</v>
      </c>
      <c r="AC324" s="6">
        <f t="shared" si="71"/>
        <v>0</v>
      </c>
      <c r="AD324" s="6">
        <f t="shared" si="72"/>
        <v>0</v>
      </c>
      <c r="AE324" s="6">
        <f t="shared" si="73"/>
        <v>-8</v>
      </c>
      <c r="AF324" s="6">
        <f t="shared" si="74"/>
        <v>0</v>
      </c>
      <c r="AG324" s="6">
        <f t="shared" si="75"/>
        <v>0</v>
      </c>
      <c r="AH324" s="6">
        <f t="shared" si="64"/>
        <v>-8</v>
      </c>
      <c r="AI324" s="3"/>
      <c r="AJ324" s="3" t="e">
        <f>_xlfn.XLOOKUP(K324,工作表1!A:A,工作表1!C:C)</f>
        <v>#N/A</v>
      </c>
      <c r="AK324" s="3"/>
      <c r="AL324" s="6">
        <f t="shared" si="65"/>
        <v>0</v>
      </c>
      <c r="AM324" s="6">
        <f t="shared" si="66"/>
        <v>0</v>
      </c>
      <c r="AN324" s="6">
        <f t="shared" si="67"/>
        <v>0</v>
      </c>
      <c r="AO324" s="6">
        <f t="shared" si="68"/>
        <v>0</v>
      </c>
      <c r="AP324" s="6">
        <f t="shared" si="69"/>
        <v>0</v>
      </c>
      <c r="AQ324" s="6">
        <f t="shared" si="70"/>
        <v>0</v>
      </c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  <c r="BC324" s="6"/>
      <c r="BD324" s="6"/>
      <c r="BE324" s="6"/>
      <c r="BF324" s="6"/>
      <c r="BG324" s="6"/>
      <c r="BH324" s="6"/>
      <c r="BI324" s="6"/>
      <c r="BJ324" s="6"/>
      <c r="BK324" s="6"/>
      <c r="BL324" s="6"/>
      <c r="BM324" s="6"/>
      <c r="BN324" s="6"/>
      <c r="BO324" s="6"/>
      <c r="BP324" s="3">
        <v>8</v>
      </c>
      <c r="BQ324" s="6">
        <f t="shared" si="61"/>
        <v>0</v>
      </c>
    </row>
    <row r="325" spans="1:69" x14ac:dyDescent="0.3">
      <c r="A325" s="3" t="s">
        <v>17</v>
      </c>
      <c r="B325" s="3">
        <v>481</v>
      </c>
      <c r="C325" s="3" t="s">
        <v>541</v>
      </c>
      <c r="D325" s="3">
        <v>0.75</v>
      </c>
      <c r="E325" s="3">
        <v>165</v>
      </c>
      <c r="F325" s="3" t="s">
        <v>19</v>
      </c>
      <c r="G325" s="3" t="s">
        <v>19</v>
      </c>
      <c r="H325" s="3" t="s">
        <v>557</v>
      </c>
      <c r="I325" s="3"/>
      <c r="J325" s="3" t="s">
        <v>486</v>
      </c>
      <c r="K325" s="3" t="s">
        <v>558</v>
      </c>
      <c r="L325" s="3" t="s">
        <v>335</v>
      </c>
      <c r="M325" s="3">
        <v>10</v>
      </c>
      <c r="N325" s="6"/>
      <c r="O325" s="3">
        <v>24</v>
      </c>
      <c r="P325" s="3">
        <v>24</v>
      </c>
      <c r="Q325" s="3">
        <v>0</v>
      </c>
      <c r="R325" s="3">
        <v>0</v>
      </c>
      <c r="S325" s="3">
        <v>4</v>
      </c>
      <c r="T325" s="3">
        <v>20</v>
      </c>
      <c r="U325" s="3">
        <v>0</v>
      </c>
      <c r="V325" s="3">
        <f t="shared" si="62"/>
        <v>24</v>
      </c>
      <c r="W325" s="3">
        <v>0</v>
      </c>
      <c r="X325" s="3">
        <v>0</v>
      </c>
      <c r="Y325" s="3">
        <v>4</v>
      </c>
      <c r="Z325" s="3">
        <v>20</v>
      </c>
      <c r="AA325" s="3">
        <v>0</v>
      </c>
      <c r="AB325" s="3">
        <f t="shared" si="63"/>
        <v>24</v>
      </c>
      <c r="AC325" s="6">
        <f t="shared" si="71"/>
        <v>0</v>
      </c>
      <c r="AD325" s="6">
        <f t="shared" si="72"/>
        <v>0</v>
      </c>
      <c r="AE325" s="6">
        <f t="shared" si="73"/>
        <v>-4</v>
      </c>
      <c r="AF325" s="6">
        <f t="shared" si="74"/>
        <v>-20</v>
      </c>
      <c r="AG325" s="6">
        <f t="shared" si="75"/>
        <v>0</v>
      </c>
      <c r="AH325" s="6">
        <f t="shared" si="64"/>
        <v>-24</v>
      </c>
      <c r="AI325" s="3"/>
      <c r="AJ325" s="3" t="e">
        <f>_xlfn.XLOOKUP(K325,工作表1!A:A,工作表1!C:C)</f>
        <v>#N/A</v>
      </c>
      <c r="AK325" s="3"/>
      <c r="AL325" s="6">
        <f t="shared" si="65"/>
        <v>0</v>
      </c>
      <c r="AM325" s="6">
        <f t="shared" si="66"/>
        <v>0</v>
      </c>
      <c r="AN325" s="6">
        <f t="shared" si="67"/>
        <v>0</v>
      </c>
      <c r="AO325" s="6">
        <f t="shared" si="68"/>
        <v>0</v>
      </c>
      <c r="AP325" s="6">
        <f t="shared" si="69"/>
        <v>0</v>
      </c>
      <c r="AQ325" s="6">
        <f t="shared" si="70"/>
        <v>0</v>
      </c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  <c r="BC325" s="6"/>
      <c r="BD325" s="6"/>
      <c r="BE325" s="6"/>
      <c r="BF325" s="6"/>
      <c r="BG325" s="6"/>
      <c r="BH325" s="6"/>
      <c r="BI325" s="6"/>
      <c r="BJ325" s="6"/>
      <c r="BK325" s="6"/>
      <c r="BL325" s="6"/>
      <c r="BM325" s="6"/>
      <c r="BN325" s="6"/>
      <c r="BO325" s="6"/>
      <c r="BP325" s="3">
        <v>24</v>
      </c>
      <c r="BQ325" s="6">
        <f t="shared" si="61"/>
        <v>0</v>
      </c>
    </row>
    <row r="326" spans="1:69" x14ac:dyDescent="0.3">
      <c r="A326" s="3" t="s">
        <v>17</v>
      </c>
      <c r="B326" s="3">
        <v>481</v>
      </c>
      <c r="C326" s="3" t="s">
        <v>541</v>
      </c>
      <c r="D326" s="3">
        <v>0.75</v>
      </c>
      <c r="E326" s="3">
        <v>135</v>
      </c>
      <c r="F326" s="3" t="s">
        <v>19</v>
      </c>
      <c r="G326" s="3" t="s">
        <v>19</v>
      </c>
      <c r="H326" s="3" t="s">
        <v>518</v>
      </c>
      <c r="I326" s="3"/>
      <c r="J326" s="3" t="s">
        <v>486</v>
      </c>
      <c r="K326" s="3" t="s">
        <v>559</v>
      </c>
      <c r="L326" s="3" t="s">
        <v>335</v>
      </c>
      <c r="M326" s="3">
        <v>38</v>
      </c>
      <c r="N326" s="6"/>
      <c r="O326" s="3">
        <v>8</v>
      </c>
      <c r="P326" s="3">
        <v>8</v>
      </c>
      <c r="Q326" s="3">
        <v>0</v>
      </c>
      <c r="R326" s="3">
        <v>0</v>
      </c>
      <c r="S326" s="3">
        <v>8</v>
      </c>
      <c r="T326" s="3">
        <v>0</v>
      </c>
      <c r="U326" s="3">
        <v>0</v>
      </c>
      <c r="V326" s="3">
        <f t="shared" si="62"/>
        <v>8</v>
      </c>
      <c r="W326" s="3">
        <v>0</v>
      </c>
      <c r="X326" s="3">
        <v>0</v>
      </c>
      <c r="Y326" s="3">
        <v>8</v>
      </c>
      <c r="Z326" s="3">
        <v>0</v>
      </c>
      <c r="AA326" s="3">
        <v>0</v>
      </c>
      <c r="AB326" s="3">
        <f t="shared" si="63"/>
        <v>8</v>
      </c>
      <c r="AC326" s="6">
        <f t="shared" si="71"/>
        <v>0</v>
      </c>
      <c r="AD326" s="6">
        <f t="shared" si="72"/>
        <v>0</v>
      </c>
      <c r="AE326" s="6">
        <f t="shared" si="73"/>
        <v>-8</v>
      </c>
      <c r="AF326" s="6">
        <f t="shared" si="74"/>
        <v>0</v>
      </c>
      <c r="AG326" s="6">
        <f t="shared" si="75"/>
        <v>0</v>
      </c>
      <c r="AH326" s="6">
        <f t="shared" si="64"/>
        <v>-8</v>
      </c>
      <c r="AI326" s="3"/>
      <c r="AJ326" s="3" t="e">
        <f>_xlfn.XLOOKUP(K326,工作表1!A:A,工作表1!C:C)</f>
        <v>#N/A</v>
      </c>
      <c r="AK326" s="3"/>
      <c r="AL326" s="6">
        <f t="shared" si="65"/>
        <v>0</v>
      </c>
      <c r="AM326" s="6">
        <f t="shared" si="66"/>
        <v>0</v>
      </c>
      <c r="AN326" s="6">
        <f t="shared" si="67"/>
        <v>0</v>
      </c>
      <c r="AO326" s="6">
        <f t="shared" si="68"/>
        <v>0</v>
      </c>
      <c r="AP326" s="6">
        <f t="shared" si="69"/>
        <v>0</v>
      </c>
      <c r="AQ326" s="6">
        <f t="shared" si="70"/>
        <v>0</v>
      </c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  <c r="BC326" s="6"/>
      <c r="BD326" s="6"/>
      <c r="BE326" s="6"/>
      <c r="BF326" s="6"/>
      <c r="BG326" s="6"/>
      <c r="BH326" s="6"/>
      <c r="BI326" s="6"/>
      <c r="BJ326" s="6"/>
      <c r="BK326" s="6"/>
      <c r="BL326" s="6"/>
      <c r="BM326" s="6"/>
      <c r="BN326" s="6"/>
      <c r="BO326" s="6"/>
      <c r="BP326" s="3">
        <v>8</v>
      </c>
      <c r="BQ326" s="6">
        <f t="shared" si="61"/>
        <v>0</v>
      </c>
    </row>
    <row r="327" spans="1:69" x14ac:dyDescent="0.3">
      <c r="A327" s="3" t="s">
        <v>17</v>
      </c>
      <c r="B327" s="3">
        <v>481</v>
      </c>
      <c r="C327" s="3" t="s">
        <v>541</v>
      </c>
      <c r="D327" s="3">
        <v>0.625</v>
      </c>
      <c r="E327" s="3">
        <v>90</v>
      </c>
      <c r="F327" s="3" t="s">
        <v>19</v>
      </c>
      <c r="G327" s="3" t="s">
        <v>19</v>
      </c>
      <c r="H327" s="3" t="s">
        <v>520</v>
      </c>
      <c r="I327" s="3"/>
      <c r="J327" s="3" t="s">
        <v>486</v>
      </c>
      <c r="K327" s="3" t="s">
        <v>560</v>
      </c>
      <c r="L327" s="3" t="s">
        <v>335</v>
      </c>
      <c r="M327" s="3">
        <v>38</v>
      </c>
      <c r="N327" s="6"/>
      <c r="O327" s="3">
        <v>16</v>
      </c>
      <c r="P327" s="3">
        <v>16</v>
      </c>
      <c r="Q327" s="3">
        <v>0</v>
      </c>
      <c r="R327" s="3">
        <v>0</v>
      </c>
      <c r="S327" s="3">
        <v>16</v>
      </c>
      <c r="T327" s="3">
        <v>0</v>
      </c>
      <c r="U327" s="3">
        <v>0</v>
      </c>
      <c r="V327" s="3">
        <f t="shared" si="62"/>
        <v>16</v>
      </c>
      <c r="W327" s="3">
        <v>0</v>
      </c>
      <c r="X327" s="3">
        <v>0</v>
      </c>
      <c r="Y327" s="3">
        <v>16</v>
      </c>
      <c r="Z327" s="3">
        <v>0</v>
      </c>
      <c r="AA327" s="3">
        <v>0</v>
      </c>
      <c r="AB327" s="3">
        <f t="shared" si="63"/>
        <v>16</v>
      </c>
      <c r="AC327" s="6">
        <f t="shared" si="71"/>
        <v>0</v>
      </c>
      <c r="AD327" s="6">
        <f t="shared" si="72"/>
        <v>0</v>
      </c>
      <c r="AE327" s="6">
        <f t="shared" si="73"/>
        <v>-16</v>
      </c>
      <c r="AF327" s="6">
        <f t="shared" si="74"/>
        <v>0</v>
      </c>
      <c r="AG327" s="6">
        <f t="shared" si="75"/>
        <v>0</v>
      </c>
      <c r="AH327" s="6">
        <f t="shared" si="64"/>
        <v>-16</v>
      </c>
      <c r="AI327" s="3"/>
      <c r="AJ327" s="3" t="e">
        <f>_xlfn.XLOOKUP(K327,工作表1!A:A,工作表1!C:C)</f>
        <v>#N/A</v>
      </c>
      <c r="AK327" s="3"/>
      <c r="AL327" s="6">
        <f t="shared" si="65"/>
        <v>0</v>
      </c>
      <c r="AM327" s="6">
        <f t="shared" si="66"/>
        <v>0</v>
      </c>
      <c r="AN327" s="6">
        <f t="shared" si="67"/>
        <v>0</v>
      </c>
      <c r="AO327" s="6">
        <f t="shared" si="68"/>
        <v>0</v>
      </c>
      <c r="AP327" s="6">
        <f t="shared" si="69"/>
        <v>0</v>
      </c>
      <c r="AQ327" s="6">
        <f t="shared" si="70"/>
        <v>0</v>
      </c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  <c r="BC327" s="6"/>
      <c r="BD327" s="6"/>
      <c r="BE327" s="6"/>
      <c r="BF327" s="6"/>
      <c r="BG327" s="6"/>
      <c r="BH327" s="6"/>
      <c r="BI327" s="6"/>
      <c r="BJ327" s="6"/>
      <c r="BK327" s="6"/>
      <c r="BL327" s="6"/>
      <c r="BM327" s="6"/>
      <c r="BN327" s="6"/>
      <c r="BO327" s="6"/>
      <c r="BP327" s="3">
        <v>16</v>
      </c>
      <c r="BQ327" s="6">
        <f t="shared" ref="BQ327:BQ390" si="76">SUM(BR327:FN327)</f>
        <v>0</v>
      </c>
    </row>
    <row r="328" spans="1:69" x14ac:dyDescent="0.3">
      <c r="A328" s="3" t="s">
        <v>17</v>
      </c>
      <c r="B328" s="3">
        <v>481</v>
      </c>
      <c r="C328" s="3" t="s">
        <v>541</v>
      </c>
      <c r="D328" s="3">
        <v>0.625</v>
      </c>
      <c r="E328" s="3">
        <v>85</v>
      </c>
      <c r="F328" s="3" t="s">
        <v>19</v>
      </c>
      <c r="G328" s="3" t="s">
        <v>19</v>
      </c>
      <c r="H328" s="3" t="s">
        <v>522</v>
      </c>
      <c r="I328" s="3"/>
      <c r="J328" s="3" t="s">
        <v>486</v>
      </c>
      <c r="K328" s="3" t="s">
        <v>561</v>
      </c>
      <c r="L328" s="3" t="s">
        <v>335</v>
      </c>
      <c r="M328" s="3">
        <v>29</v>
      </c>
      <c r="N328" s="6"/>
      <c r="O328" s="3">
        <v>8</v>
      </c>
      <c r="P328" s="3">
        <v>8</v>
      </c>
      <c r="Q328" s="3">
        <v>0</v>
      </c>
      <c r="R328" s="3">
        <v>0</v>
      </c>
      <c r="S328" s="3">
        <v>8</v>
      </c>
      <c r="T328" s="3">
        <v>0</v>
      </c>
      <c r="U328" s="3">
        <v>0</v>
      </c>
      <c r="V328" s="3">
        <f t="shared" ref="V328:V391" si="77">SUM(Q328:U328)</f>
        <v>8</v>
      </c>
      <c r="W328" s="3">
        <v>0</v>
      </c>
      <c r="X328" s="3">
        <v>0</v>
      </c>
      <c r="Y328" s="3">
        <v>8</v>
      </c>
      <c r="Z328" s="3">
        <v>0</v>
      </c>
      <c r="AA328" s="3">
        <v>0</v>
      </c>
      <c r="AB328" s="3">
        <f t="shared" ref="AB328:AB391" si="78">SUM(W328:AA328)</f>
        <v>8</v>
      </c>
      <c r="AC328" s="6">
        <f t="shared" si="71"/>
        <v>0</v>
      </c>
      <c r="AD328" s="6">
        <f t="shared" si="72"/>
        <v>0</v>
      </c>
      <c r="AE328" s="6">
        <f t="shared" si="73"/>
        <v>-8</v>
      </c>
      <c r="AF328" s="6">
        <f t="shared" si="74"/>
        <v>0</v>
      </c>
      <c r="AG328" s="6">
        <f t="shared" si="75"/>
        <v>0</v>
      </c>
      <c r="AH328" s="6">
        <f t="shared" ref="AH328:AH391" si="79">AQ328-AB328</f>
        <v>-8</v>
      </c>
      <c r="AI328" s="3"/>
      <c r="AJ328" s="3" t="e">
        <f>_xlfn.XLOOKUP(K328,工作表1!A:A,工作表1!C:C)</f>
        <v>#N/A</v>
      </c>
      <c r="AK328" s="3"/>
      <c r="AL328" s="6">
        <f t="shared" ref="AL328:AL391" si="80">SUM(AR328:AV328)</f>
        <v>0</v>
      </c>
      <c r="AM328" s="6">
        <f t="shared" ref="AM328:AM391" si="81">SUM(AW328:AZ328)</f>
        <v>0</v>
      </c>
      <c r="AN328" s="6">
        <f t="shared" ref="AN328:AN391" si="82">SUM(BA328:BE328)</f>
        <v>0</v>
      </c>
      <c r="AO328" s="6">
        <f t="shared" ref="AO328:AO391" si="83">SUM(BF328:BI328)</f>
        <v>0</v>
      </c>
      <c r="AP328" s="6">
        <f t="shared" ref="AP328:AP391" si="84">SUM(BJ328:BN328)</f>
        <v>0</v>
      </c>
      <c r="AQ328" s="6">
        <f t="shared" ref="AQ328:AQ391" si="85">SUM(AL328:AP328)</f>
        <v>0</v>
      </c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  <c r="BC328" s="6"/>
      <c r="BD328" s="6"/>
      <c r="BE328" s="6"/>
      <c r="BF328" s="6"/>
      <c r="BG328" s="6"/>
      <c r="BH328" s="6"/>
      <c r="BI328" s="6"/>
      <c r="BJ328" s="6"/>
      <c r="BK328" s="6"/>
      <c r="BL328" s="6"/>
      <c r="BM328" s="6"/>
      <c r="BN328" s="6"/>
      <c r="BO328" s="6"/>
      <c r="BP328" s="3">
        <v>8</v>
      </c>
      <c r="BQ328" s="6">
        <f t="shared" si="76"/>
        <v>0</v>
      </c>
    </row>
    <row r="329" spans="1:69" x14ac:dyDescent="0.3">
      <c r="A329" s="3" t="s">
        <v>17</v>
      </c>
      <c r="B329" s="3">
        <v>481</v>
      </c>
      <c r="C329" s="3" t="s">
        <v>541</v>
      </c>
      <c r="D329" s="3">
        <v>0.625</v>
      </c>
      <c r="E329" s="3">
        <v>80</v>
      </c>
      <c r="F329" s="3" t="s">
        <v>19</v>
      </c>
      <c r="G329" s="3" t="s">
        <v>19</v>
      </c>
      <c r="H329" s="3" t="s">
        <v>524</v>
      </c>
      <c r="I329" s="3"/>
      <c r="J329" s="3" t="s">
        <v>486</v>
      </c>
      <c r="K329" s="3" t="s">
        <v>562</v>
      </c>
      <c r="L329" s="3" t="s">
        <v>335</v>
      </c>
      <c r="M329" s="3">
        <v>106</v>
      </c>
      <c r="N329" s="6"/>
      <c r="O329" s="3">
        <v>32</v>
      </c>
      <c r="P329" s="3">
        <v>32</v>
      </c>
      <c r="Q329" s="3">
        <v>0</v>
      </c>
      <c r="R329" s="3">
        <v>0</v>
      </c>
      <c r="S329" s="3">
        <v>32</v>
      </c>
      <c r="T329" s="3">
        <v>0</v>
      </c>
      <c r="U329" s="3">
        <v>0</v>
      </c>
      <c r="V329" s="3">
        <f t="shared" si="77"/>
        <v>32</v>
      </c>
      <c r="W329" s="3">
        <v>0</v>
      </c>
      <c r="X329" s="3">
        <v>0</v>
      </c>
      <c r="Y329" s="3">
        <v>32</v>
      </c>
      <c r="Z329" s="3">
        <v>0</v>
      </c>
      <c r="AA329" s="3">
        <v>0</v>
      </c>
      <c r="AB329" s="3">
        <f t="shared" si="78"/>
        <v>32</v>
      </c>
      <c r="AC329" s="6">
        <f t="shared" si="71"/>
        <v>0</v>
      </c>
      <c r="AD329" s="6">
        <f t="shared" si="72"/>
        <v>0</v>
      </c>
      <c r="AE329" s="6">
        <f t="shared" si="73"/>
        <v>-32</v>
      </c>
      <c r="AF329" s="6">
        <f t="shared" si="74"/>
        <v>0</v>
      </c>
      <c r="AG329" s="6">
        <f t="shared" si="75"/>
        <v>0</v>
      </c>
      <c r="AH329" s="6">
        <f t="shared" si="79"/>
        <v>-32</v>
      </c>
      <c r="AI329" s="3"/>
      <c r="AJ329" s="3" t="e">
        <f>_xlfn.XLOOKUP(K329,工作表1!A:A,工作表1!C:C)</f>
        <v>#N/A</v>
      </c>
      <c r="AK329" s="3"/>
      <c r="AL329" s="6">
        <f t="shared" si="80"/>
        <v>0</v>
      </c>
      <c r="AM329" s="6">
        <f t="shared" si="81"/>
        <v>0</v>
      </c>
      <c r="AN329" s="6">
        <f t="shared" si="82"/>
        <v>0</v>
      </c>
      <c r="AO329" s="6">
        <f t="shared" si="83"/>
        <v>0</v>
      </c>
      <c r="AP329" s="6">
        <f t="shared" si="84"/>
        <v>0</v>
      </c>
      <c r="AQ329" s="6">
        <f t="shared" si="85"/>
        <v>0</v>
      </c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  <c r="BC329" s="6"/>
      <c r="BD329" s="6"/>
      <c r="BE329" s="6"/>
      <c r="BF329" s="6"/>
      <c r="BG329" s="6"/>
      <c r="BH329" s="6"/>
      <c r="BI329" s="6"/>
      <c r="BJ329" s="6"/>
      <c r="BK329" s="6"/>
      <c r="BL329" s="6"/>
      <c r="BM329" s="6"/>
      <c r="BN329" s="6"/>
      <c r="BO329" s="6"/>
      <c r="BP329" s="3">
        <v>32</v>
      </c>
      <c r="BQ329" s="6">
        <f t="shared" si="76"/>
        <v>0</v>
      </c>
    </row>
    <row r="330" spans="1:69" x14ac:dyDescent="0.3">
      <c r="A330" s="3" t="s">
        <v>17</v>
      </c>
      <c r="B330" s="3">
        <v>481</v>
      </c>
      <c r="C330" s="3" t="s">
        <v>541</v>
      </c>
      <c r="D330" s="3">
        <v>0.625</v>
      </c>
      <c r="E330" s="3">
        <v>95</v>
      </c>
      <c r="F330" s="3" t="s">
        <v>19</v>
      </c>
      <c r="G330" s="3" t="s">
        <v>19</v>
      </c>
      <c r="H330" s="3" t="s">
        <v>526</v>
      </c>
      <c r="I330" s="3"/>
      <c r="J330" s="3" t="s">
        <v>486</v>
      </c>
      <c r="K330" s="3" t="s">
        <v>563</v>
      </c>
      <c r="L330" s="3" t="s">
        <v>335</v>
      </c>
      <c r="M330" s="3">
        <v>221</v>
      </c>
      <c r="N330" s="6"/>
      <c r="O330" s="3">
        <v>12</v>
      </c>
      <c r="P330" s="3">
        <v>12</v>
      </c>
      <c r="Q330" s="3">
        <v>0</v>
      </c>
      <c r="R330" s="3">
        <v>0</v>
      </c>
      <c r="S330" s="3">
        <v>12</v>
      </c>
      <c r="T330" s="3">
        <v>0</v>
      </c>
      <c r="U330" s="3">
        <v>0</v>
      </c>
      <c r="V330" s="3">
        <f t="shared" si="77"/>
        <v>12</v>
      </c>
      <c r="W330" s="3">
        <v>0</v>
      </c>
      <c r="X330" s="3">
        <v>0</v>
      </c>
      <c r="Y330" s="3">
        <v>12</v>
      </c>
      <c r="Z330" s="3">
        <v>0</v>
      </c>
      <c r="AA330" s="3">
        <v>0</v>
      </c>
      <c r="AB330" s="3">
        <f t="shared" si="78"/>
        <v>12</v>
      </c>
      <c r="AC330" s="6">
        <f t="shared" si="71"/>
        <v>0</v>
      </c>
      <c r="AD330" s="6">
        <f t="shared" si="72"/>
        <v>0</v>
      </c>
      <c r="AE330" s="6">
        <f t="shared" si="73"/>
        <v>-12</v>
      </c>
      <c r="AF330" s="6">
        <f t="shared" si="74"/>
        <v>0</v>
      </c>
      <c r="AG330" s="6">
        <f t="shared" si="75"/>
        <v>0</v>
      </c>
      <c r="AH330" s="6">
        <f t="shared" si="79"/>
        <v>-12</v>
      </c>
      <c r="AI330" s="3"/>
      <c r="AJ330" s="3" t="e">
        <f>_xlfn.XLOOKUP(K330,工作表1!A:A,工作表1!C:C)</f>
        <v>#N/A</v>
      </c>
      <c r="AK330" s="3"/>
      <c r="AL330" s="6">
        <f t="shared" si="80"/>
        <v>0</v>
      </c>
      <c r="AM330" s="6">
        <f t="shared" si="81"/>
        <v>0</v>
      </c>
      <c r="AN330" s="6">
        <f t="shared" si="82"/>
        <v>0</v>
      </c>
      <c r="AO330" s="6">
        <f t="shared" si="83"/>
        <v>0</v>
      </c>
      <c r="AP330" s="6">
        <f t="shared" si="84"/>
        <v>0</v>
      </c>
      <c r="AQ330" s="6">
        <f t="shared" si="85"/>
        <v>0</v>
      </c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  <c r="BC330" s="6"/>
      <c r="BD330" s="6"/>
      <c r="BE330" s="6"/>
      <c r="BF330" s="6"/>
      <c r="BG330" s="6"/>
      <c r="BH330" s="6"/>
      <c r="BI330" s="6"/>
      <c r="BJ330" s="6"/>
      <c r="BK330" s="6"/>
      <c r="BL330" s="6"/>
      <c r="BM330" s="6"/>
      <c r="BN330" s="6"/>
      <c r="BO330" s="6"/>
      <c r="BP330" s="3">
        <v>12</v>
      </c>
      <c r="BQ330" s="6">
        <f t="shared" si="76"/>
        <v>0</v>
      </c>
    </row>
    <row r="331" spans="1:69" x14ac:dyDescent="0.3">
      <c r="A331" s="3" t="s">
        <v>17</v>
      </c>
      <c r="B331" s="3">
        <v>481</v>
      </c>
      <c r="C331" s="3" t="s">
        <v>541</v>
      </c>
      <c r="D331" s="3">
        <v>0.625</v>
      </c>
      <c r="E331" s="3">
        <v>150</v>
      </c>
      <c r="F331" s="3" t="s">
        <v>19</v>
      </c>
      <c r="G331" s="3" t="s">
        <v>19</v>
      </c>
      <c r="H331" s="3" t="s">
        <v>564</v>
      </c>
      <c r="I331" s="3"/>
      <c r="J331" s="3" t="s">
        <v>486</v>
      </c>
      <c r="K331" s="3" t="s">
        <v>565</v>
      </c>
      <c r="L331" s="3" t="s">
        <v>335</v>
      </c>
      <c r="M331" s="3">
        <v>19</v>
      </c>
      <c r="N331" s="6"/>
      <c r="O331" s="3">
        <v>8</v>
      </c>
      <c r="P331" s="3">
        <v>8</v>
      </c>
      <c r="Q331" s="3">
        <v>0</v>
      </c>
      <c r="R331" s="3">
        <v>0</v>
      </c>
      <c r="S331" s="3">
        <v>8</v>
      </c>
      <c r="T331" s="3">
        <v>0</v>
      </c>
      <c r="U331" s="3">
        <v>0</v>
      </c>
      <c r="V331" s="3">
        <f t="shared" si="77"/>
        <v>8</v>
      </c>
      <c r="W331" s="3">
        <v>0</v>
      </c>
      <c r="X331" s="3">
        <v>0</v>
      </c>
      <c r="Y331" s="3">
        <v>8</v>
      </c>
      <c r="Z331" s="3">
        <v>0</v>
      </c>
      <c r="AA331" s="3">
        <v>0</v>
      </c>
      <c r="AB331" s="3">
        <f t="shared" si="78"/>
        <v>8</v>
      </c>
      <c r="AC331" s="6">
        <f t="shared" si="71"/>
        <v>0</v>
      </c>
      <c r="AD331" s="6">
        <f t="shared" si="72"/>
        <v>0</v>
      </c>
      <c r="AE331" s="6">
        <f t="shared" si="73"/>
        <v>-8</v>
      </c>
      <c r="AF331" s="6">
        <f t="shared" si="74"/>
        <v>0</v>
      </c>
      <c r="AG331" s="6">
        <f t="shared" si="75"/>
        <v>0</v>
      </c>
      <c r="AH331" s="6">
        <f t="shared" si="79"/>
        <v>-8</v>
      </c>
      <c r="AI331" s="3"/>
      <c r="AJ331" s="3" t="e">
        <f>_xlfn.XLOOKUP(K331,工作表1!A:A,工作表1!C:C)</f>
        <v>#N/A</v>
      </c>
      <c r="AK331" s="3"/>
      <c r="AL331" s="6">
        <f t="shared" si="80"/>
        <v>0</v>
      </c>
      <c r="AM331" s="6">
        <f t="shared" si="81"/>
        <v>0</v>
      </c>
      <c r="AN331" s="6">
        <f t="shared" si="82"/>
        <v>0</v>
      </c>
      <c r="AO331" s="6">
        <f t="shared" si="83"/>
        <v>0</v>
      </c>
      <c r="AP331" s="6">
        <f t="shared" si="84"/>
        <v>0</v>
      </c>
      <c r="AQ331" s="6">
        <f t="shared" si="85"/>
        <v>0</v>
      </c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  <c r="BC331" s="6"/>
      <c r="BD331" s="6"/>
      <c r="BE331" s="6"/>
      <c r="BF331" s="6"/>
      <c r="BG331" s="6"/>
      <c r="BH331" s="6"/>
      <c r="BI331" s="6"/>
      <c r="BJ331" s="6"/>
      <c r="BK331" s="6"/>
      <c r="BL331" s="6"/>
      <c r="BM331" s="6"/>
      <c r="BN331" s="6"/>
      <c r="BO331" s="6"/>
      <c r="BP331" s="3">
        <v>8</v>
      </c>
      <c r="BQ331" s="6">
        <f t="shared" si="76"/>
        <v>0</v>
      </c>
    </row>
    <row r="332" spans="1:69" x14ac:dyDescent="0.3">
      <c r="A332" s="3" t="s">
        <v>17</v>
      </c>
      <c r="B332" s="3">
        <v>481</v>
      </c>
      <c r="C332" s="3" t="s">
        <v>541</v>
      </c>
      <c r="D332" s="3">
        <v>0.5</v>
      </c>
      <c r="E332" s="3">
        <v>80</v>
      </c>
      <c r="F332" s="3" t="s">
        <v>19</v>
      </c>
      <c r="G332" s="3" t="s">
        <v>19</v>
      </c>
      <c r="H332" s="3" t="s">
        <v>533</v>
      </c>
      <c r="I332" s="3"/>
      <c r="J332" s="3" t="s">
        <v>486</v>
      </c>
      <c r="K332" s="3" t="s">
        <v>566</v>
      </c>
      <c r="L332" s="3" t="s">
        <v>335</v>
      </c>
      <c r="M332" s="3">
        <v>38</v>
      </c>
      <c r="N332" s="6"/>
      <c r="O332" s="3">
        <v>28</v>
      </c>
      <c r="P332" s="3">
        <v>28</v>
      </c>
      <c r="Q332" s="3">
        <v>0</v>
      </c>
      <c r="R332" s="3">
        <v>0</v>
      </c>
      <c r="S332" s="3">
        <v>28</v>
      </c>
      <c r="T332" s="3">
        <v>0</v>
      </c>
      <c r="U332" s="3">
        <v>0</v>
      </c>
      <c r="V332" s="3">
        <f t="shared" si="77"/>
        <v>28</v>
      </c>
      <c r="W332" s="3">
        <v>0</v>
      </c>
      <c r="X332" s="3">
        <v>0</v>
      </c>
      <c r="Y332" s="3">
        <v>28</v>
      </c>
      <c r="Z332" s="3">
        <v>0</v>
      </c>
      <c r="AA332" s="3">
        <v>0</v>
      </c>
      <c r="AB332" s="3">
        <f t="shared" si="78"/>
        <v>28</v>
      </c>
      <c r="AC332" s="6">
        <f t="shared" si="71"/>
        <v>0</v>
      </c>
      <c r="AD332" s="6">
        <f t="shared" si="72"/>
        <v>0</v>
      </c>
      <c r="AE332" s="6">
        <f t="shared" si="73"/>
        <v>-28</v>
      </c>
      <c r="AF332" s="6">
        <f t="shared" si="74"/>
        <v>0</v>
      </c>
      <c r="AG332" s="6">
        <f t="shared" si="75"/>
        <v>0</v>
      </c>
      <c r="AH332" s="6">
        <f t="shared" si="79"/>
        <v>-28</v>
      </c>
      <c r="AI332" s="3"/>
      <c r="AJ332" s="3" t="e">
        <f>_xlfn.XLOOKUP(K332,工作表1!A:A,工作表1!C:C)</f>
        <v>#N/A</v>
      </c>
      <c r="AK332" s="3"/>
      <c r="AL332" s="6">
        <f t="shared" si="80"/>
        <v>0</v>
      </c>
      <c r="AM332" s="6">
        <f t="shared" si="81"/>
        <v>0</v>
      </c>
      <c r="AN332" s="6">
        <f t="shared" si="82"/>
        <v>0</v>
      </c>
      <c r="AO332" s="6">
        <f t="shared" si="83"/>
        <v>0</v>
      </c>
      <c r="AP332" s="6">
        <f t="shared" si="84"/>
        <v>0</v>
      </c>
      <c r="AQ332" s="6">
        <f t="shared" si="85"/>
        <v>0</v>
      </c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  <c r="BC332" s="6"/>
      <c r="BD332" s="6"/>
      <c r="BE332" s="6"/>
      <c r="BF332" s="6"/>
      <c r="BG332" s="6"/>
      <c r="BH332" s="6"/>
      <c r="BI332" s="6"/>
      <c r="BJ332" s="6"/>
      <c r="BK332" s="6"/>
      <c r="BL332" s="6"/>
      <c r="BM332" s="6"/>
      <c r="BN332" s="6"/>
      <c r="BO332" s="6"/>
      <c r="BP332" s="3">
        <v>28</v>
      </c>
      <c r="BQ332" s="6">
        <f t="shared" si="76"/>
        <v>0</v>
      </c>
    </row>
    <row r="333" spans="1:69" x14ac:dyDescent="0.3">
      <c r="A333" s="3" t="s">
        <v>17</v>
      </c>
      <c r="B333" s="3">
        <v>481</v>
      </c>
      <c r="C333" s="3" t="s">
        <v>541</v>
      </c>
      <c r="D333" s="3">
        <v>0.5</v>
      </c>
      <c r="E333" s="3">
        <v>70</v>
      </c>
      <c r="F333" s="3" t="s">
        <v>19</v>
      </c>
      <c r="G333" s="3" t="s">
        <v>19</v>
      </c>
      <c r="H333" s="3" t="s">
        <v>535</v>
      </c>
      <c r="I333" s="3"/>
      <c r="J333" s="3" t="s">
        <v>486</v>
      </c>
      <c r="K333" s="3" t="s">
        <v>567</v>
      </c>
      <c r="L333" s="3" t="s">
        <v>335</v>
      </c>
      <c r="M333" s="3">
        <v>38</v>
      </c>
      <c r="N333" s="6"/>
      <c r="O333" s="3">
        <v>28</v>
      </c>
      <c r="P333" s="3">
        <v>28</v>
      </c>
      <c r="Q333" s="3">
        <v>0</v>
      </c>
      <c r="R333" s="3">
        <v>0</v>
      </c>
      <c r="S333" s="3">
        <v>28</v>
      </c>
      <c r="T333" s="3">
        <v>0</v>
      </c>
      <c r="U333" s="3">
        <v>0</v>
      </c>
      <c r="V333" s="3">
        <f t="shared" si="77"/>
        <v>28</v>
      </c>
      <c r="W333" s="3">
        <v>0</v>
      </c>
      <c r="X333" s="3">
        <v>0</v>
      </c>
      <c r="Y333" s="3">
        <v>28</v>
      </c>
      <c r="Z333" s="3">
        <v>0</v>
      </c>
      <c r="AA333" s="3">
        <v>0</v>
      </c>
      <c r="AB333" s="3">
        <f t="shared" si="78"/>
        <v>28</v>
      </c>
      <c r="AC333" s="6">
        <f t="shared" si="71"/>
        <v>0</v>
      </c>
      <c r="AD333" s="6">
        <f t="shared" si="72"/>
        <v>0</v>
      </c>
      <c r="AE333" s="6">
        <f t="shared" si="73"/>
        <v>-28</v>
      </c>
      <c r="AF333" s="6">
        <f t="shared" si="74"/>
        <v>0</v>
      </c>
      <c r="AG333" s="6">
        <f t="shared" si="75"/>
        <v>0</v>
      </c>
      <c r="AH333" s="6">
        <f t="shared" si="79"/>
        <v>-28</v>
      </c>
      <c r="AI333" s="3"/>
      <c r="AJ333" s="3" t="e">
        <f>_xlfn.XLOOKUP(K333,工作表1!A:A,工作表1!C:C)</f>
        <v>#N/A</v>
      </c>
      <c r="AK333" s="3"/>
      <c r="AL333" s="6">
        <f t="shared" si="80"/>
        <v>0</v>
      </c>
      <c r="AM333" s="6">
        <f t="shared" si="81"/>
        <v>0</v>
      </c>
      <c r="AN333" s="6">
        <f t="shared" si="82"/>
        <v>0</v>
      </c>
      <c r="AO333" s="6">
        <f t="shared" si="83"/>
        <v>0</v>
      </c>
      <c r="AP333" s="6">
        <f t="shared" si="84"/>
        <v>0</v>
      </c>
      <c r="AQ333" s="6">
        <f t="shared" si="85"/>
        <v>0</v>
      </c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  <c r="BC333" s="6"/>
      <c r="BD333" s="6"/>
      <c r="BE333" s="6"/>
      <c r="BF333" s="6"/>
      <c r="BG333" s="6"/>
      <c r="BH333" s="6"/>
      <c r="BI333" s="6"/>
      <c r="BJ333" s="6"/>
      <c r="BK333" s="6"/>
      <c r="BL333" s="6"/>
      <c r="BM333" s="6"/>
      <c r="BN333" s="6"/>
      <c r="BO333" s="6"/>
      <c r="BP333" s="3">
        <v>28</v>
      </c>
      <c r="BQ333" s="6">
        <f t="shared" si="76"/>
        <v>0</v>
      </c>
    </row>
    <row r="334" spans="1:69" x14ac:dyDescent="0.3">
      <c r="A334" s="3" t="s">
        <v>17</v>
      </c>
      <c r="B334" s="3">
        <v>481</v>
      </c>
      <c r="C334" s="3" t="s">
        <v>541</v>
      </c>
      <c r="D334" s="3">
        <v>0.5</v>
      </c>
      <c r="E334" s="3">
        <v>75</v>
      </c>
      <c r="F334" s="3" t="s">
        <v>19</v>
      </c>
      <c r="G334" s="3" t="s">
        <v>19</v>
      </c>
      <c r="H334" s="3" t="s">
        <v>539</v>
      </c>
      <c r="I334" s="3"/>
      <c r="J334" s="3" t="s">
        <v>486</v>
      </c>
      <c r="K334" s="3" t="s">
        <v>568</v>
      </c>
      <c r="L334" s="3" t="s">
        <v>335</v>
      </c>
      <c r="M334" s="3">
        <v>24</v>
      </c>
      <c r="N334" s="6"/>
      <c r="O334" s="3">
        <v>16</v>
      </c>
      <c r="P334" s="3">
        <v>16</v>
      </c>
      <c r="Q334" s="3">
        <v>0</v>
      </c>
      <c r="R334" s="3">
        <v>0</v>
      </c>
      <c r="S334" s="3">
        <v>16</v>
      </c>
      <c r="T334" s="3">
        <v>0</v>
      </c>
      <c r="U334" s="3">
        <v>0</v>
      </c>
      <c r="V334" s="3">
        <f t="shared" si="77"/>
        <v>16</v>
      </c>
      <c r="W334" s="3">
        <v>0</v>
      </c>
      <c r="X334" s="3">
        <v>0</v>
      </c>
      <c r="Y334" s="3">
        <v>16</v>
      </c>
      <c r="Z334" s="3">
        <v>0</v>
      </c>
      <c r="AA334" s="3">
        <v>0</v>
      </c>
      <c r="AB334" s="3">
        <f t="shared" si="78"/>
        <v>16</v>
      </c>
      <c r="AC334" s="6">
        <f t="shared" si="71"/>
        <v>0</v>
      </c>
      <c r="AD334" s="6">
        <f t="shared" si="72"/>
        <v>0</v>
      </c>
      <c r="AE334" s="6">
        <f t="shared" si="73"/>
        <v>-16</v>
      </c>
      <c r="AF334" s="6">
        <f t="shared" si="74"/>
        <v>0</v>
      </c>
      <c r="AG334" s="6">
        <f t="shared" si="75"/>
        <v>0</v>
      </c>
      <c r="AH334" s="6">
        <f t="shared" si="79"/>
        <v>-16</v>
      </c>
      <c r="AI334" s="3"/>
      <c r="AJ334" s="3" t="e">
        <f>_xlfn.XLOOKUP(K334,工作表1!A:A,工作表1!C:C)</f>
        <v>#N/A</v>
      </c>
      <c r="AK334" s="3"/>
      <c r="AL334" s="6">
        <f t="shared" si="80"/>
        <v>0</v>
      </c>
      <c r="AM334" s="6">
        <f t="shared" si="81"/>
        <v>0</v>
      </c>
      <c r="AN334" s="6">
        <f t="shared" si="82"/>
        <v>0</v>
      </c>
      <c r="AO334" s="6">
        <f t="shared" si="83"/>
        <v>0</v>
      </c>
      <c r="AP334" s="6">
        <f t="shared" si="84"/>
        <v>0</v>
      </c>
      <c r="AQ334" s="6">
        <f t="shared" si="85"/>
        <v>0</v>
      </c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  <c r="BC334" s="6"/>
      <c r="BD334" s="6"/>
      <c r="BE334" s="6"/>
      <c r="BF334" s="6"/>
      <c r="BG334" s="6"/>
      <c r="BH334" s="6"/>
      <c r="BI334" s="6"/>
      <c r="BJ334" s="6"/>
      <c r="BK334" s="6"/>
      <c r="BL334" s="6"/>
      <c r="BM334" s="6"/>
      <c r="BN334" s="6"/>
      <c r="BO334" s="6"/>
      <c r="BP334" s="3">
        <v>16</v>
      </c>
      <c r="BQ334" s="6">
        <f t="shared" si="76"/>
        <v>0</v>
      </c>
    </row>
    <row r="335" spans="1:69" x14ac:dyDescent="0.3">
      <c r="A335" s="3" t="s">
        <v>17</v>
      </c>
      <c r="B335" s="3">
        <v>610</v>
      </c>
      <c r="C335" s="3" t="s">
        <v>569</v>
      </c>
      <c r="D335" s="3">
        <v>2</v>
      </c>
      <c r="E335" s="3" t="s">
        <v>19</v>
      </c>
      <c r="F335" s="3" t="s">
        <v>19</v>
      </c>
      <c r="G335" s="3" t="s">
        <v>19</v>
      </c>
      <c r="H335" s="3" t="s">
        <v>340</v>
      </c>
      <c r="I335" s="3"/>
      <c r="J335" s="3" t="s">
        <v>91</v>
      </c>
      <c r="K335" s="3" t="s">
        <v>570</v>
      </c>
      <c r="L335" s="3" t="s">
        <v>1467</v>
      </c>
      <c r="M335" s="3">
        <v>2</v>
      </c>
      <c r="N335" s="6"/>
      <c r="O335" s="3">
        <v>1</v>
      </c>
      <c r="P335" s="3">
        <v>1</v>
      </c>
      <c r="Q335" s="3">
        <v>0</v>
      </c>
      <c r="R335" s="3">
        <v>0</v>
      </c>
      <c r="S335" s="3">
        <v>0</v>
      </c>
      <c r="T335" s="3">
        <v>1</v>
      </c>
      <c r="U335" s="3">
        <v>0</v>
      </c>
      <c r="V335" s="3">
        <f t="shared" si="77"/>
        <v>1</v>
      </c>
      <c r="W335" s="3">
        <v>0</v>
      </c>
      <c r="X335" s="3">
        <v>0</v>
      </c>
      <c r="Y335" s="3">
        <v>0</v>
      </c>
      <c r="Z335" s="3">
        <v>1</v>
      </c>
      <c r="AA335" s="3">
        <v>0</v>
      </c>
      <c r="AB335" s="3">
        <f t="shared" si="78"/>
        <v>1</v>
      </c>
      <c r="AC335" s="6">
        <f t="shared" si="71"/>
        <v>0</v>
      </c>
      <c r="AD335" s="6">
        <f t="shared" si="72"/>
        <v>0</v>
      </c>
      <c r="AE335" s="6">
        <f t="shared" si="73"/>
        <v>0</v>
      </c>
      <c r="AF335" s="6">
        <f t="shared" si="74"/>
        <v>-1</v>
      </c>
      <c r="AG335" s="6">
        <f t="shared" si="75"/>
        <v>0</v>
      </c>
      <c r="AH335" s="6">
        <f t="shared" si="79"/>
        <v>-1</v>
      </c>
      <c r="AI335" s="3"/>
      <c r="AJ335" s="3" t="e">
        <f>_xlfn.XLOOKUP(K335,工作表1!A:A,工作表1!C:C)</f>
        <v>#N/A</v>
      </c>
      <c r="AK335" s="3"/>
      <c r="AL335" s="6">
        <f t="shared" si="80"/>
        <v>0</v>
      </c>
      <c r="AM335" s="6">
        <f t="shared" si="81"/>
        <v>0</v>
      </c>
      <c r="AN335" s="6">
        <f t="shared" si="82"/>
        <v>0</v>
      </c>
      <c r="AO335" s="6">
        <f t="shared" si="83"/>
        <v>0</v>
      </c>
      <c r="AP335" s="6">
        <f t="shared" si="84"/>
        <v>0</v>
      </c>
      <c r="AQ335" s="6">
        <f t="shared" si="85"/>
        <v>0</v>
      </c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  <c r="BC335" s="6"/>
      <c r="BD335" s="6"/>
      <c r="BE335" s="6"/>
      <c r="BF335" s="6"/>
      <c r="BG335" s="6"/>
      <c r="BH335" s="6"/>
      <c r="BI335" s="6"/>
      <c r="BJ335" s="6"/>
      <c r="BK335" s="6"/>
      <c r="BL335" s="6"/>
      <c r="BM335" s="6"/>
      <c r="BN335" s="6"/>
      <c r="BO335" s="6"/>
      <c r="BP335" s="3">
        <v>1</v>
      </c>
      <c r="BQ335" s="6">
        <f t="shared" si="76"/>
        <v>0</v>
      </c>
    </row>
    <row r="336" spans="1:69" x14ac:dyDescent="0.3">
      <c r="A336" s="3" t="s">
        <v>17</v>
      </c>
      <c r="B336" s="3">
        <v>610</v>
      </c>
      <c r="C336" s="3" t="s">
        <v>569</v>
      </c>
      <c r="D336" s="3">
        <v>1.5</v>
      </c>
      <c r="E336" s="3" t="s">
        <v>19</v>
      </c>
      <c r="F336" s="3" t="s">
        <v>19</v>
      </c>
      <c r="G336" s="3" t="s">
        <v>19</v>
      </c>
      <c r="H336" s="3" t="s">
        <v>99</v>
      </c>
      <c r="I336" s="3"/>
      <c r="J336" s="3" t="s">
        <v>91</v>
      </c>
      <c r="K336" s="3" t="s">
        <v>571</v>
      </c>
      <c r="L336" s="3" t="s">
        <v>1467</v>
      </c>
      <c r="M336" s="3">
        <v>4</v>
      </c>
      <c r="N336" s="6"/>
      <c r="O336" s="3">
        <v>4</v>
      </c>
      <c r="P336" s="3">
        <v>4</v>
      </c>
      <c r="Q336" s="3">
        <v>0</v>
      </c>
      <c r="R336" s="3">
        <v>4</v>
      </c>
      <c r="S336" s="3">
        <v>0</v>
      </c>
      <c r="T336" s="3">
        <v>0</v>
      </c>
      <c r="U336" s="3">
        <v>0</v>
      </c>
      <c r="V336" s="3">
        <f t="shared" si="77"/>
        <v>4</v>
      </c>
      <c r="W336" s="3">
        <v>0</v>
      </c>
      <c r="X336" s="3">
        <v>4</v>
      </c>
      <c r="Y336" s="3">
        <v>0</v>
      </c>
      <c r="Z336" s="3">
        <v>0</v>
      </c>
      <c r="AA336" s="3">
        <v>0</v>
      </c>
      <c r="AB336" s="3">
        <f t="shared" si="78"/>
        <v>4</v>
      </c>
      <c r="AC336" s="6">
        <f t="shared" si="71"/>
        <v>0</v>
      </c>
      <c r="AD336" s="6">
        <f t="shared" si="72"/>
        <v>-4</v>
      </c>
      <c r="AE336" s="6">
        <f t="shared" si="73"/>
        <v>0</v>
      </c>
      <c r="AF336" s="6">
        <f t="shared" si="74"/>
        <v>0</v>
      </c>
      <c r="AG336" s="6">
        <f t="shared" si="75"/>
        <v>0</v>
      </c>
      <c r="AH336" s="6">
        <f t="shared" si="79"/>
        <v>-4</v>
      </c>
      <c r="AI336" s="3"/>
      <c r="AJ336" s="3" t="e">
        <f>_xlfn.XLOOKUP(K336,工作表1!A:A,工作表1!C:C)</f>
        <v>#N/A</v>
      </c>
      <c r="AK336" s="3"/>
      <c r="AL336" s="6">
        <f t="shared" si="80"/>
        <v>0</v>
      </c>
      <c r="AM336" s="6">
        <f t="shared" si="81"/>
        <v>0</v>
      </c>
      <c r="AN336" s="6">
        <f t="shared" si="82"/>
        <v>0</v>
      </c>
      <c r="AO336" s="6">
        <f t="shared" si="83"/>
        <v>0</v>
      </c>
      <c r="AP336" s="6">
        <f t="shared" si="84"/>
        <v>0</v>
      </c>
      <c r="AQ336" s="6">
        <f t="shared" si="85"/>
        <v>0</v>
      </c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  <c r="BC336" s="6"/>
      <c r="BD336" s="6"/>
      <c r="BE336" s="6"/>
      <c r="BF336" s="6"/>
      <c r="BG336" s="6"/>
      <c r="BH336" s="6"/>
      <c r="BI336" s="6"/>
      <c r="BJ336" s="6"/>
      <c r="BK336" s="6"/>
      <c r="BL336" s="6"/>
      <c r="BM336" s="6"/>
      <c r="BN336" s="6"/>
      <c r="BO336" s="6"/>
      <c r="BP336" s="3">
        <v>4</v>
      </c>
      <c r="BQ336" s="6">
        <f t="shared" si="76"/>
        <v>0</v>
      </c>
    </row>
    <row r="337" spans="1:69" x14ac:dyDescent="0.3">
      <c r="A337" s="3" t="s">
        <v>17</v>
      </c>
      <c r="B337" s="3">
        <v>610</v>
      </c>
      <c r="C337" s="3" t="s">
        <v>572</v>
      </c>
      <c r="D337" s="3">
        <v>8</v>
      </c>
      <c r="E337" s="3" t="s">
        <v>19</v>
      </c>
      <c r="F337" s="3" t="s">
        <v>19</v>
      </c>
      <c r="G337" s="3" t="s">
        <v>19</v>
      </c>
      <c r="H337" s="3" t="s">
        <v>348</v>
      </c>
      <c r="I337" s="3"/>
      <c r="J337" s="3" t="s">
        <v>91</v>
      </c>
      <c r="K337" s="3" t="s">
        <v>573</v>
      </c>
      <c r="L337" s="3" t="s">
        <v>1467</v>
      </c>
      <c r="M337" s="3">
        <v>3</v>
      </c>
      <c r="N337" s="6"/>
      <c r="O337" s="3">
        <v>2</v>
      </c>
      <c r="P337" s="3">
        <v>2</v>
      </c>
      <c r="Q337" s="3">
        <v>0</v>
      </c>
      <c r="R337" s="3">
        <v>2</v>
      </c>
      <c r="S337" s="3">
        <v>0</v>
      </c>
      <c r="T337" s="3">
        <v>0</v>
      </c>
      <c r="U337" s="3">
        <v>0</v>
      </c>
      <c r="V337" s="3">
        <f t="shared" si="77"/>
        <v>2</v>
      </c>
      <c r="W337" s="3">
        <v>0</v>
      </c>
      <c r="X337" s="3">
        <v>2</v>
      </c>
      <c r="Y337" s="3">
        <v>0</v>
      </c>
      <c r="Z337" s="3">
        <v>0</v>
      </c>
      <c r="AA337" s="3">
        <v>0</v>
      </c>
      <c r="AB337" s="3">
        <f t="shared" si="78"/>
        <v>2</v>
      </c>
      <c r="AC337" s="6">
        <f t="shared" si="71"/>
        <v>0</v>
      </c>
      <c r="AD337" s="6">
        <f t="shared" si="72"/>
        <v>-2</v>
      </c>
      <c r="AE337" s="6">
        <f t="shared" si="73"/>
        <v>0</v>
      </c>
      <c r="AF337" s="6">
        <f t="shared" si="74"/>
        <v>0</v>
      </c>
      <c r="AG337" s="6">
        <f t="shared" si="75"/>
        <v>0</v>
      </c>
      <c r="AH337" s="6">
        <f t="shared" si="79"/>
        <v>-2</v>
      </c>
      <c r="AI337" s="3"/>
      <c r="AJ337" s="3" t="e">
        <f>_xlfn.XLOOKUP(K337,工作表1!A:A,工作表1!C:C)</f>
        <v>#N/A</v>
      </c>
      <c r="AK337" s="3"/>
      <c r="AL337" s="6">
        <f t="shared" si="80"/>
        <v>0</v>
      </c>
      <c r="AM337" s="6">
        <f t="shared" si="81"/>
        <v>0</v>
      </c>
      <c r="AN337" s="6">
        <f t="shared" si="82"/>
        <v>0</v>
      </c>
      <c r="AO337" s="6">
        <f t="shared" si="83"/>
        <v>0</v>
      </c>
      <c r="AP337" s="6">
        <f t="shared" si="84"/>
        <v>0</v>
      </c>
      <c r="AQ337" s="6">
        <f t="shared" si="85"/>
        <v>0</v>
      </c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  <c r="BC337" s="6"/>
      <c r="BD337" s="6"/>
      <c r="BE337" s="6"/>
      <c r="BF337" s="6"/>
      <c r="BG337" s="6"/>
      <c r="BH337" s="6"/>
      <c r="BI337" s="6"/>
      <c r="BJ337" s="6"/>
      <c r="BK337" s="6"/>
      <c r="BL337" s="6"/>
      <c r="BM337" s="6"/>
      <c r="BN337" s="6"/>
      <c r="BO337" s="6"/>
      <c r="BP337" s="3">
        <v>2</v>
      </c>
      <c r="BQ337" s="6">
        <f t="shared" si="76"/>
        <v>0</v>
      </c>
    </row>
    <row r="338" spans="1:69" x14ac:dyDescent="0.3">
      <c r="A338" s="3" t="s">
        <v>17</v>
      </c>
      <c r="B338" s="3">
        <v>610</v>
      </c>
      <c r="C338" s="3" t="s">
        <v>572</v>
      </c>
      <c r="D338" s="3">
        <v>4</v>
      </c>
      <c r="E338" s="3" t="s">
        <v>19</v>
      </c>
      <c r="F338" s="3" t="s">
        <v>19</v>
      </c>
      <c r="G338" s="3" t="s">
        <v>19</v>
      </c>
      <c r="H338" s="3" t="s">
        <v>336</v>
      </c>
      <c r="I338" s="3"/>
      <c r="J338" s="3" t="s">
        <v>91</v>
      </c>
      <c r="K338" s="3" t="s">
        <v>574</v>
      </c>
      <c r="L338" s="3" t="s">
        <v>1467</v>
      </c>
      <c r="M338" s="3">
        <v>4</v>
      </c>
      <c r="N338" s="6"/>
      <c r="O338" s="3">
        <v>2</v>
      </c>
      <c r="P338" s="3">
        <v>2</v>
      </c>
      <c r="Q338" s="3">
        <v>0</v>
      </c>
      <c r="R338" s="3">
        <v>0</v>
      </c>
      <c r="S338" s="3">
        <v>0</v>
      </c>
      <c r="T338" s="3">
        <v>2</v>
      </c>
      <c r="U338" s="3">
        <v>0</v>
      </c>
      <c r="V338" s="3">
        <f t="shared" si="77"/>
        <v>2</v>
      </c>
      <c r="W338" s="3">
        <v>0</v>
      </c>
      <c r="X338" s="3">
        <v>0</v>
      </c>
      <c r="Y338" s="3">
        <v>0</v>
      </c>
      <c r="Z338" s="3">
        <v>2</v>
      </c>
      <c r="AA338" s="3">
        <v>0</v>
      </c>
      <c r="AB338" s="3">
        <f t="shared" si="78"/>
        <v>2</v>
      </c>
      <c r="AC338" s="6">
        <f t="shared" si="71"/>
        <v>0</v>
      </c>
      <c r="AD338" s="6">
        <f t="shared" si="72"/>
        <v>0</v>
      </c>
      <c r="AE338" s="6">
        <f t="shared" si="73"/>
        <v>0</v>
      </c>
      <c r="AF338" s="6">
        <f t="shared" si="74"/>
        <v>-2</v>
      </c>
      <c r="AG338" s="6">
        <f t="shared" si="75"/>
        <v>0</v>
      </c>
      <c r="AH338" s="6">
        <f t="shared" si="79"/>
        <v>-2</v>
      </c>
      <c r="AI338" s="3"/>
      <c r="AJ338" s="3" t="e">
        <f>_xlfn.XLOOKUP(K338,工作表1!A:A,工作表1!C:C)</f>
        <v>#N/A</v>
      </c>
      <c r="AK338" s="3"/>
      <c r="AL338" s="6">
        <f t="shared" si="80"/>
        <v>0</v>
      </c>
      <c r="AM338" s="6">
        <f t="shared" si="81"/>
        <v>0</v>
      </c>
      <c r="AN338" s="6">
        <f t="shared" si="82"/>
        <v>0</v>
      </c>
      <c r="AO338" s="6">
        <f t="shared" si="83"/>
        <v>0</v>
      </c>
      <c r="AP338" s="6">
        <f t="shared" si="84"/>
        <v>0</v>
      </c>
      <c r="AQ338" s="6">
        <f t="shared" si="85"/>
        <v>0</v>
      </c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  <c r="BC338" s="6"/>
      <c r="BD338" s="6"/>
      <c r="BE338" s="6"/>
      <c r="BF338" s="6"/>
      <c r="BG338" s="6"/>
      <c r="BH338" s="6"/>
      <c r="BI338" s="6"/>
      <c r="BJ338" s="6"/>
      <c r="BK338" s="6"/>
      <c r="BL338" s="6"/>
      <c r="BM338" s="6"/>
      <c r="BN338" s="6"/>
      <c r="BO338" s="6"/>
      <c r="BP338" s="3">
        <v>2</v>
      </c>
      <c r="BQ338" s="6">
        <f t="shared" si="76"/>
        <v>0</v>
      </c>
    </row>
    <row r="339" spans="1:69" x14ac:dyDescent="0.3">
      <c r="A339" s="3" t="s">
        <v>17</v>
      </c>
      <c r="B339" s="3">
        <v>610</v>
      </c>
      <c r="C339" s="3" t="s">
        <v>572</v>
      </c>
      <c r="D339" s="3">
        <v>3</v>
      </c>
      <c r="E339" s="3" t="s">
        <v>19</v>
      </c>
      <c r="F339" s="3" t="s">
        <v>19</v>
      </c>
      <c r="G339" s="3" t="s">
        <v>19</v>
      </c>
      <c r="H339" s="3" t="s">
        <v>338</v>
      </c>
      <c r="I339" s="3"/>
      <c r="J339" s="3" t="s">
        <v>91</v>
      </c>
      <c r="K339" s="3" t="s">
        <v>575</v>
      </c>
      <c r="L339" s="3" t="s">
        <v>1467</v>
      </c>
      <c r="M339" s="3">
        <v>3</v>
      </c>
      <c r="N339" s="6"/>
      <c r="O339" s="3">
        <v>2</v>
      </c>
      <c r="P339" s="3">
        <v>2</v>
      </c>
      <c r="Q339" s="3">
        <v>0</v>
      </c>
      <c r="R339" s="3">
        <v>0</v>
      </c>
      <c r="S339" s="3">
        <v>0</v>
      </c>
      <c r="T339" s="3">
        <v>2</v>
      </c>
      <c r="U339" s="3">
        <v>0</v>
      </c>
      <c r="V339" s="3">
        <f t="shared" si="77"/>
        <v>2</v>
      </c>
      <c r="W339" s="3">
        <v>0</v>
      </c>
      <c r="X339" s="3">
        <v>0</v>
      </c>
      <c r="Y339" s="3">
        <v>0</v>
      </c>
      <c r="Z339" s="3">
        <v>2</v>
      </c>
      <c r="AA339" s="3">
        <v>0</v>
      </c>
      <c r="AB339" s="3">
        <f t="shared" si="78"/>
        <v>2</v>
      </c>
      <c r="AC339" s="6">
        <f t="shared" si="71"/>
        <v>0</v>
      </c>
      <c r="AD339" s="6">
        <f t="shared" si="72"/>
        <v>0</v>
      </c>
      <c r="AE339" s="6">
        <f t="shared" si="73"/>
        <v>0</v>
      </c>
      <c r="AF339" s="6">
        <f t="shared" si="74"/>
        <v>-2</v>
      </c>
      <c r="AG339" s="6">
        <f t="shared" si="75"/>
        <v>0</v>
      </c>
      <c r="AH339" s="6">
        <f t="shared" si="79"/>
        <v>-2</v>
      </c>
      <c r="AI339" s="3"/>
      <c r="AJ339" s="3" t="e">
        <f>_xlfn.XLOOKUP(K339,工作表1!A:A,工作表1!C:C)</f>
        <v>#N/A</v>
      </c>
      <c r="AK339" s="3"/>
      <c r="AL339" s="6">
        <f t="shared" si="80"/>
        <v>0</v>
      </c>
      <c r="AM339" s="6">
        <f t="shared" si="81"/>
        <v>0</v>
      </c>
      <c r="AN339" s="6">
        <f t="shared" si="82"/>
        <v>0</v>
      </c>
      <c r="AO339" s="6">
        <f t="shared" si="83"/>
        <v>0</v>
      </c>
      <c r="AP339" s="6">
        <f t="shared" si="84"/>
        <v>0</v>
      </c>
      <c r="AQ339" s="6">
        <f t="shared" si="85"/>
        <v>0</v>
      </c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  <c r="BC339" s="6"/>
      <c r="BD339" s="6"/>
      <c r="BE339" s="6"/>
      <c r="BF339" s="6"/>
      <c r="BG339" s="6"/>
      <c r="BH339" s="6"/>
      <c r="BI339" s="6"/>
      <c r="BJ339" s="6"/>
      <c r="BK339" s="6"/>
      <c r="BL339" s="6"/>
      <c r="BM339" s="6"/>
      <c r="BN339" s="6"/>
      <c r="BO339" s="6"/>
      <c r="BP339" s="3">
        <v>2</v>
      </c>
      <c r="BQ339" s="6">
        <f t="shared" si="76"/>
        <v>0</v>
      </c>
    </row>
    <row r="340" spans="1:69" x14ac:dyDescent="0.3">
      <c r="A340" s="3" t="s">
        <v>17</v>
      </c>
      <c r="B340" s="3">
        <v>610</v>
      </c>
      <c r="C340" s="3" t="s">
        <v>576</v>
      </c>
      <c r="D340" s="3">
        <v>8</v>
      </c>
      <c r="E340" s="3" t="s">
        <v>19</v>
      </c>
      <c r="F340" s="3" t="s">
        <v>19</v>
      </c>
      <c r="G340" s="3" t="s">
        <v>19</v>
      </c>
      <c r="H340" s="3" t="s">
        <v>348</v>
      </c>
      <c r="I340" s="3"/>
      <c r="J340" s="3" t="s">
        <v>91</v>
      </c>
      <c r="K340" s="3" t="s">
        <v>577</v>
      </c>
      <c r="L340" s="3" t="s">
        <v>1467</v>
      </c>
      <c r="M340" s="3">
        <v>10</v>
      </c>
      <c r="N340" s="6"/>
      <c r="O340" s="3">
        <v>2</v>
      </c>
      <c r="P340" s="3">
        <v>2</v>
      </c>
      <c r="Q340" s="3">
        <v>0</v>
      </c>
      <c r="R340" s="3">
        <v>0</v>
      </c>
      <c r="S340" s="3">
        <v>0</v>
      </c>
      <c r="T340" s="3">
        <v>2</v>
      </c>
      <c r="U340" s="3">
        <v>0</v>
      </c>
      <c r="V340" s="3">
        <f t="shared" si="77"/>
        <v>2</v>
      </c>
      <c r="W340" s="3">
        <v>0</v>
      </c>
      <c r="X340" s="3">
        <v>0</v>
      </c>
      <c r="Y340" s="3">
        <v>0</v>
      </c>
      <c r="Z340" s="3">
        <v>2</v>
      </c>
      <c r="AA340" s="3">
        <v>0</v>
      </c>
      <c r="AB340" s="3">
        <f t="shared" si="78"/>
        <v>2</v>
      </c>
      <c r="AC340" s="6">
        <f t="shared" si="71"/>
        <v>0</v>
      </c>
      <c r="AD340" s="6">
        <f t="shared" si="72"/>
        <v>0</v>
      </c>
      <c r="AE340" s="6">
        <f t="shared" si="73"/>
        <v>0</v>
      </c>
      <c r="AF340" s="6">
        <f t="shared" si="74"/>
        <v>-2</v>
      </c>
      <c r="AG340" s="6">
        <f t="shared" si="75"/>
        <v>0</v>
      </c>
      <c r="AH340" s="6">
        <f t="shared" si="79"/>
        <v>-2</v>
      </c>
      <c r="AI340" s="3"/>
      <c r="AJ340" s="3" t="e">
        <f>_xlfn.XLOOKUP(K340,工作表1!A:A,工作表1!C:C)</f>
        <v>#N/A</v>
      </c>
      <c r="AK340" s="3"/>
      <c r="AL340" s="6">
        <f t="shared" si="80"/>
        <v>0</v>
      </c>
      <c r="AM340" s="6">
        <f t="shared" si="81"/>
        <v>0</v>
      </c>
      <c r="AN340" s="6">
        <f t="shared" si="82"/>
        <v>0</v>
      </c>
      <c r="AO340" s="6">
        <f t="shared" si="83"/>
        <v>0</v>
      </c>
      <c r="AP340" s="6">
        <f t="shared" si="84"/>
        <v>0</v>
      </c>
      <c r="AQ340" s="6">
        <f t="shared" si="85"/>
        <v>0</v>
      </c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  <c r="BC340" s="6"/>
      <c r="BD340" s="6"/>
      <c r="BE340" s="6"/>
      <c r="BF340" s="6"/>
      <c r="BG340" s="6"/>
      <c r="BH340" s="6"/>
      <c r="BI340" s="6"/>
      <c r="BJ340" s="6"/>
      <c r="BK340" s="6"/>
      <c r="BL340" s="6"/>
      <c r="BM340" s="6"/>
      <c r="BN340" s="6"/>
      <c r="BO340" s="6"/>
      <c r="BP340" s="3">
        <v>2</v>
      </c>
      <c r="BQ340" s="6">
        <f t="shared" si="76"/>
        <v>0</v>
      </c>
    </row>
    <row r="341" spans="1:69" x14ac:dyDescent="0.3">
      <c r="A341" s="3" t="s">
        <v>17</v>
      </c>
      <c r="B341" s="3">
        <v>610</v>
      </c>
      <c r="C341" s="3" t="s">
        <v>576</v>
      </c>
      <c r="D341" s="3">
        <v>6</v>
      </c>
      <c r="E341" s="3" t="s">
        <v>19</v>
      </c>
      <c r="F341" s="3" t="s">
        <v>19</v>
      </c>
      <c r="G341" s="3" t="s">
        <v>19</v>
      </c>
      <c r="H341" s="3" t="s">
        <v>443</v>
      </c>
      <c r="I341" s="3"/>
      <c r="J341" s="3" t="s">
        <v>91</v>
      </c>
      <c r="K341" s="3" t="s">
        <v>578</v>
      </c>
      <c r="L341" s="3" t="s">
        <v>1467</v>
      </c>
      <c r="M341" s="3">
        <v>19</v>
      </c>
      <c r="N341" s="6"/>
      <c r="O341" s="3">
        <v>2</v>
      </c>
      <c r="P341" s="3">
        <v>2</v>
      </c>
      <c r="Q341" s="3">
        <v>0</v>
      </c>
      <c r="R341" s="3">
        <v>0</v>
      </c>
      <c r="S341" s="3">
        <v>0</v>
      </c>
      <c r="T341" s="3">
        <v>2</v>
      </c>
      <c r="U341" s="3">
        <v>0</v>
      </c>
      <c r="V341" s="3">
        <f t="shared" si="77"/>
        <v>2</v>
      </c>
      <c r="W341" s="3">
        <v>0</v>
      </c>
      <c r="X341" s="3">
        <v>0</v>
      </c>
      <c r="Y341" s="3">
        <v>0</v>
      </c>
      <c r="Z341" s="3">
        <v>2</v>
      </c>
      <c r="AA341" s="3">
        <v>0</v>
      </c>
      <c r="AB341" s="3">
        <f t="shared" si="78"/>
        <v>2</v>
      </c>
      <c r="AC341" s="6">
        <f t="shared" si="71"/>
        <v>0</v>
      </c>
      <c r="AD341" s="6">
        <f t="shared" si="72"/>
        <v>0</v>
      </c>
      <c r="AE341" s="6">
        <f t="shared" si="73"/>
        <v>0</v>
      </c>
      <c r="AF341" s="6">
        <f t="shared" si="74"/>
        <v>-2</v>
      </c>
      <c r="AG341" s="6">
        <f t="shared" si="75"/>
        <v>0</v>
      </c>
      <c r="AH341" s="6">
        <f t="shared" si="79"/>
        <v>-2</v>
      </c>
      <c r="AI341" s="3"/>
      <c r="AJ341" s="3" t="e">
        <f>_xlfn.XLOOKUP(K341,工作表1!A:A,工作表1!C:C)</f>
        <v>#N/A</v>
      </c>
      <c r="AK341" s="3"/>
      <c r="AL341" s="6">
        <f t="shared" si="80"/>
        <v>0</v>
      </c>
      <c r="AM341" s="6">
        <f t="shared" si="81"/>
        <v>0</v>
      </c>
      <c r="AN341" s="6">
        <f t="shared" si="82"/>
        <v>0</v>
      </c>
      <c r="AO341" s="6">
        <f t="shared" si="83"/>
        <v>0</v>
      </c>
      <c r="AP341" s="6">
        <f t="shared" si="84"/>
        <v>0</v>
      </c>
      <c r="AQ341" s="6">
        <f t="shared" si="85"/>
        <v>0</v>
      </c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  <c r="BC341" s="6"/>
      <c r="BD341" s="6"/>
      <c r="BE341" s="6"/>
      <c r="BF341" s="6"/>
      <c r="BG341" s="6"/>
      <c r="BH341" s="6"/>
      <c r="BI341" s="6"/>
      <c r="BJ341" s="6"/>
      <c r="BK341" s="6"/>
      <c r="BL341" s="6"/>
      <c r="BM341" s="6"/>
      <c r="BN341" s="6"/>
      <c r="BO341" s="6"/>
      <c r="BP341" s="3">
        <v>2</v>
      </c>
      <c r="BQ341" s="6">
        <f t="shared" si="76"/>
        <v>0</v>
      </c>
    </row>
    <row r="342" spans="1:69" x14ac:dyDescent="0.3">
      <c r="A342" s="3" t="s">
        <v>17</v>
      </c>
      <c r="B342" s="3">
        <v>610</v>
      </c>
      <c r="C342" s="3" t="s">
        <v>576</v>
      </c>
      <c r="D342" s="3">
        <v>4</v>
      </c>
      <c r="E342" s="3" t="s">
        <v>19</v>
      </c>
      <c r="F342" s="3" t="s">
        <v>19</v>
      </c>
      <c r="G342" s="3" t="s">
        <v>19</v>
      </c>
      <c r="H342" s="3" t="s">
        <v>336</v>
      </c>
      <c r="I342" s="3"/>
      <c r="J342" s="3" t="s">
        <v>91</v>
      </c>
      <c r="K342" s="3" t="s">
        <v>579</v>
      </c>
      <c r="L342" s="3" t="s">
        <v>1467</v>
      </c>
      <c r="M342" s="3">
        <v>12</v>
      </c>
      <c r="N342" s="6"/>
      <c r="O342" s="3">
        <v>4</v>
      </c>
      <c r="P342" s="3">
        <v>4</v>
      </c>
      <c r="Q342" s="3">
        <v>0</v>
      </c>
      <c r="R342" s="3">
        <v>2</v>
      </c>
      <c r="S342" s="3">
        <v>0</v>
      </c>
      <c r="T342" s="3">
        <v>2</v>
      </c>
      <c r="U342" s="3">
        <v>0</v>
      </c>
      <c r="V342" s="3">
        <f t="shared" si="77"/>
        <v>4</v>
      </c>
      <c r="W342" s="3">
        <v>0</v>
      </c>
      <c r="X342" s="3">
        <v>2</v>
      </c>
      <c r="Y342" s="3">
        <v>0</v>
      </c>
      <c r="Z342" s="3">
        <v>2</v>
      </c>
      <c r="AA342" s="3">
        <v>0</v>
      </c>
      <c r="AB342" s="3">
        <f t="shared" si="78"/>
        <v>4</v>
      </c>
      <c r="AC342" s="6">
        <f t="shared" si="71"/>
        <v>0</v>
      </c>
      <c r="AD342" s="6">
        <f t="shared" si="72"/>
        <v>-2</v>
      </c>
      <c r="AE342" s="6">
        <f t="shared" si="73"/>
        <v>0</v>
      </c>
      <c r="AF342" s="6">
        <f t="shared" si="74"/>
        <v>-2</v>
      </c>
      <c r="AG342" s="6">
        <f t="shared" si="75"/>
        <v>0</v>
      </c>
      <c r="AH342" s="6">
        <f t="shared" si="79"/>
        <v>-4</v>
      </c>
      <c r="AI342" s="3"/>
      <c r="AJ342" s="3" t="e">
        <f>_xlfn.XLOOKUP(K342,工作表1!A:A,工作表1!C:C)</f>
        <v>#N/A</v>
      </c>
      <c r="AK342" s="3"/>
      <c r="AL342" s="6">
        <f t="shared" si="80"/>
        <v>0</v>
      </c>
      <c r="AM342" s="6">
        <f t="shared" si="81"/>
        <v>0</v>
      </c>
      <c r="AN342" s="6">
        <f t="shared" si="82"/>
        <v>0</v>
      </c>
      <c r="AO342" s="6">
        <f t="shared" si="83"/>
        <v>0</v>
      </c>
      <c r="AP342" s="6">
        <f t="shared" si="84"/>
        <v>0</v>
      </c>
      <c r="AQ342" s="6">
        <f t="shared" si="85"/>
        <v>0</v>
      </c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  <c r="BC342" s="6"/>
      <c r="BD342" s="6"/>
      <c r="BE342" s="6"/>
      <c r="BF342" s="6"/>
      <c r="BG342" s="6"/>
      <c r="BH342" s="6"/>
      <c r="BI342" s="6"/>
      <c r="BJ342" s="6"/>
      <c r="BK342" s="6"/>
      <c r="BL342" s="6"/>
      <c r="BM342" s="6"/>
      <c r="BN342" s="6"/>
      <c r="BO342" s="6"/>
      <c r="BP342" s="3">
        <v>4</v>
      </c>
      <c r="BQ342" s="6">
        <f t="shared" si="76"/>
        <v>0</v>
      </c>
    </row>
    <row r="343" spans="1:69" x14ac:dyDescent="0.3">
      <c r="A343" s="3" t="s">
        <v>17</v>
      </c>
      <c r="B343" s="3">
        <v>610</v>
      </c>
      <c r="C343" s="3" t="s">
        <v>576</v>
      </c>
      <c r="D343" s="3">
        <v>3</v>
      </c>
      <c r="E343" s="3" t="s">
        <v>19</v>
      </c>
      <c r="F343" s="3" t="s">
        <v>19</v>
      </c>
      <c r="G343" s="3" t="s">
        <v>19</v>
      </c>
      <c r="H343" s="3" t="s">
        <v>338</v>
      </c>
      <c r="I343" s="3"/>
      <c r="J343" s="3" t="s">
        <v>91</v>
      </c>
      <c r="K343" s="3" t="s">
        <v>580</v>
      </c>
      <c r="L343" s="3" t="s">
        <v>1467</v>
      </c>
      <c r="M343" s="3">
        <v>9</v>
      </c>
      <c r="N343" s="6"/>
      <c r="O343" s="3">
        <v>2</v>
      </c>
      <c r="P343" s="3">
        <v>2</v>
      </c>
      <c r="Q343" s="3">
        <v>0</v>
      </c>
      <c r="R343" s="3">
        <v>2</v>
      </c>
      <c r="S343" s="3">
        <v>0</v>
      </c>
      <c r="T343" s="3">
        <v>0</v>
      </c>
      <c r="U343" s="3">
        <v>0</v>
      </c>
      <c r="V343" s="3">
        <f t="shared" si="77"/>
        <v>2</v>
      </c>
      <c r="W343" s="3">
        <v>0</v>
      </c>
      <c r="X343" s="3">
        <v>2</v>
      </c>
      <c r="Y343" s="3">
        <v>0</v>
      </c>
      <c r="Z343" s="3">
        <v>0</v>
      </c>
      <c r="AA343" s="3">
        <v>0</v>
      </c>
      <c r="AB343" s="3">
        <f t="shared" si="78"/>
        <v>2</v>
      </c>
      <c r="AC343" s="6">
        <f t="shared" ref="AC343:AC406" si="86">AL343-W343</f>
        <v>0</v>
      </c>
      <c r="AD343" s="6">
        <f t="shared" ref="AD343:AD406" si="87">AM343-X343</f>
        <v>-2</v>
      </c>
      <c r="AE343" s="6">
        <f t="shared" ref="AE343:AE406" si="88">AN343-Y343</f>
        <v>0</v>
      </c>
      <c r="AF343" s="6">
        <f t="shared" ref="AF343:AF406" si="89">AO343-Z343</f>
        <v>0</v>
      </c>
      <c r="AG343" s="6">
        <f t="shared" ref="AG343:AG406" si="90">AP343-AA343</f>
        <v>0</v>
      </c>
      <c r="AH343" s="6">
        <f t="shared" si="79"/>
        <v>-2</v>
      </c>
      <c r="AI343" s="3"/>
      <c r="AJ343" s="3" t="e">
        <f>_xlfn.XLOOKUP(K343,工作表1!A:A,工作表1!C:C)</f>
        <v>#N/A</v>
      </c>
      <c r="AK343" s="3"/>
      <c r="AL343" s="6">
        <f t="shared" si="80"/>
        <v>0</v>
      </c>
      <c r="AM343" s="6">
        <f t="shared" si="81"/>
        <v>0</v>
      </c>
      <c r="AN343" s="6">
        <f t="shared" si="82"/>
        <v>0</v>
      </c>
      <c r="AO343" s="6">
        <f t="shared" si="83"/>
        <v>0</v>
      </c>
      <c r="AP343" s="6">
        <f t="shared" si="84"/>
        <v>0</v>
      </c>
      <c r="AQ343" s="6">
        <f t="shared" si="85"/>
        <v>0</v>
      </c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  <c r="BC343" s="6"/>
      <c r="BD343" s="6"/>
      <c r="BE343" s="6"/>
      <c r="BF343" s="6"/>
      <c r="BG343" s="6"/>
      <c r="BH343" s="6"/>
      <c r="BI343" s="6"/>
      <c r="BJ343" s="6"/>
      <c r="BK343" s="6"/>
      <c r="BL343" s="6"/>
      <c r="BM343" s="6"/>
      <c r="BN343" s="6"/>
      <c r="BO343" s="6"/>
      <c r="BP343" s="3">
        <v>2</v>
      </c>
      <c r="BQ343" s="6">
        <f t="shared" si="76"/>
        <v>0</v>
      </c>
    </row>
    <row r="344" spans="1:69" x14ac:dyDescent="0.3">
      <c r="A344" s="3" t="s">
        <v>17</v>
      </c>
      <c r="B344" s="3">
        <v>610</v>
      </c>
      <c r="C344" s="3" t="s">
        <v>581</v>
      </c>
      <c r="D344" s="3">
        <v>0.75</v>
      </c>
      <c r="E344" s="3" t="s">
        <v>19</v>
      </c>
      <c r="F344" s="3" t="s">
        <v>19</v>
      </c>
      <c r="G344" s="3" t="s">
        <v>19</v>
      </c>
      <c r="H344" s="3" t="s">
        <v>103</v>
      </c>
      <c r="I344" s="3"/>
      <c r="J344" s="3" t="s">
        <v>91</v>
      </c>
      <c r="K344" s="3" t="s">
        <v>582</v>
      </c>
      <c r="L344" s="3" t="s">
        <v>1468</v>
      </c>
      <c r="M344" s="3">
        <v>2</v>
      </c>
      <c r="N344" s="6"/>
      <c r="O344" s="3">
        <v>2</v>
      </c>
      <c r="P344" s="3">
        <v>2</v>
      </c>
      <c r="Q344" s="3">
        <v>0</v>
      </c>
      <c r="R344" s="3">
        <v>0</v>
      </c>
      <c r="S344" s="3">
        <v>2</v>
      </c>
      <c r="T344" s="3">
        <v>0</v>
      </c>
      <c r="U344" s="3">
        <v>0</v>
      </c>
      <c r="V344" s="3">
        <f t="shared" si="77"/>
        <v>2</v>
      </c>
      <c r="W344" s="3">
        <v>0</v>
      </c>
      <c r="X344" s="3">
        <v>0</v>
      </c>
      <c r="Y344" s="3">
        <v>2</v>
      </c>
      <c r="Z344" s="3">
        <v>0</v>
      </c>
      <c r="AA344" s="3">
        <v>0</v>
      </c>
      <c r="AB344" s="3">
        <f t="shared" si="78"/>
        <v>2</v>
      </c>
      <c r="AC344" s="6">
        <f t="shared" si="86"/>
        <v>0</v>
      </c>
      <c r="AD344" s="6">
        <f t="shared" si="87"/>
        <v>0</v>
      </c>
      <c r="AE344" s="6">
        <f t="shared" si="88"/>
        <v>-2</v>
      </c>
      <c r="AF344" s="6">
        <f t="shared" si="89"/>
        <v>0</v>
      </c>
      <c r="AG344" s="6">
        <f t="shared" si="90"/>
        <v>0</v>
      </c>
      <c r="AH344" s="6">
        <f t="shared" si="79"/>
        <v>-2</v>
      </c>
      <c r="AI344" s="3"/>
      <c r="AJ344" s="3" t="e">
        <f>_xlfn.XLOOKUP(K344,工作表1!A:A,工作表1!C:C)</f>
        <v>#N/A</v>
      </c>
      <c r="AK344" s="3"/>
      <c r="AL344" s="6">
        <f t="shared" si="80"/>
        <v>0</v>
      </c>
      <c r="AM344" s="6">
        <f t="shared" si="81"/>
        <v>0</v>
      </c>
      <c r="AN344" s="6">
        <f t="shared" si="82"/>
        <v>0</v>
      </c>
      <c r="AO344" s="6">
        <f t="shared" si="83"/>
        <v>0</v>
      </c>
      <c r="AP344" s="6">
        <f t="shared" si="84"/>
        <v>0</v>
      </c>
      <c r="AQ344" s="6">
        <f t="shared" si="85"/>
        <v>0</v>
      </c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  <c r="BC344" s="6"/>
      <c r="BD344" s="6"/>
      <c r="BE344" s="6"/>
      <c r="BF344" s="6"/>
      <c r="BG344" s="6"/>
      <c r="BH344" s="6"/>
      <c r="BI344" s="6"/>
      <c r="BJ344" s="6"/>
      <c r="BK344" s="6"/>
      <c r="BL344" s="6"/>
      <c r="BM344" s="6"/>
      <c r="BN344" s="6"/>
      <c r="BO344" s="6"/>
      <c r="BP344" s="3">
        <v>2</v>
      </c>
      <c r="BQ344" s="6">
        <f t="shared" si="76"/>
        <v>0</v>
      </c>
    </row>
    <row r="345" spans="1:69" x14ac:dyDescent="0.3">
      <c r="A345" s="3" t="s">
        <v>17</v>
      </c>
      <c r="B345" s="3">
        <v>610</v>
      </c>
      <c r="C345" s="3" t="s">
        <v>583</v>
      </c>
      <c r="D345" s="3">
        <v>1</v>
      </c>
      <c r="E345" s="3" t="s">
        <v>19</v>
      </c>
      <c r="F345" s="3" t="s">
        <v>19</v>
      </c>
      <c r="G345" s="3" t="s">
        <v>19</v>
      </c>
      <c r="H345" s="3" t="s">
        <v>101</v>
      </c>
      <c r="I345" s="3"/>
      <c r="J345" s="3" t="s">
        <v>91</v>
      </c>
      <c r="K345" s="3" t="s">
        <v>584</v>
      </c>
      <c r="L345" s="3" t="s">
        <v>1468</v>
      </c>
      <c r="M345" s="3">
        <v>28</v>
      </c>
      <c r="N345" s="6"/>
      <c r="O345" s="3">
        <v>23</v>
      </c>
      <c r="P345" s="3">
        <v>23</v>
      </c>
      <c r="Q345" s="3">
        <v>0</v>
      </c>
      <c r="R345" s="3">
        <v>0</v>
      </c>
      <c r="S345" s="3">
        <v>1</v>
      </c>
      <c r="T345" s="3">
        <v>22</v>
      </c>
      <c r="U345" s="3">
        <v>0</v>
      </c>
      <c r="V345" s="3">
        <f t="shared" si="77"/>
        <v>23</v>
      </c>
      <c r="W345" s="3">
        <v>0</v>
      </c>
      <c r="X345" s="3">
        <v>0</v>
      </c>
      <c r="Y345" s="3">
        <v>1</v>
      </c>
      <c r="Z345" s="3">
        <v>22</v>
      </c>
      <c r="AA345" s="3">
        <v>0</v>
      </c>
      <c r="AB345" s="3">
        <f t="shared" si="78"/>
        <v>23</v>
      </c>
      <c r="AC345" s="6">
        <f t="shared" si="86"/>
        <v>0</v>
      </c>
      <c r="AD345" s="6">
        <f t="shared" si="87"/>
        <v>0</v>
      </c>
      <c r="AE345" s="6">
        <f t="shared" si="88"/>
        <v>-1</v>
      </c>
      <c r="AF345" s="6">
        <f t="shared" si="89"/>
        <v>-22</v>
      </c>
      <c r="AG345" s="6">
        <f t="shared" si="90"/>
        <v>0</v>
      </c>
      <c r="AH345" s="6">
        <f t="shared" si="79"/>
        <v>-23</v>
      </c>
      <c r="AI345" s="3"/>
      <c r="AJ345" s="3" t="e">
        <f>_xlfn.XLOOKUP(K345,工作表1!A:A,工作表1!C:C)</f>
        <v>#N/A</v>
      </c>
      <c r="AK345" s="3"/>
      <c r="AL345" s="6">
        <f t="shared" si="80"/>
        <v>0</v>
      </c>
      <c r="AM345" s="6">
        <f t="shared" si="81"/>
        <v>0</v>
      </c>
      <c r="AN345" s="6">
        <f t="shared" si="82"/>
        <v>0</v>
      </c>
      <c r="AO345" s="6">
        <f t="shared" si="83"/>
        <v>0</v>
      </c>
      <c r="AP345" s="6">
        <f t="shared" si="84"/>
        <v>0</v>
      </c>
      <c r="AQ345" s="6">
        <f t="shared" si="85"/>
        <v>0</v>
      </c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  <c r="BC345" s="6"/>
      <c r="BD345" s="6"/>
      <c r="BE345" s="6"/>
      <c r="BF345" s="6"/>
      <c r="BG345" s="6"/>
      <c r="BH345" s="6"/>
      <c r="BI345" s="6"/>
      <c r="BJ345" s="6"/>
      <c r="BK345" s="6"/>
      <c r="BL345" s="6"/>
      <c r="BM345" s="6"/>
      <c r="BN345" s="6"/>
      <c r="BO345" s="6"/>
      <c r="BP345" s="3">
        <v>23</v>
      </c>
      <c r="BQ345" s="6">
        <f t="shared" si="76"/>
        <v>0</v>
      </c>
    </row>
    <row r="346" spans="1:69" x14ac:dyDescent="0.3">
      <c r="A346" s="3" t="s">
        <v>17</v>
      </c>
      <c r="B346" s="3">
        <v>610</v>
      </c>
      <c r="C346" s="3" t="s">
        <v>583</v>
      </c>
      <c r="D346" s="3">
        <v>0.5</v>
      </c>
      <c r="E346" s="3" t="s">
        <v>19</v>
      </c>
      <c r="F346" s="3" t="s">
        <v>19</v>
      </c>
      <c r="G346" s="3" t="s">
        <v>19</v>
      </c>
      <c r="H346" s="3" t="s">
        <v>105</v>
      </c>
      <c r="I346" s="3"/>
      <c r="J346" s="3" t="s">
        <v>91</v>
      </c>
      <c r="K346" s="3" t="s">
        <v>585</v>
      </c>
      <c r="L346" s="3" t="s">
        <v>1468</v>
      </c>
      <c r="M346" s="3">
        <v>4</v>
      </c>
      <c r="N346" s="6"/>
      <c r="O346" s="3">
        <v>4</v>
      </c>
      <c r="P346" s="3">
        <v>4</v>
      </c>
      <c r="Q346" s="3">
        <v>0</v>
      </c>
      <c r="R346" s="3">
        <v>0</v>
      </c>
      <c r="S346" s="3">
        <v>4</v>
      </c>
      <c r="T346" s="3">
        <v>0</v>
      </c>
      <c r="U346" s="3">
        <v>0</v>
      </c>
      <c r="V346" s="3">
        <f t="shared" si="77"/>
        <v>4</v>
      </c>
      <c r="W346" s="3">
        <v>0</v>
      </c>
      <c r="X346" s="3">
        <v>0</v>
      </c>
      <c r="Y346" s="3">
        <v>4</v>
      </c>
      <c r="Z346" s="3">
        <v>0</v>
      </c>
      <c r="AA346" s="3">
        <v>0</v>
      </c>
      <c r="AB346" s="3">
        <f t="shared" si="78"/>
        <v>4</v>
      </c>
      <c r="AC346" s="6">
        <f t="shared" si="86"/>
        <v>0</v>
      </c>
      <c r="AD346" s="6">
        <f t="shared" si="87"/>
        <v>0</v>
      </c>
      <c r="AE346" s="6">
        <f t="shared" si="88"/>
        <v>-4</v>
      </c>
      <c r="AF346" s="6">
        <f t="shared" si="89"/>
        <v>0</v>
      </c>
      <c r="AG346" s="6">
        <f t="shared" si="90"/>
        <v>0</v>
      </c>
      <c r="AH346" s="6">
        <f t="shared" si="79"/>
        <v>-4</v>
      </c>
      <c r="AI346" s="3"/>
      <c r="AJ346" s="3" t="e">
        <f>_xlfn.XLOOKUP(K346,工作表1!A:A,工作表1!C:C)</f>
        <v>#N/A</v>
      </c>
      <c r="AK346" s="3"/>
      <c r="AL346" s="6">
        <f t="shared" si="80"/>
        <v>0</v>
      </c>
      <c r="AM346" s="6">
        <f t="shared" si="81"/>
        <v>0</v>
      </c>
      <c r="AN346" s="6">
        <f t="shared" si="82"/>
        <v>0</v>
      </c>
      <c r="AO346" s="6">
        <f t="shared" si="83"/>
        <v>0</v>
      </c>
      <c r="AP346" s="6">
        <f t="shared" si="84"/>
        <v>0</v>
      </c>
      <c r="AQ346" s="6">
        <f t="shared" si="85"/>
        <v>0</v>
      </c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  <c r="BC346" s="6"/>
      <c r="BD346" s="6"/>
      <c r="BE346" s="6"/>
      <c r="BF346" s="6"/>
      <c r="BG346" s="6"/>
      <c r="BH346" s="6"/>
      <c r="BI346" s="6"/>
      <c r="BJ346" s="6"/>
      <c r="BK346" s="6"/>
      <c r="BL346" s="6"/>
      <c r="BM346" s="6"/>
      <c r="BN346" s="6"/>
      <c r="BO346" s="6"/>
      <c r="BP346" s="3">
        <v>4</v>
      </c>
      <c r="BQ346" s="6">
        <f t="shared" si="76"/>
        <v>0</v>
      </c>
    </row>
    <row r="347" spans="1:69" x14ac:dyDescent="0.3">
      <c r="A347" s="3" t="s">
        <v>17</v>
      </c>
      <c r="B347" s="3">
        <v>610</v>
      </c>
      <c r="C347" s="3" t="s">
        <v>586</v>
      </c>
      <c r="D347" s="3">
        <v>6</v>
      </c>
      <c r="E347" s="3" t="s">
        <v>19</v>
      </c>
      <c r="F347" s="3" t="s">
        <v>19</v>
      </c>
      <c r="G347" s="3" t="s">
        <v>19</v>
      </c>
      <c r="H347" s="3" t="s">
        <v>443</v>
      </c>
      <c r="I347" s="3"/>
      <c r="J347" s="3" t="s">
        <v>91</v>
      </c>
      <c r="K347" s="3" t="s">
        <v>587</v>
      </c>
      <c r="L347" s="3" t="s">
        <v>1467</v>
      </c>
      <c r="M347" s="3">
        <v>3</v>
      </c>
      <c r="N347" s="6"/>
      <c r="O347" s="3">
        <v>1</v>
      </c>
      <c r="P347" s="3">
        <v>1</v>
      </c>
      <c r="Q347" s="3">
        <v>0</v>
      </c>
      <c r="R347" s="3">
        <v>0</v>
      </c>
      <c r="S347" s="3">
        <v>0</v>
      </c>
      <c r="T347" s="3">
        <v>1</v>
      </c>
      <c r="U347" s="3">
        <v>0</v>
      </c>
      <c r="V347" s="3">
        <f t="shared" si="77"/>
        <v>1</v>
      </c>
      <c r="W347" s="3">
        <v>0</v>
      </c>
      <c r="X347" s="3">
        <v>0</v>
      </c>
      <c r="Y347" s="3">
        <v>0</v>
      </c>
      <c r="Z347" s="3">
        <v>1</v>
      </c>
      <c r="AA347" s="3">
        <v>0</v>
      </c>
      <c r="AB347" s="3">
        <f t="shared" si="78"/>
        <v>1</v>
      </c>
      <c r="AC347" s="6">
        <f t="shared" si="86"/>
        <v>0</v>
      </c>
      <c r="AD347" s="6">
        <f t="shared" si="87"/>
        <v>0</v>
      </c>
      <c r="AE347" s="6">
        <f t="shared" si="88"/>
        <v>0</v>
      </c>
      <c r="AF347" s="6">
        <f t="shared" si="89"/>
        <v>-1</v>
      </c>
      <c r="AG347" s="6">
        <f t="shared" si="90"/>
        <v>0</v>
      </c>
      <c r="AH347" s="6">
        <f t="shared" si="79"/>
        <v>-1</v>
      </c>
      <c r="AI347" s="3"/>
      <c r="AJ347" s="3" t="e">
        <f>_xlfn.XLOOKUP(K347,工作表1!A:A,工作表1!C:C)</f>
        <v>#N/A</v>
      </c>
      <c r="AK347" s="3"/>
      <c r="AL347" s="6">
        <f t="shared" si="80"/>
        <v>0</v>
      </c>
      <c r="AM347" s="6">
        <f t="shared" si="81"/>
        <v>0</v>
      </c>
      <c r="AN347" s="6">
        <f t="shared" si="82"/>
        <v>0</v>
      </c>
      <c r="AO347" s="6">
        <f t="shared" si="83"/>
        <v>0</v>
      </c>
      <c r="AP347" s="6">
        <f t="shared" si="84"/>
        <v>0</v>
      </c>
      <c r="AQ347" s="6">
        <f t="shared" si="85"/>
        <v>0</v>
      </c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  <c r="BC347" s="6"/>
      <c r="BD347" s="6"/>
      <c r="BE347" s="6"/>
      <c r="BF347" s="6"/>
      <c r="BG347" s="6"/>
      <c r="BH347" s="6"/>
      <c r="BI347" s="6"/>
      <c r="BJ347" s="6"/>
      <c r="BK347" s="6"/>
      <c r="BL347" s="6"/>
      <c r="BM347" s="6"/>
      <c r="BN347" s="6"/>
      <c r="BO347" s="6"/>
      <c r="BP347" s="3">
        <v>1</v>
      </c>
      <c r="BQ347" s="6">
        <f t="shared" si="76"/>
        <v>0</v>
      </c>
    </row>
    <row r="348" spans="1:69" x14ac:dyDescent="0.3">
      <c r="A348" s="3" t="s">
        <v>17</v>
      </c>
      <c r="B348" s="3">
        <v>610</v>
      </c>
      <c r="C348" s="3" t="s">
        <v>586</v>
      </c>
      <c r="D348" s="3">
        <v>3</v>
      </c>
      <c r="E348" s="3" t="s">
        <v>19</v>
      </c>
      <c r="F348" s="3" t="s">
        <v>19</v>
      </c>
      <c r="G348" s="3" t="s">
        <v>19</v>
      </c>
      <c r="H348" s="3" t="s">
        <v>338</v>
      </c>
      <c r="I348" s="3"/>
      <c r="J348" s="3" t="s">
        <v>91</v>
      </c>
      <c r="K348" s="3" t="s">
        <v>588</v>
      </c>
      <c r="L348" s="3" t="s">
        <v>1467</v>
      </c>
      <c r="M348" s="3">
        <v>7</v>
      </c>
      <c r="N348" s="6"/>
      <c r="O348" s="3">
        <v>7</v>
      </c>
      <c r="P348" s="3">
        <v>7</v>
      </c>
      <c r="Q348" s="3">
        <v>0</v>
      </c>
      <c r="R348" s="3">
        <v>0</v>
      </c>
      <c r="S348" s="3">
        <v>0</v>
      </c>
      <c r="T348" s="3">
        <v>7</v>
      </c>
      <c r="U348" s="3">
        <v>0</v>
      </c>
      <c r="V348" s="3">
        <f t="shared" si="77"/>
        <v>7</v>
      </c>
      <c r="W348" s="3">
        <v>0</v>
      </c>
      <c r="X348" s="3">
        <v>0</v>
      </c>
      <c r="Y348" s="3">
        <v>0</v>
      </c>
      <c r="Z348" s="3">
        <v>7</v>
      </c>
      <c r="AA348" s="3">
        <v>0</v>
      </c>
      <c r="AB348" s="3">
        <f t="shared" si="78"/>
        <v>7</v>
      </c>
      <c r="AC348" s="6">
        <f t="shared" si="86"/>
        <v>0</v>
      </c>
      <c r="AD348" s="6">
        <f t="shared" si="87"/>
        <v>0</v>
      </c>
      <c r="AE348" s="6">
        <f t="shared" si="88"/>
        <v>0</v>
      </c>
      <c r="AF348" s="6">
        <f t="shared" si="89"/>
        <v>-7</v>
      </c>
      <c r="AG348" s="6">
        <f t="shared" si="90"/>
        <v>0</v>
      </c>
      <c r="AH348" s="6">
        <f t="shared" si="79"/>
        <v>-7</v>
      </c>
      <c r="AI348" s="3"/>
      <c r="AJ348" s="3" t="e">
        <f>_xlfn.XLOOKUP(K348,工作表1!A:A,工作表1!C:C)</f>
        <v>#N/A</v>
      </c>
      <c r="AK348" s="3"/>
      <c r="AL348" s="6">
        <f t="shared" si="80"/>
        <v>0</v>
      </c>
      <c r="AM348" s="6">
        <f t="shared" si="81"/>
        <v>0</v>
      </c>
      <c r="AN348" s="6">
        <f t="shared" si="82"/>
        <v>0</v>
      </c>
      <c r="AO348" s="6">
        <f t="shared" si="83"/>
        <v>0</v>
      </c>
      <c r="AP348" s="6">
        <f t="shared" si="84"/>
        <v>0</v>
      </c>
      <c r="AQ348" s="6">
        <f t="shared" si="85"/>
        <v>0</v>
      </c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  <c r="BC348" s="6"/>
      <c r="BD348" s="6"/>
      <c r="BE348" s="6"/>
      <c r="BF348" s="6"/>
      <c r="BG348" s="6"/>
      <c r="BH348" s="6"/>
      <c r="BI348" s="6"/>
      <c r="BJ348" s="6"/>
      <c r="BK348" s="6"/>
      <c r="BL348" s="6"/>
      <c r="BM348" s="6"/>
      <c r="BN348" s="6"/>
      <c r="BO348" s="6"/>
      <c r="BP348" s="3">
        <v>7</v>
      </c>
      <c r="BQ348" s="6">
        <f t="shared" si="76"/>
        <v>0</v>
      </c>
    </row>
    <row r="349" spans="1:69" x14ac:dyDescent="0.3">
      <c r="A349" s="3" t="s">
        <v>17</v>
      </c>
      <c r="B349" s="3">
        <v>610</v>
      </c>
      <c r="C349" s="3" t="s">
        <v>589</v>
      </c>
      <c r="D349" s="3">
        <v>8</v>
      </c>
      <c r="E349" s="3" t="s">
        <v>19</v>
      </c>
      <c r="F349" s="3" t="s">
        <v>19</v>
      </c>
      <c r="G349" s="3" t="s">
        <v>19</v>
      </c>
      <c r="H349" s="3" t="s">
        <v>348</v>
      </c>
      <c r="I349" s="3"/>
      <c r="J349" s="3" t="s">
        <v>91</v>
      </c>
      <c r="K349" s="3" t="s">
        <v>590</v>
      </c>
      <c r="L349" s="3" t="s">
        <v>1467</v>
      </c>
      <c r="M349" s="3">
        <v>4</v>
      </c>
      <c r="N349" s="6"/>
      <c r="O349" s="3">
        <v>2</v>
      </c>
      <c r="P349" s="3">
        <v>2</v>
      </c>
      <c r="Q349" s="3">
        <v>0</v>
      </c>
      <c r="R349" s="3">
        <v>0</v>
      </c>
      <c r="S349" s="3">
        <v>0</v>
      </c>
      <c r="T349" s="3">
        <v>2</v>
      </c>
      <c r="U349" s="3">
        <v>0</v>
      </c>
      <c r="V349" s="3">
        <f t="shared" si="77"/>
        <v>2</v>
      </c>
      <c r="W349" s="3">
        <v>0</v>
      </c>
      <c r="X349" s="3">
        <v>0</v>
      </c>
      <c r="Y349" s="3">
        <v>0</v>
      </c>
      <c r="Z349" s="3">
        <v>2</v>
      </c>
      <c r="AA349" s="3">
        <v>0</v>
      </c>
      <c r="AB349" s="3">
        <f t="shared" si="78"/>
        <v>2</v>
      </c>
      <c r="AC349" s="6">
        <f t="shared" si="86"/>
        <v>0</v>
      </c>
      <c r="AD349" s="6">
        <f t="shared" si="87"/>
        <v>0</v>
      </c>
      <c r="AE349" s="6">
        <f t="shared" si="88"/>
        <v>0</v>
      </c>
      <c r="AF349" s="6">
        <f t="shared" si="89"/>
        <v>-2</v>
      </c>
      <c r="AG349" s="6">
        <f t="shared" si="90"/>
        <v>0</v>
      </c>
      <c r="AH349" s="6">
        <f t="shared" si="79"/>
        <v>-2</v>
      </c>
      <c r="AI349" s="3"/>
      <c r="AJ349" s="3" t="e">
        <f>_xlfn.XLOOKUP(K349,工作表1!A:A,工作表1!C:C)</f>
        <v>#N/A</v>
      </c>
      <c r="AK349" s="3"/>
      <c r="AL349" s="6">
        <f t="shared" si="80"/>
        <v>0</v>
      </c>
      <c r="AM349" s="6">
        <f t="shared" si="81"/>
        <v>0</v>
      </c>
      <c r="AN349" s="6">
        <f t="shared" si="82"/>
        <v>0</v>
      </c>
      <c r="AO349" s="6">
        <f t="shared" si="83"/>
        <v>0</v>
      </c>
      <c r="AP349" s="6">
        <f t="shared" si="84"/>
        <v>0</v>
      </c>
      <c r="AQ349" s="6">
        <f t="shared" si="85"/>
        <v>0</v>
      </c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  <c r="BC349" s="6"/>
      <c r="BD349" s="6"/>
      <c r="BE349" s="6"/>
      <c r="BF349" s="6"/>
      <c r="BG349" s="6"/>
      <c r="BH349" s="6"/>
      <c r="BI349" s="6"/>
      <c r="BJ349" s="6"/>
      <c r="BK349" s="6"/>
      <c r="BL349" s="6"/>
      <c r="BM349" s="6"/>
      <c r="BN349" s="6"/>
      <c r="BO349" s="6"/>
      <c r="BP349" s="3">
        <v>2</v>
      </c>
      <c r="BQ349" s="6">
        <f t="shared" si="76"/>
        <v>0</v>
      </c>
    </row>
    <row r="350" spans="1:69" x14ac:dyDescent="0.3">
      <c r="A350" s="3" t="s">
        <v>17</v>
      </c>
      <c r="B350" s="3">
        <v>610</v>
      </c>
      <c r="C350" s="3" t="s">
        <v>589</v>
      </c>
      <c r="D350" s="3">
        <v>6</v>
      </c>
      <c r="E350" s="3" t="s">
        <v>19</v>
      </c>
      <c r="F350" s="3" t="s">
        <v>19</v>
      </c>
      <c r="G350" s="3" t="s">
        <v>19</v>
      </c>
      <c r="H350" s="3" t="s">
        <v>443</v>
      </c>
      <c r="I350" s="3"/>
      <c r="J350" s="3" t="s">
        <v>91</v>
      </c>
      <c r="K350" s="3" t="s">
        <v>591</v>
      </c>
      <c r="L350" s="3" t="s">
        <v>1467</v>
      </c>
      <c r="M350" s="3">
        <v>2</v>
      </c>
      <c r="N350" s="6"/>
      <c r="O350" s="3">
        <v>2</v>
      </c>
      <c r="P350" s="3">
        <v>2</v>
      </c>
      <c r="Q350" s="3">
        <v>0</v>
      </c>
      <c r="R350" s="3">
        <v>0</v>
      </c>
      <c r="S350" s="3">
        <v>0</v>
      </c>
      <c r="T350" s="3">
        <v>2</v>
      </c>
      <c r="U350" s="3">
        <v>0</v>
      </c>
      <c r="V350" s="3">
        <f t="shared" si="77"/>
        <v>2</v>
      </c>
      <c r="W350" s="3">
        <v>0</v>
      </c>
      <c r="X350" s="3">
        <v>0</v>
      </c>
      <c r="Y350" s="3">
        <v>0</v>
      </c>
      <c r="Z350" s="3">
        <v>2</v>
      </c>
      <c r="AA350" s="3">
        <v>0</v>
      </c>
      <c r="AB350" s="3">
        <f t="shared" si="78"/>
        <v>2</v>
      </c>
      <c r="AC350" s="6">
        <f t="shared" si="86"/>
        <v>0</v>
      </c>
      <c r="AD350" s="6">
        <f t="shared" si="87"/>
        <v>0</v>
      </c>
      <c r="AE350" s="6">
        <f t="shared" si="88"/>
        <v>0</v>
      </c>
      <c r="AF350" s="6">
        <f t="shared" si="89"/>
        <v>-2</v>
      </c>
      <c r="AG350" s="6">
        <f t="shared" si="90"/>
        <v>0</v>
      </c>
      <c r="AH350" s="6">
        <f t="shared" si="79"/>
        <v>-2</v>
      </c>
      <c r="AI350" s="3"/>
      <c r="AJ350" s="3" t="e">
        <f>_xlfn.XLOOKUP(K350,工作表1!A:A,工作表1!C:C)</f>
        <v>#N/A</v>
      </c>
      <c r="AK350" s="3"/>
      <c r="AL350" s="6">
        <f t="shared" si="80"/>
        <v>0</v>
      </c>
      <c r="AM350" s="6">
        <f t="shared" si="81"/>
        <v>0</v>
      </c>
      <c r="AN350" s="6">
        <f t="shared" si="82"/>
        <v>0</v>
      </c>
      <c r="AO350" s="6">
        <f t="shared" si="83"/>
        <v>0</v>
      </c>
      <c r="AP350" s="6">
        <f t="shared" si="84"/>
        <v>0</v>
      </c>
      <c r="AQ350" s="6">
        <f t="shared" si="85"/>
        <v>0</v>
      </c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  <c r="BC350" s="6"/>
      <c r="BD350" s="6"/>
      <c r="BE350" s="6"/>
      <c r="BF350" s="6"/>
      <c r="BG350" s="6"/>
      <c r="BH350" s="6"/>
      <c r="BI350" s="6"/>
      <c r="BJ350" s="6"/>
      <c r="BK350" s="6"/>
      <c r="BL350" s="6"/>
      <c r="BM350" s="6"/>
      <c r="BN350" s="6"/>
      <c r="BO350" s="6"/>
      <c r="BP350" s="3">
        <v>2</v>
      </c>
      <c r="BQ350" s="6">
        <f t="shared" si="76"/>
        <v>0</v>
      </c>
    </row>
    <row r="351" spans="1:69" x14ac:dyDescent="0.3">
      <c r="A351" s="3" t="s">
        <v>17</v>
      </c>
      <c r="B351" s="3">
        <v>610</v>
      </c>
      <c r="C351" s="3" t="s">
        <v>589</v>
      </c>
      <c r="D351" s="3">
        <v>4</v>
      </c>
      <c r="E351" s="3" t="s">
        <v>19</v>
      </c>
      <c r="F351" s="3" t="s">
        <v>19</v>
      </c>
      <c r="G351" s="3" t="s">
        <v>19</v>
      </c>
      <c r="H351" s="3" t="s">
        <v>336</v>
      </c>
      <c r="I351" s="3"/>
      <c r="J351" s="3" t="s">
        <v>91</v>
      </c>
      <c r="K351" s="3" t="s">
        <v>592</v>
      </c>
      <c r="L351" s="3" t="s">
        <v>1467</v>
      </c>
      <c r="M351" s="3">
        <v>6</v>
      </c>
      <c r="N351" s="6"/>
      <c r="O351" s="3">
        <v>2</v>
      </c>
      <c r="P351" s="3">
        <v>2</v>
      </c>
      <c r="Q351" s="3">
        <v>0</v>
      </c>
      <c r="R351" s="3">
        <v>0</v>
      </c>
      <c r="S351" s="3">
        <v>0</v>
      </c>
      <c r="T351" s="3">
        <v>2</v>
      </c>
      <c r="U351" s="3">
        <v>0</v>
      </c>
      <c r="V351" s="3">
        <f t="shared" si="77"/>
        <v>2</v>
      </c>
      <c r="W351" s="3">
        <v>0</v>
      </c>
      <c r="X351" s="3">
        <v>0</v>
      </c>
      <c r="Y351" s="3">
        <v>0</v>
      </c>
      <c r="Z351" s="3">
        <v>2</v>
      </c>
      <c r="AA351" s="3">
        <v>0</v>
      </c>
      <c r="AB351" s="3">
        <f t="shared" si="78"/>
        <v>2</v>
      </c>
      <c r="AC351" s="6">
        <f t="shared" si="86"/>
        <v>0</v>
      </c>
      <c r="AD351" s="6">
        <f t="shared" si="87"/>
        <v>0</v>
      </c>
      <c r="AE351" s="6">
        <f t="shared" si="88"/>
        <v>0</v>
      </c>
      <c r="AF351" s="6">
        <f t="shared" si="89"/>
        <v>-2</v>
      </c>
      <c r="AG351" s="6">
        <f t="shared" si="90"/>
        <v>0</v>
      </c>
      <c r="AH351" s="6">
        <f t="shared" si="79"/>
        <v>-2</v>
      </c>
      <c r="AI351" s="3"/>
      <c r="AJ351" s="3" t="e">
        <f>_xlfn.XLOOKUP(K351,工作表1!A:A,工作表1!C:C)</f>
        <v>#N/A</v>
      </c>
      <c r="AK351" s="3"/>
      <c r="AL351" s="6">
        <f t="shared" si="80"/>
        <v>0</v>
      </c>
      <c r="AM351" s="6">
        <f t="shared" si="81"/>
        <v>0</v>
      </c>
      <c r="AN351" s="6">
        <f t="shared" si="82"/>
        <v>0</v>
      </c>
      <c r="AO351" s="6">
        <f t="shared" si="83"/>
        <v>0</v>
      </c>
      <c r="AP351" s="6">
        <f t="shared" si="84"/>
        <v>0</v>
      </c>
      <c r="AQ351" s="6">
        <f t="shared" si="85"/>
        <v>0</v>
      </c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  <c r="BC351" s="6"/>
      <c r="BD351" s="6"/>
      <c r="BE351" s="6"/>
      <c r="BF351" s="6"/>
      <c r="BG351" s="6"/>
      <c r="BH351" s="6"/>
      <c r="BI351" s="6"/>
      <c r="BJ351" s="6"/>
      <c r="BK351" s="6"/>
      <c r="BL351" s="6"/>
      <c r="BM351" s="6"/>
      <c r="BN351" s="6"/>
      <c r="BO351" s="6"/>
      <c r="BP351" s="3">
        <v>2</v>
      </c>
      <c r="BQ351" s="6">
        <f t="shared" si="76"/>
        <v>0</v>
      </c>
    </row>
    <row r="352" spans="1:69" x14ac:dyDescent="0.3">
      <c r="A352" s="3" t="s">
        <v>17</v>
      </c>
      <c r="B352" s="3">
        <v>610</v>
      </c>
      <c r="C352" s="3" t="s">
        <v>589</v>
      </c>
      <c r="D352" s="3">
        <v>3</v>
      </c>
      <c r="E352" s="3" t="s">
        <v>19</v>
      </c>
      <c r="F352" s="3" t="s">
        <v>19</v>
      </c>
      <c r="G352" s="3" t="s">
        <v>19</v>
      </c>
      <c r="H352" s="3" t="s">
        <v>338</v>
      </c>
      <c r="I352" s="3"/>
      <c r="J352" s="3" t="s">
        <v>91</v>
      </c>
      <c r="K352" s="3" t="s">
        <v>593</v>
      </c>
      <c r="L352" s="3" t="s">
        <v>1467</v>
      </c>
      <c r="M352" s="3">
        <v>5</v>
      </c>
      <c r="N352" s="6"/>
      <c r="O352" s="3">
        <v>4</v>
      </c>
      <c r="P352" s="3">
        <v>4</v>
      </c>
      <c r="Q352" s="3">
        <v>0</v>
      </c>
      <c r="R352" s="3">
        <v>2</v>
      </c>
      <c r="S352" s="3">
        <v>0</v>
      </c>
      <c r="T352" s="3">
        <v>2</v>
      </c>
      <c r="U352" s="3">
        <v>0</v>
      </c>
      <c r="V352" s="3">
        <f t="shared" si="77"/>
        <v>4</v>
      </c>
      <c r="W352" s="3">
        <v>0</v>
      </c>
      <c r="X352" s="3">
        <v>2</v>
      </c>
      <c r="Y352" s="3">
        <v>0</v>
      </c>
      <c r="Z352" s="3">
        <v>2</v>
      </c>
      <c r="AA352" s="3">
        <v>0</v>
      </c>
      <c r="AB352" s="3">
        <f t="shared" si="78"/>
        <v>4</v>
      </c>
      <c r="AC352" s="6">
        <f t="shared" si="86"/>
        <v>0</v>
      </c>
      <c r="AD352" s="6">
        <f t="shared" si="87"/>
        <v>-2</v>
      </c>
      <c r="AE352" s="6">
        <f t="shared" si="88"/>
        <v>0</v>
      </c>
      <c r="AF352" s="6">
        <f t="shared" si="89"/>
        <v>-2</v>
      </c>
      <c r="AG352" s="6">
        <f t="shared" si="90"/>
        <v>0</v>
      </c>
      <c r="AH352" s="6">
        <f t="shared" si="79"/>
        <v>-4</v>
      </c>
      <c r="AI352" s="3"/>
      <c r="AJ352" s="3" t="e">
        <f>_xlfn.XLOOKUP(K352,工作表1!A:A,工作表1!C:C)</f>
        <v>#N/A</v>
      </c>
      <c r="AK352" s="3"/>
      <c r="AL352" s="6">
        <f t="shared" si="80"/>
        <v>0</v>
      </c>
      <c r="AM352" s="6">
        <f t="shared" si="81"/>
        <v>0</v>
      </c>
      <c r="AN352" s="6">
        <f t="shared" si="82"/>
        <v>0</v>
      </c>
      <c r="AO352" s="6">
        <f t="shared" si="83"/>
        <v>0</v>
      </c>
      <c r="AP352" s="6">
        <f t="shared" si="84"/>
        <v>0</v>
      </c>
      <c r="AQ352" s="6">
        <f t="shared" si="85"/>
        <v>0</v>
      </c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  <c r="BC352" s="6"/>
      <c r="BD352" s="6"/>
      <c r="BE352" s="6"/>
      <c r="BF352" s="6"/>
      <c r="BG352" s="6"/>
      <c r="BH352" s="6"/>
      <c r="BI352" s="6"/>
      <c r="BJ352" s="6"/>
      <c r="BK352" s="6"/>
      <c r="BL352" s="6"/>
      <c r="BM352" s="6"/>
      <c r="BN352" s="6"/>
      <c r="BO352" s="6"/>
      <c r="BP352" s="3">
        <v>4</v>
      </c>
      <c r="BQ352" s="6">
        <f t="shared" si="76"/>
        <v>0</v>
      </c>
    </row>
    <row r="353" spans="1:69" x14ac:dyDescent="0.3">
      <c r="A353" s="3" t="s">
        <v>17</v>
      </c>
      <c r="B353" s="3">
        <v>610</v>
      </c>
      <c r="C353" s="3" t="s">
        <v>594</v>
      </c>
      <c r="D353" s="3">
        <v>2</v>
      </c>
      <c r="E353" s="3" t="s">
        <v>19</v>
      </c>
      <c r="F353" s="3" t="s">
        <v>19</v>
      </c>
      <c r="G353" s="3" t="s">
        <v>19</v>
      </c>
      <c r="H353" s="3" t="s">
        <v>340</v>
      </c>
      <c r="I353" s="3"/>
      <c r="J353" s="3" t="s">
        <v>91</v>
      </c>
      <c r="K353" s="3" t="s">
        <v>595</v>
      </c>
      <c r="L353" s="3" t="s">
        <v>1468</v>
      </c>
      <c r="M353" s="3">
        <v>35</v>
      </c>
      <c r="N353" s="6"/>
      <c r="O353" s="3">
        <v>11</v>
      </c>
      <c r="P353" s="3">
        <v>11</v>
      </c>
      <c r="Q353" s="3">
        <v>0</v>
      </c>
      <c r="R353" s="3">
        <v>11</v>
      </c>
      <c r="S353" s="3">
        <v>0</v>
      </c>
      <c r="T353" s="3">
        <v>0</v>
      </c>
      <c r="U353" s="3">
        <v>0</v>
      </c>
      <c r="V353" s="3">
        <f t="shared" si="77"/>
        <v>11</v>
      </c>
      <c r="W353" s="3">
        <v>0</v>
      </c>
      <c r="X353" s="3">
        <v>11</v>
      </c>
      <c r="Y353" s="3">
        <v>0</v>
      </c>
      <c r="Z353" s="3">
        <v>0</v>
      </c>
      <c r="AA353" s="3">
        <v>0</v>
      </c>
      <c r="AB353" s="3">
        <f t="shared" si="78"/>
        <v>11</v>
      </c>
      <c r="AC353" s="6">
        <f t="shared" si="86"/>
        <v>0</v>
      </c>
      <c r="AD353" s="6">
        <f t="shared" si="87"/>
        <v>-11</v>
      </c>
      <c r="AE353" s="6">
        <f t="shared" si="88"/>
        <v>0</v>
      </c>
      <c r="AF353" s="6">
        <f t="shared" si="89"/>
        <v>0</v>
      </c>
      <c r="AG353" s="6">
        <f t="shared" si="90"/>
        <v>0</v>
      </c>
      <c r="AH353" s="6">
        <f t="shared" si="79"/>
        <v>-11</v>
      </c>
      <c r="AI353" s="3"/>
      <c r="AJ353" s="3" t="e">
        <f>_xlfn.XLOOKUP(K353,工作表1!A:A,工作表1!C:C)</f>
        <v>#N/A</v>
      </c>
      <c r="AK353" s="3"/>
      <c r="AL353" s="6">
        <f t="shared" si="80"/>
        <v>0</v>
      </c>
      <c r="AM353" s="6">
        <f t="shared" si="81"/>
        <v>0</v>
      </c>
      <c r="AN353" s="6">
        <f t="shared" si="82"/>
        <v>0</v>
      </c>
      <c r="AO353" s="6">
        <f t="shared" si="83"/>
        <v>0</v>
      </c>
      <c r="AP353" s="6">
        <f t="shared" si="84"/>
        <v>0</v>
      </c>
      <c r="AQ353" s="6">
        <f t="shared" si="85"/>
        <v>0</v>
      </c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  <c r="BC353" s="6"/>
      <c r="BD353" s="6"/>
      <c r="BE353" s="6"/>
      <c r="BF353" s="6"/>
      <c r="BG353" s="6"/>
      <c r="BH353" s="6"/>
      <c r="BI353" s="6"/>
      <c r="BJ353" s="6"/>
      <c r="BK353" s="6"/>
      <c r="BL353" s="6"/>
      <c r="BM353" s="6"/>
      <c r="BN353" s="6"/>
      <c r="BO353" s="6"/>
      <c r="BP353" s="3">
        <v>11</v>
      </c>
      <c r="BQ353" s="6">
        <f t="shared" si="76"/>
        <v>0</v>
      </c>
    </row>
    <row r="354" spans="1:69" x14ac:dyDescent="0.3">
      <c r="A354" s="3" t="s">
        <v>17</v>
      </c>
      <c r="B354" s="3">
        <v>610</v>
      </c>
      <c r="C354" s="3" t="s">
        <v>594</v>
      </c>
      <c r="D354" s="3">
        <v>1.5</v>
      </c>
      <c r="E354" s="3" t="s">
        <v>19</v>
      </c>
      <c r="F354" s="3" t="s">
        <v>19</v>
      </c>
      <c r="G354" s="3" t="s">
        <v>19</v>
      </c>
      <c r="H354" s="3" t="s">
        <v>99</v>
      </c>
      <c r="I354" s="3"/>
      <c r="J354" s="3" t="s">
        <v>91</v>
      </c>
      <c r="K354" s="3" t="s">
        <v>596</v>
      </c>
      <c r="L354" s="3" t="s">
        <v>1468</v>
      </c>
      <c r="M354" s="3">
        <v>40</v>
      </c>
      <c r="N354" s="6"/>
      <c r="O354" s="3">
        <v>30</v>
      </c>
      <c r="P354" s="3">
        <v>30</v>
      </c>
      <c r="Q354" s="3">
        <v>0</v>
      </c>
      <c r="R354" s="3">
        <v>30</v>
      </c>
      <c r="S354" s="3">
        <v>0</v>
      </c>
      <c r="T354" s="3">
        <v>0</v>
      </c>
      <c r="U354" s="3">
        <v>0</v>
      </c>
      <c r="V354" s="3">
        <f t="shared" si="77"/>
        <v>30</v>
      </c>
      <c r="W354" s="3">
        <v>0</v>
      </c>
      <c r="X354" s="3">
        <v>30</v>
      </c>
      <c r="Y354" s="3">
        <v>0</v>
      </c>
      <c r="Z354" s="3">
        <v>0</v>
      </c>
      <c r="AA354" s="3">
        <v>0</v>
      </c>
      <c r="AB354" s="3">
        <f t="shared" si="78"/>
        <v>30</v>
      </c>
      <c r="AC354" s="6">
        <f t="shared" si="86"/>
        <v>0</v>
      </c>
      <c r="AD354" s="6">
        <f t="shared" si="87"/>
        <v>-30</v>
      </c>
      <c r="AE354" s="6">
        <f t="shared" si="88"/>
        <v>0</v>
      </c>
      <c r="AF354" s="6">
        <f t="shared" si="89"/>
        <v>0</v>
      </c>
      <c r="AG354" s="6">
        <f t="shared" si="90"/>
        <v>0</v>
      </c>
      <c r="AH354" s="6">
        <f t="shared" si="79"/>
        <v>-30</v>
      </c>
      <c r="AI354" s="3"/>
      <c r="AJ354" s="3" t="e">
        <f>_xlfn.XLOOKUP(K354,工作表1!A:A,工作表1!C:C)</f>
        <v>#N/A</v>
      </c>
      <c r="AK354" s="3"/>
      <c r="AL354" s="6">
        <f t="shared" si="80"/>
        <v>0</v>
      </c>
      <c r="AM354" s="6">
        <f t="shared" si="81"/>
        <v>0</v>
      </c>
      <c r="AN354" s="6">
        <f t="shared" si="82"/>
        <v>0</v>
      </c>
      <c r="AO354" s="6">
        <f t="shared" si="83"/>
        <v>0</v>
      </c>
      <c r="AP354" s="6">
        <f t="shared" si="84"/>
        <v>0</v>
      </c>
      <c r="AQ354" s="6">
        <f t="shared" si="85"/>
        <v>0</v>
      </c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  <c r="BC354" s="6"/>
      <c r="BD354" s="6"/>
      <c r="BE354" s="6"/>
      <c r="BF354" s="6"/>
      <c r="BG354" s="6"/>
      <c r="BH354" s="6"/>
      <c r="BI354" s="6"/>
      <c r="BJ354" s="6"/>
      <c r="BK354" s="6"/>
      <c r="BL354" s="6"/>
      <c r="BM354" s="6"/>
      <c r="BN354" s="6"/>
      <c r="BO354" s="6"/>
      <c r="BP354" s="3">
        <v>30</v>
      </c>
      <c r="BQ354" s="6">
        <f t="shared" si="76"/>
        <v>0</v>
      </c>
    </row>
    <row r="355" spans="1:69" x14ac:dyDescent="0.3">
      <c r="A355" s="3" t="s">
        <v>17</v>
      </c>
      <c r="B355" s="3">
        <v>610</v>
      </c>
      <c r="C355" s="3" t="s">
        <v>594</v>
      </c>
      <c r="D355" s="3">
        <v>1</v>
      </c>
      <c r="E355" s="3" t="s">
        <v>19</v>
      </c>
      <c r="F355" s="3" t="s">
        <v>19</v>
      </c>
      <c r="G355" s="3" t="s">
        <v>19</v>
      </c>
      <c r="H355" s="3" t="s">
        <v>101</v>
      </c>
      <c r="I355" s="3"/>
      <c r="J355" s="3" t="s">
        <v>91</v>
      </c>
      <c r="K355" s="3" t="s">
        <v>597</v>
      </c>
      <c r="L355" s="3" t="s">
        <v>1468</v>
      </c>
      <c r="M355" s="3">
        <v>84</v>
      </c>
      <c r="N355" s="6"/>
      <c r="O355" s="3">
        <v>42</v>
      </c>
      <c r="P355" s="3">
        <v>40</v>
      </c>
      <c r="Q355" s="3">
        <v>0</v>
      </c>
      <c r="R355" s="3">
        <v>20</v>
      </c>
      <c r="S355" s="3">
        <v>14</v>
      </c>
      <c r="T355" s="3">
        <v>6</v>
      </c>
      <c r="U355" s="3">
        <v>0</v>
      </c>
      <c r="V355" s="3">
        <f t="shared" si="77"/>
        <v>40</v>
      </c>
      <c r="W355" s="3">
        <v>0</v>
      </c>
      <c r="X355" s="3">
        <v>20</v>
      </c>
      <c r="Y355" s="3">
        <v>14</v>
      </c>
      <c r="Z355" s="3">
        <v>6</v>
      </c>
      <c r="AA355" s="3">
        <v>0</v>
      </c>
      <c r="AB355" s="3">
        <f t="shared" si="78"/>
        <v>40</v>
      </c>
      <c r="AC355" s="6">
        <f t="shared" si="86"/>
        <v>0</v>
      </c>
      <c r="AD355" s="6">
        <f t="shared" si="87"/>
        <v>-20</v>
      </c>
      <c r="AE355" s="6">
        <f t="shared" si="88"/>
        <v>-14</v>
      </c>
      <c r="AF355" s="6">
        <f t="shared" si="89"/>
        <v>-6</v>
      </c>
      <c r="AG355" s="6">
        <f t="shared" si="90"/>
        <v>0</v>
      </c>
      <c r="AH355" s="6">
        <f t="shared" si="79"/>
        <v>-40</v>
      </c>
      <c r="AI355" s="3"/>
      <c r="AJ355" s="3" t="e">
        <f>_xlfn.XLOOKUP(K355,工作表1!A:A,工作表1!C:C)</f>
        <v>#N/A</v>
      </c>
      <c r="AK355" s="3"/>
      <c r="AL355" s="6">
        <f t="shared" si="80"/>
        <v>0</v>
      </c>
      <c r="AM355" s="6">
        <f t="shared" si="81"/>
        <v>0</v>
      </c>
      <c r="AN355" s="6">
        <f t="shared" si="82"/>
        <v>0</v>
      </c>
      <c r="AO355" s="6">
        <f t="shared" si="83"/>
        <v>0</v>
      </c>
      <c r="AP355" s="6">
        <f t="shared" si="84"/>
        <v>0</v>
      </c>
      <c r="AQ355" s="6">
        <f t="shared" si="85"/>
        <v>0</v>
      </c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  <c r="BC355" s="6"/>
      <c r="BD355" s="6"/>
      <c r="BE355" s="6"/>
      <c r="BF355" s="6"/>
      <c r="BG355" s="6"/>
      <c r="BH355" s="6"/>
      <c r="BI355" s="6"/>
      <c r="BJ355" s="6"/>
      <c r="BK355" s="6"/>
      <c r="BL355" s="6"/>
      <c r="BM355" s="6"/>
      <c r="BN355" s="6"/>
      <c r="BO355" s="6"/>
      <c r="BP355" s="3">
        <v>40</v>
      </c>
      <c r="BQ355" s="6">
        <f t="shared" si="76"/>
        <v>0</v>
      </c>
    </row>
    <row r="356" spans="1:69" x14ac:dyDescent="0.3">
      <c r="A356" s="3" t="s">
        <v>17</v>
      </c>
      <c r="B356" s="3">
        <v>610</v>
      </c>
      <c r="C356" s="3" t="s">
        <v>594</v>
      </c>
      <c r="D356" s="3">
        <v>0.75</v>
      </c>
      <c r="E356" s="3" t="s">
        <v>19</v>
      </c>
      <c r="F356" s="3" t="s">
        <v>19</v>
      </c>
      <c r="G356" s="3" t="s">
        <v>19</v>
      </c>
      <c r="H356" s="3" t="s">
        <v>103</v>
      </c>
      <c r="I356" s="3"/>
      <c r="J356" s="3" t="s">
        <v>91</v>
      </c>
      <c r="K356" s="3" t="s">
        <v>598</v>
      </c>
      <c r="L356" s="3" t="s">
        <v>1468</v>
      </c>
      <c r="M356" s="3">
        <v>86</v>
      </c>
      <c r="N356" s="6"/>
      <c r="O356" s="3">
        <v>34</v>
      </c>
      <c r="P356" s="3">
        <v>33</v>
      </c>
      <c r="Q356" s="3">
        <v>0</v>
      </c>
      <c r="R356" s="3">
        <v>18</v>
      </c>
      <c r="S356" s="3">
        <v>0</v>
      </c>
      <c r="T356" s="3">
        <v>15</v>
      </c>
      <c r="U356" s="3">
        <v>0</v>
      </c>
      <c r="V356" s="3">
        <f t="shared" si="77"/>
        <v>33</v>
      </c>
      <c r="W356" s="3">
        <v>0</v>
      </c>
      <c r="X356" s="3">
        <v>18</v>
      </c>
      <c r="Y356" s="3">
        <v>0</v>
      </c>
      <c r="Z356" s="3">
        <v>15</v>
      </c>
      <c r="AA356" s="3">
        <v>0</v>
      </c>
      <c r="AB356" s="3">
        <f t="shared" si="78"/>
        <v>33</v>
      </c>
      <c r="AC356" s="6">
        <f t="shared" si="86"/>
        <v>0</v>
      </c>
      <c r="AD356" s="6">
        <f t="shared" si="87"/>
        <v>-18</v>
      </c>
      <c r="AE356" s="6">
        <f t="shared" si="88"/>
        <v>0</v>
      </c>
      <c r="AF356" s="6">
        <f t="shared" si="89"/>
        <v>-15</v>
      </c>
      <c r="AG356" s="6">
        <f t="shared" si="90"/>
        <v>0</v>
      </c>
      <c r="AH356" s="6">
        <f t="shared" si="79"/>
        <v>-33</v>
      </c>
      <c r="AI356" s="3"/>
      <c r="AJ356" s="3" t="e">
        <f>_xlfn.XLOOKUP(K356,工作表1!A:A,工作表1!C:C)</f>
        <v>#N/A</v>
      </c>
      <c r="AK356" s="3"/>
      <c r="AL356" s="6">
        <f t="shared" si="80"/>
        <v>0</v>
      </c>
      <c r="AM356" s="6">
        <f t="shared" si="81"/>
        <v>0</v>
      </c>
      <c r="AN356" s="6">
        <f t="shared" si="82"/>
        <v>0</v>
      </c>
      <c r="AO356" s="6">
        <f t="shared" si="83"/>
        <v>0</v>
      </c>
      <c r="AP356" s="6">
        <f t="shared" si="84"/>
        <v>0</v>
      </c>
      <c r="AQ356" s="6">
        <f t="shared" si="85"/>
        <v>0</v>
      </c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  <c r="BC356" s="6"/>
      <c r="BD356" s="6"/>
      <c r="BE356" s="6"/>
      <c r="BF356" s="6"/>
      <c r="BG356" s="6"/>
      <c r="BH356" s="6"/>
      <c r="BI356" s="6"/>
      <c r="BJ356" s="6"/>
      <c r="BK356" s="6"/>
      <c r="BL356" s="6"/>
      <c r="BM356" s="6"/>
      <c r="BN356" s="6"/>
      <c r="BO356" s="6"/>
      <c r="BP356" s="3">
        <v>33</v>
      </c>
      <c r="BQ356" s="6">
        <f t="shared" si="76"/>
        <v>0</v>
      </c>
    </row>
    <row r="357" spans="1:69" x14ac:dyDescent="0.3">
      <c r="A357" s="3" t="s">
        <v>17</v>
      </c>
      <c r="B357" s="3">
        <v>610</v>
      </c>
      <c r="C357" s="3" t="s">
        <v>599</v>
      </c>
      <c r="D357" s="3">
        <v>2</v>
      </c>
      <c r="E357" s="3" t="s">
        <v>19</v>
      </c>
      <c r="F357" s="3" t="s">
        <v>19</v>
      </c>
      <c r="G357" s="3" t="s">
        <v>19</v>
      </c>
      <c r="H357" s="3" t="s">
        <v>340</v>
      </c>
      <c r="I357" s="3"/>
      <c r="J357" s="3" t="s">
        <v>91</v>
      </c>
      <c r="K357" s="3" t="s">
        <v>600</v>
      </c>
      <c r="L357" s="3" t="s">
        <v>1468</v>
      </c>
      <c r="M357" s="3">
        <v>6</v>
      </c>
      <c r="N357" s="6"/>
      <c r="O357" s="3">
        <v>5</v>
      </c>
      <c r="P357" s="3">
        <v>5</v>
      </c>
      <c r="Q357" s="3">
        <v>0</v>
      </c>
      <c r="R357" s="3">
        <v>0</v>
      </c>
      <c r="S357" s="3">
        <v>1</v>
      </c>
      <c r="T357" s="3">
        <v>4</v>
      </c>
      <c r="U357" s="3">
        <v>0</v>
      </c>
      <c r="V357" s="3">
        <f t="shared" si="77"/>
        <v>5</v>
      </c>
      <c r="W357" s="3">
        <v>0</v>
      </c>
      <c r="X357" s="3">
        <v>0</v>
      </c>
      <c r="Y357" s="3">
        <v>1</v>
      </c>
      <c r="Z357" s="3">
        <v>4</v>
      </c>
      <c r="AA357" s="3">
        <v>0</v>
      </c>
      <c r="AB357" s="3">
        <f t="shared" si="78"/>
        <v>5</v>
      </c>
      <c r="AC357" s="6">
        <f t="shared" si="86"/>
        <v>0</v>
      </c>
      <c r="AD357" s="6">
        <f t="shared" si="87"/>
        <v>0</v>
      </c>
      <c r="AE357" s="6">
        <f t="shared" si="88"/>
        <v>-1</v>
      </c>
      <c r="AF357" s="6">
        <f t="shared" si="89"/>
        <v>-4</v>
      </c>
      <c r="AG357" s="6">
        <f t="shared" si="90"/>
        <v>0</v>
      </c>
      <c r="AH357" s="6">
        <f t="shared" si="79"/>
        <v>-5</v>
      </c>
      <c r="AI357" s="3"/>
      <c r="AJ357" s="3" t="e">
        <f>_xlfn.XLOOKUP(K357,工作表1!A:A,工作表1!C:C)</f>
        <v>#N/A</v>
      </c>
      <c r="AK357" s="3"/>
      <c r="AL357" s="6">
        <f t="shared" si="80"/>
        <v>0</v>
      </c>
      <c r="AM357" s="6">
        <f t="shared" si="81"/>
        <v>0</v>
      </c>
      <c r="AN357" s="6">
        <f t="shared" si="82"/>
        <v>0</v>
      </c>
      <c r="AO357" s="6">
        <f t="shared" si="83"/>
        <v>0</v>
      </c>
      <c r="AP357" s="6">
        <f t="shared" si="84"/>
        <v>0</v>
      </c>
      <c r="AQ357" s="6">
        <f t="shared" si="85"/>
        <v>0</v>
      </c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  <c r="BC357" s="6"/>
      <c r="BD357" s="6"/>
      <c r="BE357" s="6"/>
      <c r="BF357" s="6"/>
      <c r="BG357" s="6"/>
      <c r="BH357" s="6"/>
      <c r="BI357" s="6"/>
      <c r="BJ357" s="6"/>
      <c r="BK357" s="6"/>
      <c r="BL357" s="6"/>
      <c r="BM357" s="6"/>
      <c r="BN357" s="6"/>
      <c r="BO357" s="6"/>
      <c r="BP357" s="3">
        <v>5</v>
      </c>
      <c r="BQ357" s="6">
        <f t="shared" si="76"/>
        <v>0</v>
      </c>
    </row>
    <row r="358" spans="1:69" x14ac:dyDescent="0.3">
      <c r="A358" s="3" t="s">
        <v>17</v>
      </c>
      <c r="B358" s="3">
        <v>610</v>
      </c>
      <c r="C358" s="3" t="s">
        <v>599</v>
      </c>
      <c r="D358" s="3">
        <v>1</v>
      </c>
      <c r="E358" s="3" t="s">
        <v>19</v>
      </c>
      <c r="F358" s="3" t="s">
        <v>19</v>
      </c>
      <c r="G358" s="3" t="s">
        <v>19</v>
      </c>
      <c r="H358" s="3" t="s">
        <v>101</v>
      </c>
      <c r="I358" s="3"/>
      <c r="J358" s="3" t="s">
        <v>91</v>
      </c>
      <c r="K358" s="3" t="s">
        <v>601</v>
      </c>
      <c r="L358" s="3" t="s">
        <v>1468</v>
      </c>
      <c r="M358" s="3">
        <v>67</v>
      </c>
      <c r="N358" s="6"/>
      <c r="O358" s="3">
        <v>35</v>
      </c>
      <c r="P358" s="3">
        <v>35</v>
      </c>
      <c r="Q358" s="3">
        <v>0</v>
      </c>
      <c r="R358" s="3">
        <v>5</v>
      </c>
      <c r="S358" s="3">
        <v>10</v>
      </c>
      <c r="T358" s="3">
        <v>20</v>
      </c>
      <c r="U358" s="3">
        <v>0</v>
      </c>
      <c r="V358" s="3">
        <f t="shared" si="77"/>
        <v>35</v>
      </c>
      <c r="W358" s="3">
        <v>0</v>
      </c>
      <c r="X358" s="3">
        <v>5</v>
      </c>
      <c r="Y358" s="3">
        <v>10</v>
      </c>
      <c r="Z358" s="3">
        <v>20</v>
      </c>
      <c r="AA358" s="3">
        <v>0</v>
      </c>
      <c r="AB358" s="3">
        <f t="shared" si="78"/>
        <v>35</v>
      </c>
      <c r="AC358" s="6">
        <f t="shared" si="86"/>
        <v>0</v>
      </c>
      <c r="AD358" s="6">
        <f t="shared" si="87"/>
        <v>-5</v>
      </c>
      <c r="AE358" s="6">
        <f t="shared" si="88"/>
        <v>-10</v>
      </c>
      <c r="AF358" s="6">
        <f t="shared" si="89"/>
        <v>-20</v>
      </c>
      <c r="AG358" s="6">
        <f t="shared" si="90"/>
        <v>0</v>
      </c>
      <c r="AH358" s="6">
        <f t="shared" si="79"/>
        <v>-35</v>
      </c>
      <c r="AI358" s="3"/>
      <c r="AJ358" s="3" t="e">
        <f>_xlfn.XLOOKUP(K358,工作表1!A:A,工作表1!C:C)</f>
        <v>#N/A</v>
      </c>
      <c r="AK358" s="3"/>
      <c r="AL358" s="6">
        <f t="shared" si="80"/>
        <v>0</v>
      </c>
      <c r="AM358" s="6">
        <f t="shared" si="81"/>
        <v>0</v>
      </c>
      <c r="AN358" s="6">
        <f t="shared" si="82"/>
        <v>0</v>
      </c>
      <c r="AO358" s="6">
        <f t="shared" si="83"/>
        <v>0</v>
      </c>
      <c r="AP358" s="6">
        <f t="shared" si="84"/>
        <v>0</v>
      </c>
      <c r="AQ358" s="6">
        <f t="shared" si="85"/>
        <v>0</v>
      </c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  <c r="BC358" s="6"/>
      <c r="BD358" s="6"/>
      <c r="BE358" s="6"/>
      <c r="BF358" s="6"/>
      <c r="BG358" s="6"/>
      <c r="BH358" s="6"/>
      <c r="BI358" s="6"/>
      <c r="BJ358" s="6"/>
      <c r="BK358" s="6"/>
      <c r="BL358" s="6"/>
      <c r="BM358" s="6"/>
      <c r="BN358" s="6"/>
      <c r="BO358" s="6"/>
      <c r="BP358" s="3">
        <v>35</v>
      </c>
      <c r="BQ358" s="6">
        <f t="shared" si="76"/>
        <v>0</v>
      </c>
    </row>
    <row r="359" spans="1:69" x14ac:dyDescent="0.3">
      <c r="A359" s="3" t="s">
        <v>17</v>
      </c>
      <c r="B359" s="3">
        <v>610</v>
      </c>
      <c r="C359" s="3" t="s">
        <v>599</v>
      </c>
      <c r="D359" s="3">
        <v>0.75</v>
      </c>
      <c r="E359" s="3" t="s">
        <v>19</v>
      </c>
      <c r="F359" s="3" t="s">
        <v>19</v>
      </c>
      <c r="G359" s="3" t="s">
        <v>19</v>
      </c>
      <c r="H359" s="3" t="s">
        <v>103</v>
      </c>
      <c r="I359" s="3"/>
      <c r="J359" s="3" t="s">
        <v>91</v>
      </c>
      <c r="K359" s="3" t="s">
        <v>602</v>
      </c>
      <c r="L359" s="3" t="s">
        <v>1468</v>
      </c>
      <c r="M359" s="3">
        <v>85</v>
      </c>
      <c r="N359" s="6"/>
      <c r="O359" s="3">
        <v>20</v>
      </c>
      <c r="P359" s="3">
        <v>20</v>
      </c>
      <c r="Q359" s="3">
        <v>0</v>
      </c>
      <c r="R359" s="3">
        <v>4</v>
      </c>
      <c r="S359" s="3">
        <v>4</v>
      </c>
      <c r="T359" s="3">
        <v>12</v>
      </c>
      <c r="U359" s="3">
        <v>0</v>
      </c>
      <c r="V359" s="3">
        <f t="shared" si="77"/>
        <v>20</v>
      </c>
      <c r="W359" s="3">
        <v>0</v>
      </c>
      <c r="X359" s="3">
        <v>4</v>
      </c>
      <c r="Y359" s="3">
        <v>4</v>
      </c>
      <c r="Z359" s="3">
        <v>12</v>
      </c>
      <c r="AA359" s="3">
        <v>0</v>
      </c>
      <c r="AB359" s="3">
        <f t="shared" si="78"/>
        <v>20</v>
      </c>
      <c r="AC359" s="6">
        <f t="shared" si="86"/>
        <v>0</v>
      </c>
      <c r="AD359" s="6">
        <f t="shared" si="87"/>
        <v>-4</v>
      </c>
      <c r="AE359" s="6">
        <f t="shared" si="88"/>
        <v>-4</v>
      </c>
      <c r="AF359" s="6">
        <f t="shared" si="89"/>
        <v>-12</v>
      </c>
      <c r="AG359" s="6">
        <f t="shared" si="90"/>
        <v>0</v>
      </c>
      <c r="AH359" s="6">
        <f t="shared" si="79"/>
        <v>-20</v>
      </c>
      <c r="AI359" s="3"/>
      <c r="AJ359" s="3" t="e">
        <f>_xlfn.XLOOKUP(K359,工作表1!A:A,工作表1!C:C)</f>
        <v>#N/A</v>
      </c>
      <c r="AK359" s="3"/>
      <c r="AL359" s="6">
        <f t="shared" si="80"/>
        <v>0</v>
      </c>
      <c r="AM359" s="6">
        <f t="shared" si="81"/>
        <v>0</v>
      </c>
      <c r="AN359" s="6">
        <f t="shared" si="82"/>
        <v>0</v>
      </c>
      <c r="AO359" s="6">
        <f t="shared" si="83"/>
        <v>0</v>
      </c>
      <c r="AP359" s="6">
        <f t="shared" si="84"/>
        <v>0</v>
      </c>
      <c r="AQ359" s="6">
        <f t="shared" si="85"/>
        <v>0</v>
      </c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  <c r="BC359" s="6"/>
      <c r="BD359" s="6"/>
      <c r="BE359" s="6"/>
      <c r="BF359" s="6"/>
      <c r="BG359" s="6"/>
      <c r="BH359" s="6"/>
      <c r="BI359" s="6"/>
      <c r="BJ359" s="6"/>
      <c r="BK359" s="6"/>
      <c r="BL359" s="6"/>
      <c r="BM359" s="6"/>
      <c r="BN359" s="6"/>
      <c r="BO359" s="6"/>
      <c r="BP359" s="3">
        <v>20</v>
      </c>
      <c r="BQ359" s="6">
        <f t="shared" si="76"/>
        <v>0</v>
      </c>
    </row>
    <row r="360" spans="1:69" x14ac:dyDescent="0.3">
      <c r="A360" s="3" t="s">
        <v>17</v>
      </c>
      <c r="B360" s="3">
        <v>610</v>
      </c>
      <c r="C360" s="3" t="s">
        <v>603</v>
      </c>
      <c r="D360" s="3">
        <v>1</v>
      </c>
      <c r="E360" s="3" t="s">
        <v>19</v>
      </c>
      <c r="F360" s="3" t="s">
        <v>19</v>
      </c>
      <c r="G360" s="3" t="s">
        <v>19</v>
      </c>
      <c r="H360" s="3" t="s">
        <v>101</v>
      </c>
      <c r="I360" s="3"/>
      <c r="J360" s="3" t="s">
        <v>91</v>
      </c>
      <c r="K360" s="3" t="s">
        <v>604</v>
      </c>
      <c r="L360" s="3" t="s">
        <v>1468</v>
      </c>
      <c r="M360" s="3">
        <v>1</v>
      </c>
      <c r="N360" s="6"/>
      <c r="O360" s="3">
        <v>1</v>
      </c>
      <c r="P360" s="3">
        <v>1</v>
      </c>
      <c r="Q360" s="3">
        <v>0</v>
      </c>
      <c r="R360" s="3">
        <v>1</v>
      </c>
      <c r="S360" s="3">
        <v>0</v>
      </c>
      <c r="T360" s="3">
        <v>0</v>
      </c>
      <c r="U360" s="3">
        <v>0</v>
      </c>
      <c r="V360" s="3">
        <f t="shared" si="77"/>
        <v>1</v>
      </c>
      <c r="W360" s="3">
        <v>0</v>
      </c>
      <c r="X360" s="3">
        <v>1</v>
      </c>
      <c r="Y360" s="3">
        <v>0</v>
      </c>
      <c r="Z360" s="3">
        <v>0</v>
      </c>
      <c r="AA360" s="3">
        <v>0</v>
      </c>
      <c r="AB360" s="3">
        <f t="shared" si="78"/>
        <v>1</v>
      </c>
      <c r="AC360" s="6">
        <f t="shared" si="86"/>
        <v>0</v>
      </c>
      <c r="AD360" s="6">
        <f t="shared" si="87"/>
        <v>-1</v>
      </c>
      <c r="AE360" s="6">
        <f t="shared" si="88"/>
        <v>0</v>
      </c>
      <c r="AF360" s="6">
        <f t="shared" si="89"/>
        <v>0</v>
      </c>
      <c r="AG360" s="6">
        <f t="shared" si="90"/>
        <v>0</v>
      </c>
      <c r="AH360" s="6">
        <f t="shared" si="79"/>
        <v>-1</v>
      </c>
      <c r="AI360" s="3"/>
      <c r="AJ360" s="3" t="e">
        <f>_xlfn.XLOOKUP(K360,工作表1!A:A,工作表1!C:C)</f>
        <v>#N/A</v>
      </c>
      <c r="AK360" s="3"/>
      <c r="AL360" s="6">
        <f t="shared" si="80"/>
        <v>0</v>
      </c>
      <c r="AM360" s="6">
        <f t="shared" si="81"/>
        <v>0</v>
      </c>
      <c r="AN360" s="6">
        <f t="shared" si="82"/>
        <v>0</v>
      </c>
      <c r="AO360" s="6">
        <f t="shared" si="83"/>
        <v>0</v>
      </c>
      <c r="AP360" s="6">
        <f t="shared" si="84"/>
        <v>0</v>
      </c>
      <c r="AQ360" s="6">
        <f t="shared" si="85"/>
        <v>0</v>
      </c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  <c r="BC360" s="6"/>
      <c r="BD360" s="6"/>
      <c r="BE360" s="6"/>
      <c r="BF360" s="6"/>
      <c r="BG360" s="6"/>
      <c r="BH360" s="6"/>
      <c r="BI360" s="6"/>
      <c r="BJ360" s="6"/>
      <c r="BK360" s="6"/>
      <c r="BL360" s="6"/>
      <c r="BM360" s="6"/>
      <c r="BN360" s="6"/>
      <c r="BO360" s="6"/>
      <c r="BP360" s="3">
        <v>1</v>
      </c>
      <c r="BQ360" s="6">
        <f t="shared" si="76"/>
        <v>0</v>
      </c>
    </row>
    <row r="361" spans="1:69" x14ac:dyDescent="0.3">
      <c r="A361" s="3" t="s">
        <v>17</v>
      </c>
      <c r="B361" s="3">
        <v>610</v>
      </c>
      <c r="C361" s="3" t="s">
        <v>603</v>
      </c>
      <c r="D361" s="3">
        <v>0.5</v>
      </c>
      <c r="E361" s="3" t="s">
        <v>19</v>
      </c>
      <c r="F361" s="3" t="s">
        <v>19</v>
      </c>
      <c r="G361" s="3" t="s">
        <v>19</v>
      </c>
      <c r="H361" s="3" t="s">
        <v>105</v>
      </c>
      <c r="I361" s="3"/>
      <c r="J361" s="3" t="s">
        <v>91</v>
      </c>
      <c r="K361" s="3" t="s">
        <v>605</v>
      </c>
      <c r="L361" s="3" t="s">
        <v>1468</v>
      </c>
      <c r="M361" s="3">
        <v>6</v>
      </c>
      <c r="N361" s="6"/>
      <c r="O361" s="3">
        <v>6</v>
      </c>
      <c r="P361" s="3">
        <v>6</v>
      </c>
      <c r="Q361" s="3">
        <v>0</v>
      </c>
      <c r="R361" s="3">
        <v>0</v>
      </c>
      <c r="S361" s="3">
        <v>0</v>
      </c>
      <c r="T361" s="3">
        <v>6</v>
      </c>
      <c r="U361" s="3">
        <v>0</v>
      </c>
      <c r="V361" s="3">
        <f t="shared" si="77"/>
        <v>6</v>
      </c>
      <c r="W361" s="3">
        <v>0</v>
      </c>
      <c r="X361" s="3">
        <v>0</v>
      </c>
      <c r="Y361" s="3">
        <v>0</v>
      </c>
      <c r="Z361" s="3">
        <v>6</v>
      </c>
      <c r="AA361" s="3">
        <v>0</v>
      </c>
      <c r="AB361" s="3">
        <f t="shared" si="78"/>
        <v>6</v>
      </c>
      <c r="AC361" s="6">
        <f t="shared" si="86"/>
        <v>0</v>
      </c>
      <c r="AD361" s="6">
        <f t="shared" si="87"/>
        <v>0</v>
      </c>
      <c r="AE361" s="6">
        <f t="shared" si="88"/>
        <v>0</v>
      </c>
      <c r="AF361" s="6">
        <f t="shared" si="89"/>
        <v>-6</v>
      </c>
      <c r="AG361" s="6">
        <f t="shared" si="90"/>
        <v>0</v>
      </c>
      <c r="AH361" s="6">
        <f t="shared" si="79"/>
        <v>-6</v>
      </c>
      <c r="AI361" s="3"/>
      <c r="AJ361" s="3" t="e">
        <f>_xlfn.XLOOKUP(K361,工作表1!A:A,工作表1!C:C)</f>
        <v>#N/A</v>
      </c>
      <c r="AK361" s="3"/>
      <c r="AL361" s="6">
        <f t="shared" si="80"/>
        <v>0</v>
      </c>
      <c r="AM361" s="6">
        <f t="shared" si="81"/>
        <v>0</v>
      </c>
      <c r="AN361" s="6">
        <f t="shared" si="82"/>
        <v>0</v>
      </c>
      <c r="AO361" s="6">
        <f t="shared" si="83"/>
        <v>0</v>
      </c>
      <c r="AP361" s="6">
        <f t="shared" si="84"/>
        <v>0</v>
      </c>
      <c r="AQ361" s="6">
        <f t="shared" si="85"/>
        <v>0</v>
      </c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  <c r="BC361" s="6"/>
      <c r="BD361" s="6"/>
      <c r="BE361" s="6"/>
      <c r="BF361" s="6"/>
      <c r="BG361" s="6"/>
      <c r="BH361" s="6"/>
      <c r="BI361" s="6"/>
      <c r="BJ361" s="6"/>
      <c r="BK361" s="6"/>
      <c r="BL361" s="6"/>
      <c r="BM361" s="6"/>
      <c r="BN361" s="6"/>
      <c r="BO361" s="6"/>
      <c r="BP361" s="3">
        <v>6</v>
      </c>
      <c r="BQ361" s="6">
        <f t="shared" si="76"/>
        <v>0</v>
      </c>
    </row>
    <row r="362" spans="1:69" x14ac:dyDescent="0.3">
      <c r="A362" s="3" t="s">
        <v>17</v>
      </c>
      <c r="B362" s="3">
        <v>610</v>
      </c>
      <c r="C362" s="3" t="s">
        <v>606</v>
      </c>
      <c r="D362" s="3">
        <v>0.75</v>
      </c>
      <c r="E362" s="3" t="s">
        <v>19</v>
      </c>
      <c r="F362" s="3" t="s">
        <v>19</v>
      </c>
      <c r="G362" s="3" t="s">
        <v>19</v>
      </c>
      <c r="H362" s="3" t="s">
        <v>103</v>
      </c>
      <c r="I362" s="3"/>
      <c r="J362" s="3" t="s">
        <v>91</v>
      </c>
      <c r="K362" s="3" t="s">
        <v>607</v>
      </c>
      <c r="L362" s="3" t="s">
        <v>1468</v>
      </c>
      <c r="M362" s="3">
        <v>32</v>
      </c>
      <c r="N362" s="6"/>
      <c r="O362" s="3">
        <v>21</v>
      </c>
      <c r="P362" s="3">
        <v>21</v>
      </c>
      <c r="Q362" s="3">
        <v>0</v>
      </c>
      <c r="R362" s="3">
        <v>6</v>
      </c>
      <c r="S362" s="3">
        <v>0</v>
      </c>
      <c r="T362" s="3">
        <v>15</v>
      </c>
      <c r="U362" s="3">
        <v>0</v>
      </c>
      <c r="V362" s="3">
        <f t="shared" si="77"/>
        <v>21</v>
      </c>
      <c r="W362" s="3">
        <v>0</v>
      </c>
      <c r="X362" s="3">
        <v>6</v>
      </c>
      <c r="Y362" s="3">
        <v>0</v>
      </c>
      <c r="Z362" s="3">
        <v>15</v>
      </c>
      <c r="AA362" s="3">
        <v>0</v>
      </c>
      <c r="AB362" s="3">
        <f t="shared" si="78"/>
        <v>21</v>
      </c>
      <c r="AC362" s="6">
        <f t="shared" si="86"/>
        <v>0</v>
      </c>
      <c r="AD362" s="6">
        <f t="shared" si="87"/>
        <v>-6</v>
      </c>
      <c r="AE362" s="6">
        <f t="shared" si="88"/>
        <v>0</v>
      </c>
      <c r="AF362" s="6">
        <f t="shared" si="89"/>
        <v>-15</v>
      </c>
      <c r="AG362" s="6">
        <f t="shared" si="90"/>
        <v>0</v>
      </c>
      <c r="AH362" s="6">
        <f t="shared" si="79"/>
        <v>-21</v>
      </c>
      <c r="AI362" s="3"/>
      <c r="AJ362" s="3" t="e">
        <f>_xlfn.XLOOKUP(K362,工作表1!A:A,工作表1!C:C)</f>
        <v>#N/A</v>
      </c>
      <c r="AK362" s="3"/>
      <c r="AL362" s="6">
        <f t="shared" si="80"/>
        <v>0</v>
      </c>
      <c r="AM362" s="6">
        <f t="shared" si="81"/>
        <v>0</v>
      </c>
      <c r="AN362" s="6">
        <f t="shared" si="82"/>
        <v>0</v>
      </c>
      <c r="AO362" s="6">
        <f t="shared" si="83"/>
        <v>0</v>
      </c>
      <c r="AP362" s="6">
        <f t="shared" si="84"/>
        <v>0</v>
      </c>
      <c r="AQ362" s="6">
        <f t="shared" si="85"/>
        <v>0</v>
      </c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  <c r="BC362" s="6"/>
      <c r="BD362" s="6"/>
      <c r="BE362" s="6"/>
      <c r="BF362" s="6"/>
      <c r="BG362" s="6"/>
      <c r="BH362" s="6"/>
      <c r="BI362" s="6"/>
      <c r="BJ362" s="6"/>
      <c r="BK362" s="6"/>
      <c r="BL362" s="6"/>
      <c r="BM362" s="6"/>
      <c r="BN362" s="6"/>
      <c r="BO362" s="6"/>
      <c r="BP362" s="3">
        <v>21</v>
      </c>
      <c r="BQ362" s="6">
        <f t="shared" si="76"/>
        <v>0</v>
      </c>
    </row>
    <row r="363" spans="1:69" x14ac:dyDescent="0.3">
      <c r="A363" s="3" t="s">
        <v>17</v>
      </c>
      <c r="B363" s="3">
        <v>610</v>
      </c>
      <c r="C363" s="3" t="s">
        <v>606</v>
      </c>
      <c r="D363" s="3">
        <v>0.5</v>
      </c>
      <c r="E363" s="3" t="s">
        <v>19</v>
      </c>
      <c r="F363" s="3" t="s">
        <v>19</v>
      </c>
      <c r="G363" s="3" t="s">
        <v>19</v>
      </c>
      <c r="H363" s="3" t="s">
        <v>105</v>
      </c>
      <c r="I363" s="3"/>
      <c r="J363" s="3" t="s">
        <v>91</v>
      </c>
      <c r="K363" s="3" t="s">
        <v>608</v>
      </c>
      <c r="L363" s="3" t="s">
        <v>1468</v>
      </c>
      <c r="M363" s="3">
        <v>11</v>
      </c>
      <c r="N363" s="6"/>
      <c r="O363" s="3">
        <v>6</v>
      </c>
      <c r="P363" s="3">
        <v>6</v>
      </c>
      <c r="Q363" s="3">
        <v>0</v>
      </c>
      <c r="R363" s="3">
        <v>2</v>
      </c>
      <c r="S363" s="3">
        <v>0</v>
      </c>
      <c r="T363" s="3">
        <v>4</v>
      </c>
      <c r="U363" s="3">
        <v>0</v>
      </c>
      <c r="V363" s="3">
        <f t="shared" si="77"/>
        <v>6</v>
      </c>
      <c r="W363" s="3">
        <v>0</v>
      </c>
      <c r="X363" s="3">
        <v>2</v>
      </c>
      <c r="Y363" s="3">
        <v>0</v>
      </c>
      <c r="Z363" s="3">
        <v>4</v>
      </c>
      <c r="AA363" s="3">
        <v>0</v>
      </c>
      <c r="AB363" s="3">
        <f t="shared" si="78"/>
        <v>6</v>
      </c>
      <c r="AC363" s="6">
        <f t="shared" si="86"/>
        <v>0</v>
      </c>
      <c r="AD363" s="6">
        <f t="shared" si="87"/>
        <v>-2</v>
      </c>
      <c r="AE363" s="6">
        <f t="shared" si="88"/>
        <v>0</v>
      </c>
      <c r="AF363" s="6">
        <f t="shared" si="89"/>
        <v>-4</v>
      </c>
      <c r="AG363" s="6">
        <f t="shared" si="90"/>
        <v>0</v>
      </c>
      <c r="AH363" s="6">
        <f t="shared" si="79"/>
        <v>-6</v>
      </c>
      <c r="AI363" s="3"/>
      <c r="AJ363" s="3" t="e">
        <f>_xlfn.XLOOKUP(K363,工作表1!A:A,工作表1!C:C)</f>
        <v>#N/A</v>
      </c>
      <c r="AK363" s="3"/>
      <c r="AL363" s="6">
        <f t="shared" si="80"/>
        <v>0</v>
      </c>
      <c r="AM363" s="6">
        <f t="shared" si="81"/>
        <v>0</v>
      </c>
      <c r="AN363" s="6">
        <f t="shared" si="82"/>
        <v>0</v>
      </c>
      <c r="AO363" s="6">
        <f t="shared" si="83"/>
        <v>0</v>
      </c>
      <c r="AP363" s="6">
        <f t="shared" si="84"/>
        <v>0</v>
      </c>
      <c r="AQ363" s="6">
        <f t="shared" si="85"/>
        <v>0</v>
      </c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  <c r="BC363" s="6"/>
      <c r="BD363" s="6"/>
      <c r="BE363" s="6"/>
      <c r="BF363" s="6"/>
      <c r="BG363" s="6"/>
      <c r="BH363" s="6"/>
      <c r="BI363" s="6"/>
      <c r="BJ363" s="6"/>
      <c r="BK363" s="6"/>
      <c r="BL363" s="6"/>
      <c r="BM363" s="6"/>
      <c r="BN363" s="6"/>
      <c r="BO363" s="6"/>
      <c r="BP363" s="3">
        <v>6</v>
      </c>
      <c r="BQ363" s="6">
        <f t="shared" si="76"/>
        <v>0</v>
      </c>
    </row>
    <row r="364" spans="1:69" x14ac:dyDescent="0.3">
      <c r="A364" s="3" t="s">
        <v>17</v>
      </c>
      <c r="B364" s="3">
        <v>610</v>
      </c>
      <c r="C364" s="3" t="s">
        <v>609</v>
      </c>
      <c r="D364" s="3">
        <v>1</v>
      </c>
      <c r="E364" s="3" t="s">
        <v>19</v>
      </c>
      <c r="F364" s="3" t="s">
        <v>19</v>
      </c>
      <c r="G364" s="3" t="s">
        <v>19</v>
      </c>
      <c r="H364" s="3" t="s">
        <v>101</v>
      </c>
      <c r="I364" s="3"/>
      <c r="J364" s="3" t="s">
        <v>91</v>
      </c>
      <c r="K364" s="3" t="s">
        <v>610</v>
      </c>
      <c r="L364" s="3" t="s">
        <v>1468</v>
      </c>
      <c r="M364" s="3">
        <v>4</v>
      </c>
      <c r="N364" s="6"/>
      <c r="O364" s="3">
        <v>4</v>
      </c>
      <c r="P364" s="3">
        <v>4</v>
      </c>
      <c r="Q364" s="3">
        <v>0</v>
      </c>
      <c r="R364" s="3">
        <v>0</v>
      </c>
      <c r="S364" s="3">
        <v>4</v>
      </c>
      <c r="T364" s="3">
        <v>0</v>
      </c>
      <c r="U364" s="3">
        <v>0</v>
      </c>
      <c r="V364" s="3">
        <f t="shared" si="77"/>
        <v>4</v>
      </c>
      <c r="W364" s="3">
        <v>0</v>
      </c>
      <c r="X364" s="3">
        <v>0</v>
      </c>
      <c r="Y364" s="3">
        <v>4</v>
      </c>
      <c r="Z364" s="3">
        <v>0</v>
      </c>
      <c r="AA364" s="3">
        <v>0</v>
      </c>
      <c r="AB364" s="3">
        <f t="shared" si="78"/>
        <v>4</v>
      </c>
      <c r="AC364" s="6">
        <f t="shared" si="86"/>
        <v>0</v>
      </c>
      <c r="AD364" s="6">
        <f t="shared" si="87"/>
        <v>0</v>
      </c>
      <c r="AE364" s="6">
        <f t="shared" si="88"/>
        <v>-4</v>
      </c>
      <c r="AF364" s="6">
        <f t="shared" si="89"/>
        <v>0</v>
      </c>
      <c r="AG364" s="6">
        <f t="shared" si="90"/>
        <v>0</v>
      </c>
      <c r="AH364" s="6">
        <f t="shared" si="79"/>
        <v>-4</v>
      </c>
      <c r="AI364" s="3"/>
      <c r="AJ364" s="3" t="e">
        <f>_xlfn.XLOOKUP(K364,工作表1!A:A,工作表1!C:C)</f>
        <v>#N/A</v>
      </c>
      <c r="AK364" s="3"/>
      <c r="AL364" s="6">
        <f t="shared" si="80"/>
        <v>0</v>
      </c>
      <c r="AM364" s="6">
        <f t="shared" si="81"/>
        <v>0</v>
      </c>
      <c r="AN364" s="6">
        <f t="shared" si="82"/>
        <v>0</v>
      </c>
      <c r="AO364" s="6">
        <f t="shared" si="83"/>
        <v>0</v>
      </c>
      <c r="AP364" s="6">
        <f t="shared" si="84"/>
        <v>0</v>
      </c>
      <c r="AQ364" s="6">
        <f t="shared" si="85"/>
        <v>0</v>
      </c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  <c r="BC364" s="6"/>
      <c r="BD364" s="6"/>
      <c r="BE364" s="6"/>
      <c r="BF364" s="6"/>
      <c r="BG364" s="6"/>
      <c r="BH364" s="6"/>
      <c r="BI364" s="6"/>
      <c r="BJ364" s="6"/>
      <c r="BK364" s="6"/>
      <c r="BL364" s="6"/>
      <c r="BM364" s="6"/>
      <c r="BN364" s="6"/>
      <c r="BO364" s="6"/>
      <c r="BP364" s="3">
        <v>4</v>
      </c>
      <c r="BQ364" s="6">
        <f t="shared" si="76"/>
        <v>0</v>
      </c>
    </row>
    <row r="365" spans="1:69" x14ac:dyDescent="0.3">
      <c r="A365" s="3" t="s">
        <v>17</v>
      </c>
      <c r="B365" s="3">
        <v>610</v>
      </c>
      <c r="C365" s="3" t="s">
        <v>611</v>
      </c>
      <c r="D365" s="3">
        <v>1</v>
      </c>
      <c r="E365" s="3" t="s">
        <v>19</v>
      </c>
      <c r="F365" s="3" t="s">
        <v>19</v>
      </c>
      <c r="G365" s="3" t="s">
        <v>19</v>
      </c>
      <c r="H365" s="3" t="s">
        <v>101</v>
      </c>
      <c r="I365" s="3"/>
      <c r="J365" s="3" t="s">
        <v>91</v>
      </c>
      <c r="K365" s="3" t="s">
        <v>612</v>
      </c>
      <c r="L365" s="3" t="s">
        <v>1468</v>
      </c>
      <c r="M365" s="3">
        <v>4</v>
      </c>
      <c r="N365" s="6"/>
      <c r="O365" s="3">
        <v>4</v>
      </c>
      <c r="P365" s="3">
        <v>4</v>
      </c>
      <c r="Q365" s="3">
        <v>0</v>
      </c>
      <c r="R365" s="3">
        <v>0</v>
      </c>
      <c r="S365" s="3">
        <v>4</v>
      </c>
      <c r="T365" s="3">
        <v>0</v>
      </c>
      <c r="U365" s="3">
        <v>0</v>
      </c>
      <c r="V365" s="3">
        <f t="shared" si="77"/>
        <v>4</v>
      </c>
      <c r="W365" s="3">
        <v>0</v>
      </c>
      <c r="X365" s="3">
        <v>0</v>
      </c>
      <c r="Y365" s="3">
        <v>4</v>
      </c>
      <c r="Z365" s="3">
        <v>0</v>
      </c>
      <c r="AA365" s="3">
        <v>0</v>
      </c>
      <c r="AB365" s="3">
        <f t="shared" si="78"/>
        <v>4</v>
      </c>
      <c r="AC365" s="6">
        <f t="shared" si="86"/>
        <v>0</v>
      </c>
      <c r="AD365" s="6">
        <f t="shared" si="87"/>
        <v>0</v>
      </c>
      <c r="AE365" s="6">
        <f t="shared" si="88"/>
        <v>-4</v>
      </c>
      <c r="AF365" s="6">
        <f t="shared" si="89"/>
        <v>0</v>
      </c>
      <c r="AG365" s="6">
        <f t="shared" si="90"/>
        <v>0</v>
      </c>
      <c r="AH365" s="6">
        <f t="shared" si="79"/>
        <v>-4</v>
      </c>
      <c r="AI365" s="3"/>
      <c r="AJ365" s="3" t="e">
        <f>_xlfn.XLOOKUP(K365,工作表1!A:A,工作表1!C:C)</f>
        <v>#N/A</v>
      </c>
      <c r="AK365" s="3"/>
      <c r="AL365" s="6">
        <f t="shared" si="80"/>
        <v>0</v>
      </c>
      <c r="AM365" s="6">
        <f t="shared" si="81"/>
        <v>0</v>
      </c>
      <c r="AN365" s="6">
        <f t="shared" si="82"/>
        <v>0</v>
      </c>
      <c r="AO365" s="6">
        <f t="shared" si="83"/>
        <v>0</v>
      </c>
      <c r="AP365" s="6">
        <f t="shared" si="84"/>
        <v>0</v>
      </c>
      <c r="AQ365" s="6">
        <f t="shared" si="85"/>
        <v>0</v>
      </c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  <c r="BC365" s="6"/>
      <c r="BD365" s="6"/>
      <c r="BE365" s="6"/>
      <c r="BF365" s="6"/>
      <c r="BG365" s="6"/>
      <c r="BH365" s="6"/>
      <c r="BI365" s="6"/>
      <c r="BJ365" s="6"/>
      <c r="BK365" s="6"/>
      <c r="BL365" s="6"/>
      <c r="BM365" s="6"/>
      <c r="BN365" s="6"/>
      <c r="BO365" s="6"/>
      <c r="BP365" s="3">
        <v>4</v>
      </c>
      <c r="BQ365" s="6">
        <f t="shared" si="76"/>
        <v>0</v>
      </c>
    </row>
    <row r="366" spans="1:69" x14ac:dyDescent="0.3">
      <c r="A366" s="3" t="s">
        <v>17</v>
      </c>
      <c r="B366" s="3">
        <v>610</v>
      </c>
      <c r="C366" s="3" t="s">
        <v>613</v>
      </c>
      <c r="D366" s="3">
        <v>2</v>
      </c>
      <c r="E366" s="3" t="s">
        <v>19</v>
      </c>
      <c r="F366" s="3" t="s">
        <v>19</v>
      </c>
      <c r="G366" s="3" t="s">
        <v>19</v>
      </c>
      <c r="H366" s="3" t="s">
        <v>340</v>
      </c>
      <c r="I366" s="3"/>
      <c r="J366" s="3" t="s">
        <v>91</v>
      </c>
      <c r="K366" s="3" t="s">
        <v>614</v>
      </c>
      <c r="L366" s="3" t="s">
        <v>1468</v>
      </c>
      <c r="M366" s="3">
        <v>6</v>
      </c>
      <c r="N366" s="6"/>
      <c r="O366" s="3">
        <v>4</v>
      </c>
      <c r="P366" s="3">
        <v>4</v>
      </c>
      <c r="Q366" s="3">
        <v>0</v>
      </c>
      <c r="R366" s="3">
        <v>0</v>
      </c>
      <c r="S366" s="3">
        <v>4</v>
      </c>
      <c r="T366" s="3">
        <v>0</v>
      </c>
      <c r="U366" s="3">
        <v>0</v>
      </c>
      <c r="V366" s="3">
        <f t="shared" si="77"/>
        <v>4</v>
      </c>
      <c r="W366" s="3">
        <v>0</v>
      </c>
      <c r="X366" s="3">
        <v>0</v>
      </c>
      <c r="Y366" s="3">
        <v>4</v>
      </c>
      <c r="Z366" s="3">
        <v>0</v>
      </c>
      <c r="AA366" s="3">
        <v>0</v>
      </c>
      <c r="AB366" s="3">
        <f t="shared" si="78"/>
        <v>4</v>
      </c>
      <c r="AC366" s="6">
        <f t="shared" si="86"/>
        <v>0</v>
      </c>
      <c r="AD366" s="6">
        <f t="shared" si="87"/>
        <v>0</v>
      </c>
      <c r="AE366" s="6">
        <f t="shared" si="88"/>
        <v>-4</v>
      </c>
      <c r="AF366" s="6">
        <f t="shared" si="89"/>
        <v>0</v>
      </c>
      <c r="AG366" s="6">
        <f t="shared" si="90"/>
        <v>0</v>
      </c>
      <c r="AH366" s="6">
        <f t="shared" si="79"/>
        <v>-4</v>
      </c>
      <c r="AI366" s="3"/>
      <c r="AJ366" s="3" t="e">
        <f>_xlfn.XLOOKUP(K366,工作表1!A:A,工作表1!C:C)</f>
        <v>#N/A</v>
      </c>
      <c r="AK366" s="3"/>
      <c r="AL366" s="6">
        <f t="shared" si="80"/>
        <v>0</v>
      </c>
      <c r="AM366" s="6">
        <f t="shared" si="81"/>
        <v>0</v>
      </c>
      <c r="AN366" s="6">
        <f t="shared" si="82"/>
        <v>0</v>
      </c>
      <c r="AO366" s="6">
        <f t="shared" si="83"/>
        <v>0</v>
      </c>
      <c r="AP366" s="6">
        <f t="shared" si="84"/>
        <v>0</v>
      </c>
      <c r="AQ366" s="6">
        <f t="shared" si="85"/>
        <v>0</v>
      </c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  <c r="BC366" s="6"/>
      <c r="BD366" s="6"/>
      <c r="BE366" s="6"/>
      <c r="BF366" s="6"/>
      <c r="BG366" s="6"/>
      <c r="BH366" s="6"/>
      <c r="BI366" s="6"/>
      <c r="BJ366" s="6"/>
      <c r="BK366" s="6"/>
      <c r="BL366" s="6"/>
      <c r="BM366" s="6"/>
      <c r="BN366" s="6"/>
      <c r="BO366" s="6"/>
      <c r="BP366" s="3">
        <v>4</v>
      </c>
      <c r="BQ366" s="6">
        <f t="shared" si="76"/>
        <v>0</v>
      </c>
    </row>
    <row r="367" spans="1:69" x14ac:dyDescent="0.3">
      <c r="A367" s="3" t="s">
        <v>17</v>
      </c>
      <c r="B367" s="3">
        <v>610</v>
      </c>
      <c r="C367" s="3" t="s">
        <v>615</v>
      </c>
      <c r="D367" s="3">
        <v>1.5</v>
      </c>
      <c r="E367" s="3" t="s">
        <v>19</v>
      </c>
      <c r="F367" s="3" t="s">
        <v>19</v>
      </c>
      <c r="G367" s="3" t="s">
        <v>19</v>
      </c>
      <c r="H367" s="3" t="s">
        <v>99</v>
      </c>
      <c r="I367" s="3"/>
      <c r="J367" s="3" t="s">
        <v>91</v>
      </c>
      <c r="K367" s="3" t="s">
        <v>616</v>
      </c>
      <c r="L367" s="3" t="s">
        <v>1468</v>
      </c>
      <c r="M367" s="3">
        <v>4</v>
      </c>
      <c r="N367" s="6"/>
      <c r="O367" s="3">
        <v>4</v>
      </c>
      <c r="P367" s="3">
        <v>4</v>
      </c>
      <c r="Q367" s="3">
        <v>0</v>
      </c>
      <c r="R367" s="3">
        <v>0</v>
      </c>
      <c r="S367" s="3">
        <v>4</v>
      </c>
      <c r="T367" s="3">
        <v>0</v>
      </c>
      <c r="U367" s="3">
        <v>0</v>
      </c>
      <c r="V367" s="3">
        <f t="shared" si="77"/>
        <v>4</v>
      </c>
      <c r="W367" s="3">
        <v>0</v>
      </c>
      <c r="X367" s="3">
        <v>0</v>
      </c>
      <c r="Y367" s="3">
        <v>4</v>
      </c>
      <c r="Z367" s="3">
        <v>0</v>
      </c>
      <c r="AA367" s="3">
        <v>0</v>
      </c>
      <c r="AB367" s="3">
        <f t="shared" si="78"/>
        <v>4</v>
      </c>
      <c r="AC367" s="6">
        <f t="shared" si="86"/>
        <v>0</v>
      </c>
      <c r="AD367" s="6">
        <f t="shared" si="87"/>
        <v>0</v>
      </c>
      <c r="AE367" s="6">
        <f t="shared" si="88"/>
        <v>-4</v>
      </c>
      <c r="AF367" s="6">
        <f t="shared" si="89"/>
        <v>0</v>
      </c>
      <c r="AG367" s="6">
        <f t="shared" si="90"/>
        <v>0</v>
      </c>
      <c r="AH367" s="6">
        <f t="shared" si="79"/>
        <v>-4</v>
      </c>
      <c r="AI367" s="3"/>
      <c r="AJ367" s="3" t="e">
        <f>_xlfn.XLOOKUP(K367,工作表1!A:A,工作表1!C:C)</f>
        <v>#N/A</v>
      </c>
      <c r="AK367" s="3"/>
      <c r="AL367" s="6">
        <f t="shared" si="80"/>
        <v>0</v>
      </c>
      <c r="AM367" s="6">
        <f t="shared" si="81"/>
        <v>0</v>
      </c>
      <c r="AN367" s="6">
        <f t="shared" si="82"/>
        <v>0</v>
      </c>
      <c r="AO367" s="6">
        <f t="shared" si="83"/>
        <v>0</v>
      </c>
      <c r="AP367" s="6">
        <f t="shared" si="84"/>
        <v>0</v>
      </c>
      <c r="AQ367" s="6">
        <f t="shared" si="85"/>
        <v>0</v>
      </c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  <c r="BC367" s="6"/>
      <c r="BD367" s="6"/>
      <c r="BE367" s="6"/>
      <c r="BF367" s="6"/>
      <c r="BG367" s="6"/>
      <c r="BH367" s="6"/>
      <c r="BI367" s="6"/>
      <c r="BJ367" s="6"/>
      <c r="BK367" s="6"/>
      <c r="BL367" s="6"/>
      <c r="BM367" s="6"/>
      <c r="BN367" s="6"/>
      <c r="BO367" s="6"/>
      <c r="BP367" s="3">
        <v>4</v>
      </c>
      <c r="BQ367" s="6">
        <f t="shared" si="76"/>
        <v>0</v>
      </c>
    </row>
    <row r="368" spans="1:69" x14ac:dyDescent="0.3">
      <c r="A368" s="3" t="s">
        <v>17</v>
      </c>
      <c r="B368" s="3">
        <v>610</v>
      </c>
      <c r="C368" s="3" t="s">
        <v>615</v>
      </c>
      <c r="D368" s="3">
        <v>1</v>
      </c>
      <c r="E368" s="3" t="s">
        <v>19</v>
      </c>
      <c r="F368" s="3" t="s">
        <v>19</v>
      </c>
      <c r="G368" s="3" t="s">
        <v>19</v>
      </c>
      <c r="H368" s="3" t="s">
        <v>101</v>
      </c>
      <c r="I368" s="3"/>
      <c r="J368" s="3" t="s">
        <v>91</v>
      </c>
      <c r="K368" s="3" t="s">
        <v>617</v>
      </c>
      <c r="L368" s="3" t="s">
        <v>1468</v>
      </c>
      <c r="M368" s="3">
        <v>3</v>
      </c>
      <c r="N368" s="6"/>
      <c r="O368" s="3">
        <v>2</v>
      </c>
      <c r="P368" s="3">
        <v>2</v>
      </c>
      <c r="Q368" s="3">
        <v>0</v>
      </c>
      <c r="R368" s="3">
        <v>0</v>
      </c>
      <c r="S368" s="3">
        <v>2</v>
      </c>
      <c r="T368" s="3">
        <v>0</v>
      </c>
      <c r="U368" s="3">
        <v>0</v>
      </c>
      <c r="V368" s="3">
        <f t="shared" si="77"/>
        <v>2</v>
      </c>
      <c r="W368" s="3">
        <v>0</v>
      </c>
      <c r="X368" s="3">
        <v>0</v>
      </c>
      <c r="Y368" s="3">
        <v>2</v>
      </c>
      <c r="Z368" s="3">
        <v>0</v>
      </c>
      <c r="AA368" s="3">
        <v>0</v>
      </c>
      <c r="AB368" s="3">
        <f t="shared" si="78"/>
        <v>2</v>
      </c>
      <c r="AC368" s="6">
        <f t="shared" si="86"/>
        <v>0</v>
      </c>
      <c r="AD368" s="6">
        <f t="shared" si="87"/>
        <v>0</v>
      </c>
      <c r="AE368" s="6">
        <f t="shared" si="88"/>
        <v>-2</v>
      </c>
      <c r="AF368" s="6">
        <f t="shared" si="89"/>
        <v>0</v>
      </c>
      <c r="AG368" s="6">
        <f t="shared" si="90"/>
        <v>0</v>
      </c>
      <c r="AH368" s="6">
        <f t="shared" si="79"/>
        <v>-2</v>
      </c>
      <c r="AI368" s="3"/>
      <c r="AJ368" s="3" t="e">
        <f>_xlfn.XLOOKUP(K368,工作表1!A:A,工作表1!C:C)</f>
        <v>#N/A</v>
      </c>
      <c r="AK368" s="3"/>
      <c r="AL368" s="6">
        <f t="shared" si="80"/>
        <v>0</v>
      </c>
      <c r="AM368" s="6">
        <f t="shared" si="81"/>
        <v>0</v>
      </c>
      <c r="AN368" s="6">
        <f t="shared" si="82"/>
        <v>0</v>
      </c>
      <c r="AO368" s="6">
        <f t="shared" si="83"/>
        <v>0</v>
      </c>
      <c r="AP368" s="6">
        <f t="shared" si="84"/>
        <v>0</v>
      </c>
      <c r="AQ368" s="6">
        <f t="shared" si="85"/>
        <v>0</v>
      </c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  <c r="BC368" s="6"/>
      <c r="BD368" s="6"/>
      <c r="BE368" s="6"/>
      <c r="BF368" s="6"/>
      <c r="BG368" s="6"/>
      <c r="BH368" s="6"/>
      <c r="BI368" s="6"/>
      <c r="BJ368" s="6"/>
      <c r="BK368" s="6"/>
      <c r="BL368" s="6"/>
      <c r="BM368" s="6"/>
      <c r="BN368" s="6"/>
      <c r="BO368" s="6"/>
      <c r="BP368" s="3">
        <v>2</v>
      </c>
      <c r="BQ368" s="6">
        <f t="shared" si="76"/>
        <v>0</v>
      </c>
    </row>
    <row r="369" spans="1:69" x14ac:dyDescent="0.3">
      <c r="A369" s="3" t="s">
        <v>17</v>
      </c>
      <c r="B369" s="3">
        <v>610</v>
      </c>
      <c r="C369" s="3" t="s">
        <v>618</v>
      </c>
      <c r="D369" s="3">
        <v>0.75</v>
      </c>
      <c r="E369" s="3" t="s">
        <v>19</v>
      </c>
      <c r="F369" s="3" t="s">
        <v>19</v>
      </c>
      <c r="G369" s="3" t="s">
        <v>19</v>
      </c>
      <c r="H369" s="3" t="s">
        <v>103</v>
      </c>
      <c r="I369" s="3"/>
      <c r="J369" s="3" t="s">
        <v>91</v>
      </c>
      <c r="K369" s="3" t="s">
        <v>619</v>
      </c>
      <c r="L369" s="3" t="s">
        <v>1468</v>
      </c>
      <c r="M369" s="3">
        <v>17</v>
      </c>
      <c r="N369" s="6"/>
      <c r="O369" s="3">
        <v>9</v>
      </c>
      <c r="P369" s="3">
        <v>9</v>
      </c>
      <c r="Q369" s="3">
        <v>0</v>
      </c>
      <c r="R369" s="3">
        <v>0</v>
      </c>
      <c r="S369" s="3">
        <v>9</v>
      </c>
      <c r="T369" s="3">
        <v>0</v>
      </c>
      <c r="U369" s="3">
        <v>0</v>
      </c>
      <c r="V369" s="3">
        <f t="shared" si="77"/>
        <v>9</v>
      </c>
      <c r="W369" s="3">
        <v>0</v>
      </c>
      <c r="X369" s="3">
        <v>0</v>
      </c>
      <c r="Y369" s="3">
        <v>9</v>
      </c>
      <c r="Z369" s="3">
        <v>0</v>
      </c>
      <c r="AA369" s="3">
        <v>0</v>
      </c>
      <c r="AB369" s="3">
        <f t="shared" si="78"/>
        <v>9</v>
      </c>
      <c r="AC369" s="6">
        <f t="shared" si="86"/>
        <v>0</v>
      </c>
      <c r="AD369" s="6">
        <f t="shared" si="87"/>
        <v>0</v>
      </c>
      <c r="AE369" s="6">
        <f t="shared" si="88"/>
        <v>-9</v>
      </c>
      <c r="AF369" s="6">
        <f t="shared" si="89"/>
        <v>0</v>
      </c>
      <c r="AG369" s="6">
        <f t="shared" si="90"/>
        <v>0</v>
      </c>
      <c r="AH369" s="6">
        <f t="shared" si="79"/>
        <v>-9</v>
      </c>
      <c r="AI369" s="3"/>
      <c r="AJ369" s="3" t="e">
        <f>_xlfn.XLOOKUP(K369,工作表1!A:A,工作表1!C:C)</f>
        <v>#N/A</v>
      </c>
      <c r="AK369" s="3"/>
      <c r="AL369" s="6">
        <f t="shared" si="80"/>
        <v>0</v>
      </c>
      <c r="AM369" s="6">
        <f t="shared" si="81"/>
        <v>0</v>
      </c>
      <c r="AN369" s="6">
        <f t="shared" si="82"/>
        <v>0</v>
      </c>
      <c r="AO369" s="6">
        <f t="shared" si="83"/>
        <v>0</v>
      </c>
      <c r="AP369" s="6">
        <f t="shared" si="84"/>
        <v>0</v>
      </c>
      <c r="AQ369" s="6">
        <f t="shared" si="85"/>
        <v>0</v>
      </c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  <c r="BC369" s="6"/>
      <c r="BD369" s="6"/>
      <c r="BE369" s="6"/>
      <c r="BF369" s="6"/>
      <c r="BG369" s="6"/>
      <c r="BH369" s="6"/>
      <c r="BI369" s="6"/>
      <c r="BJ369" s="6"/>
      <c r="BK369" s="6"/>
      <c r="BL369" s="6"/>
      <c r="BM369" s="6"/>
      <c r="BN369" s="6"/>
      <c r="BO369" s="6"/>
      <c r="BP369" s="3">
        <v>9</v>
      </c>
      <c r="BQ369" s="6">
        <f t="shared" si="76"/>
        <v>0</v>
      </c>
    </row>
    <row r="370" spans="1:69" x14ac:dyDescent="0.3">
      <c r="A370" s="3" t="s">
        <v>17</v>
      </c>
      <c r="B370" s="3">
        <v>610</v>
      </c>
      <c r="C370" s="3" t="s">
        <v>618</v>
      </c>
      <c r="D370" s="3">
        <v>0.5</v>
      </c>
      <c r="E370" s="3" t="s">
        <v>19</v>
      </c>
      <c r="F370" s="3" t="s">
        <v>19</v>
      </c>
      <c r="G370" s="3" t="s">
        <v>19</v>
      </c>
      <c r="H370" s="3" t="s">
        <v>105</v>
      </c>
      <c r="I370" s="3"/>
      <c r="J370" s="3" t="s">
        <v>91</v>
      </c>
      <c r="K370" s="3" t="s">
        <v>620</v>
      </c>
      <c r="L370" s="3" t="s">
        <v>1468</v>
      </c>
      <c r="M370" s="3">
        <v>8</v>
      </c>
      <c r="N370" s="6"/>
      <c r="O370" s="3">
        <v>4</v>
      </c>
      <c r="P370" s="3">
        <v>4</v>
      </c>
      <c r="Q370" s="3">
        <v>0</v>
      </c>
      <c r="R370" s="3">
        <v>0</v>
      </c>
      <c r="S370" s="3">
        <v>4</v>
      </c>
      <c r="T370" s="3">
        <v>0</v>
      </c>
      <c r="U370" s="3">
        <v>0</v>
      </c>
      <c r="V370" s="3">
        <f t="shared" si="77"/>
        <v>4</v>
      </c>
      <c r="W370" s="3">
        <v>0</v>
      </c>
      <c r="X370" s="3">
        <v>0</v>
      </c>
      <c r="Y370" s="3">
        <v>4</v>
      </c>
      <c r="Z370" s="3">
        <v>0</v>
      </c>
      <c r="AA370" s="3">
        <v>0</v>
      </c>
      <c r="AB370" s="3">
        <f t="shared" si="78"/>
        <v>4</v>
      </c>
      <c r="AC370" s="6">
        <f t="shared" si="86"/>
        <v>0</v>
      </c>
      <c r="AD370" s="6">
        <f t="shared" si="87"/>
        <v>0</v>
      </c>
      <c r="AE370" s="6">
        <f t="shared" si="88"/>
        <v>-4</v>
      </c>
      <c r="AF370" s="6">
        <f t="shared" si="89"/>
        <v>0</v>
      </c>
      <c r="AG370" s="6">
        <f t="shared" si="90"/>
        <v>0</v>
      </c>
      <c r="AH370" s="6">
        <f t="shared" si="79"/>
        <v>-4</v>
      </c>
      <c r="AI370" s="3"/>
      <c r="AJ370" s="3" t="e">
        <f>_xlfn.XLOOKUP(K370,工作表1!A:A,工作表1!C:C)</f>
        <v>#N/A</v>
      </c>
      <c r="AK370" s="3"/>
      <c r="AL370" s="6">
        <f t="shared" si="80"/>
        <v>0</v>
      </c>
      <c r="AM370" s="6">
        <f t="shared" si="81"/>
        <v>0</v>
      </c>
      <c r="AN370" s="6">
        <f t="shared" si="82"/>
        <v>0</v>
      </c>
      <c r="AO370" s="6">
        <f t="shared" si="83"/>
        <v>0</v>
      </c>
      <c r="AP370" s="6">
        <f t="shared" si="84"/>
        <v>0</v>
      </c>
      <c r="AQ370" s="6">
        <f t="shared" si="85"/>
        <v>0</v>
      </c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  <c r="BC370" s="6"/>
      <c r="BD370" s="6"/>
      <c r="BE370" s="6"/>
      <c r="BF370" s="6"/>
      <c r="BG370" s="6"/>
      <c r="BH370" s="6"/>
      <c r="BI370" s="6"/>
      <c r="BJ370" s="6"/>
      <c r="BK370" s="6"/>
      <c r="BL370" s="6"/>
      <c r="BM370" s="6"/>
      <c r="BN370" s="6"/>
      <c r="BO370" s="6"/>
      <c r="BP370" s="3">
        <v>4</v>
      </c>
      <c r="BQ370" s="6">
        <f t="shared" si="76"/>
        <v>0</v>
      </c>
    </row>
    <row r="371" spans="1:69" x14ac:dyDescent="0.3">
      <c r="A371" s="3" t="s">
        <v>17</v>
      </c>
      <c r="B371" s="3">
        <v>620</v>
      </c>
      <c r="C371" s="3" t="s">
        <v>1469</v>
      </c>
      <c r="D371" s="3">
        <v>0.75</v>
      </c>
      <c r="E371" s="3" t="s">
        <v>19</v>
      </c>
      <c r="F371" s="3" t="s">
        <v>19</v>
      </c>
      <c r="G371" s="3" t="s">
        <v>19</v>
      </c>
      <c r="H371" s="3" t="s">
        <v>103</v>
      </c>
      <c r="I371" s="3"/>
      <c r="J371" s="3" t="s">
        <v>91</v>
      </c>
      <c r="K371" s="3" t="s">
        <v>621</v>
      </c>
      <c r="L371" s="3" t="s">
        <v>1468</v>
      </c>
      <c r="M371" s="3">
        <v>18</v>
      </c>
      <c r="N371" s="6"/>
      <c r="O371" s="3">
        <v>16</v>
      </c>
      <c r="P371" s="3">
        <v>16</v>
      </c>
      <c r="Q371" s="3">
        <v>0</v>
      </c>
      <c r="R371" s="3">
        <v>0</v>
      </c>
      <c r="S371" s="3">
        <v>16</v>
      </c>
      <c r="T371" s="3">
        <v>0</v>
      </c>
      <c r="U371" s="3">
        <v>0</v>
      </c>
      <c r="V371" s="3">
        <f t="shared" si="77"/>
        <v>16</v>
      </c>
      <c r="W371" s="3">
        <v>0</v>
      </c>
      <c r="X371" s="3">
        <v>0</v>
      </c>
      <c r="Y371" s="3">
        <v>16</v>
      </c>
      <c r="Z371" s="3">
        <v>0</v>
      </c>
      <c r="AA371" s="3">
        <v>0</v>
      </c>
      <c r="AB371" s="3">
        <f t="shared" si="78"/>
        <v>16</v>
      </c>
      <c r="AC371" s="6">
        <f t="shared" si="86"/>
        <v>0</v>
      </c>
      <c r="AD371" s="6">
        <f t="shared" si="87"/>
        <v>0</v>
      </c>
      <c r="AE371" s="6">
        <f t="shared" si="88"/>
        <v>-16</v>
      </c>
      <c r="AF371" s="6">
        <f t="shared" si="89"/>
        <v>0</v>
      </c>
      <c r="AG371" s="6">
        <f t="shared" si="90"/>
        <v>0</v>
      </c>
      <c r="AH371" s="6">
        <f t="shared" si="79"/>
        <v>-16</v>
      </c>
      <c r="AI371" s="3"/>
      <c r="AJ371" s="3" t="e">
        <f>_xlfn.XLOOKUP(K371,工作表1!A:A,工作表1!C:C)</f>
        <v>#N/A</v>
      </c>
      <c r="AK371" s="3"/>
      <c r="AL371" s="6">
        <f t="shared" si="80"/>
        <v>0</v>
      </c>
      <c r="AM371" s="6">
        <f t="shared" si="81"/>
        <v>0</v>
      </c>
      <c r="AN371" s="6">
        <f t="shared" si="82"/>
        <v>0</v>
      </c>
      <c r="AO371" s="6">
        <f t="shared" si="83"/>
        <v>0</v>
      </c>
      <c r="AP371" s="6">
        <f t="shared" si="84"/>
        <v>0</v>
      </c>
      <c r="AQ371" s="6">
        <f t="shared" si="85"/>
        <v>0</v>
      </c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  <c r="BC371" s="6"/>
      <c r="BD371" s="6"/>
      <c r="BE371" s="6"/>
      <c r="BF371" s="6"/>
      <c r="BG371" s="6"/>
      <c r="BH371" s="6"/>
      <c r="BI371" s="6"/>
      <c r="BJ371" s="6"/>
      <c r="BK371" s="6"/>
      <c r="BL371" s="6"/>
      <c r="BM371" s="6"/>
      <c r="BN371" s="6"/>
      <c r="BO371" s="6"/>
      <c r="BP371" s="3">
        <v>16</v>
      </c>
      <c r="BQ371" s="6">
        <f t="shared" si="76"/>
        <v>0</v>
      </c>
    </row>
    <row r="372" spans="1:69" x14ac:dyDescent="0.3">
      <c r="A372" s="3" t="s">
        <v>17</v>
      </c>
      <c r="B372" s="3">
        <v>620</v>
      </c>
      <c r="C372" s="3" t="s">
        <v>622</v>
      </c>
      <c r="D372" s="3">
        <v>0.75</v>
      </c>
      <c r="E372" s="3" t="s">
        <v>19</v>
      </c>
      <c r="F372" s="3" t="s">
        <v>19</v>
      </c>
      <c r="G372" s="3" t="s">
        <v>19</v>
      </c>
      <c r="H372" s="3" t="s">
        <v>103</v>
      </c>
      <c r="I372" s="3"/>
      <c r="J372" s="3" t="s">
        <v>91</v>
      </c>
      <c r="K372" s="3" t="s">
        <v>623</v>
      </c>
      <c r="L372" s="3" t="s">
        <v>1468</v>
      </c>
      <c r="M372" s="3">
        <v>1</v>
      </c>
      <c r="N372" s="6"/>
      <c r="O372" s="3">
        <v>1</v>
      </c>
      <c r="P372" s="3">
        <v>1</v>
      </c>
      <c r="Q372" s="3">
        <v>0</v>
      </c>
      <c r="R372" s="3">
        <v>0</v>
      </c>
      <c r="S372" s="3">
        <v>1</v>
      </c>
      <c r="T372" s="3">
        <v>0</v>
      </c>
      <c r="U372" s="3">
        <v>0</v>
      </c>
      <c r="V372" s="3">
        <f t="shared" si="77"/>
        <v>1</v>
      </c>
      <c r="W372" s="3">
        <v>0</v>
      </c>
      <c r="X372" s="3">
        <v>0</v>
      </c>
      <c r="Y372" s="3">
        <v>1</v>
      </c>
      <c r="Z372" s="3">
        <v>0</v>
      </c>
      <c r="AA372" s="3">
        <v>0</v>
      </c>
      <c r="AB372" s="3">
        <f t="shared" si="78"/>
        <v>1</v>
      </c>
      <c r="AC372" s="6">
        <f t="shared" si="86"/>
        <v>0</v>
      </c>
      <c r="AD372" s="6">
        <f t="shared" si="87"/>
        <v>0</v>
      </c>
      <c r="AE372" s="6">
        <f t="shared" si="88"/>
        <v>-1</v>
      </c>
      <c r="AF372" s="6">
        <f t="shared" si="89"/>
        <v>0</v>
      </c>
      <c r="AG372" s="6">
        <f t="shared" si="90"/>
        <v>0</v>
      </c>
      <c r="AH372" s="6">
        <f t="shared" si="79"/>
        <v>-1</v>
      </c>
      <c r="AI372" s="3"/>
      <c r="AJ372" s="3" t="e">
        <f>_xlfn.XLOOKUP(K372,工作表1!A:A,工作表1!C:C)</f>
        <v>#N/A</v>
      </c>
      <c r="AK372" s="3"/>
      <c r="AL372" s="6">
        <f t="shared" si="80"/>
        <v>0</v>
      </c>
      <c r="AM372" s="6">
        <f t="shared" si="81"/>
        <v>0</v>
      </c>
      <c r="AN372" s="6">
        <f t="shared" si="82"/>
        <v>0</v>
      </c>
      <c r="AO372" s="6">
        <f t="shared" si="83"/>
        <v>0</v>
      </c>
      <c r="AP372" s="6">
        <f t="shared" si="84"/>
        <v>0</v>
      </c>
      <c r="AQ372" s="6">
        <f t="shared" si="85"/>
        <v>0</v>
      </c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  <c r="BC372" s="6"/>
      <c r="BD372" s="6"/>
      <c r="BE372" s="6"/>
      <c r="BF372" s="6"/>
      <c r="BG372" s="6"/>
      <c r="BH372" s="6"/>
      <c r="BI372" s="6"/>
      <c r="BJ372" s="6"/>
      <c r="BK372" s="6"/>
      <c r="BL372" s="6"/>
      <c r="BM372" s="6"/>
      <c r="BN372" s="6"/>
      <c r="BO372" s="6"/>
      <c r="BP372" s="3">
        <v>1</v>
      </c>
      <c r="BQ372" s="6">
        <f t="shared" si="76"/>
        <v>0</v>
      </c>
    </row>
    <row r="373" spans="1:69" x14ac:dyDescent="0.3">
      <c r="A373" s="3" t="s">
        <v>17</v>
      </c>
      <c r="B373" s="3">
        <v>620</v>
      </c>
      <c r="C373" s="3" t="s">
        <v>624</v>
      </c>
      <c r="D373" s="3">
        <v>2</v>
      </c>
      <c r="E373" s="3" t="s">
        <v>19</v>
      </c>
      <c r="F373" s="3" t="s">
        <v>19</v>
      </c>
      <c r="G373" s="3" t="s">
        <v>19</v>
      </c>
      <c r="H373" s="3" t="s">
        <v>340</v>
      </c>
      <c r="I373" s="3"/>
      <c r="J373" s="3" t="s">
        <v>91</v>
      </c>
      <c r="K373" s="3" t="s">
        <v>625</v>
      </c>
      <c r="L373" s="3" t="s">
        <v>1468</v>
      </c>
      <c r="M373" s="3">
        <v>5</v>
      </c>
      <c r="N373" s="6"/>
      <c r="O373" s="3">
        <v>5</v>
      </c>
      <c r="P373" s="3">
        <v>5</v>
      </c>
      <c r="Q373" s="3">
        <v>0</v>
      </c>
      <c r="R373" s="3">
        <v>0</v>
      </c>
      <c r="S373" s="3">
        <v>5</v>
      </c>
      <c r="T373" s="3">
        <v>0</v>
      </c>
      <c r="U373" s="3">
        <v>0</v>
      </c>
      <c r="V373" s="3">
        <f t="shared" si="77"/>
        <v>5</v>
      </c>
      <c r="W373" s="3">
        <v>0</v>
      </c>
      <c r="X373" s="3">
        <v>0</v>
      </c>
      <c r="Y373" s="3">
        <v>5</v>
      </c>
      <c r="Z373" s="3">
        <v>0</v>
      </c>
      <c r="AA373" s="3">
        <v>0</v>
      </c>
      <c r="AB373" s="3">
        <f t="shared" si="78"/>
        <v>5</v>
      </c>
      <c r="AC373" s="6">
        <f t="shared" si="86"/>
        <v>0</v>
      </c>
      <c r="AD373" s="6">
        <f t="shared" si="87"/>
        <v>0</v>
      </c>
      <c r="AE373" s="6">
        <f t="shared" si="88"/>
        <v>-5</v>
      </c>
      <c r="AF373" s="6">
        <f t="shared" si="89"/>
        <v>0</v>
      </c>
      <c r="AG373" s="6">
        <f t="shared" si="90"/>
        <v>0</v>
      </c>
      <c r="AH373" s="6">
        <f t="shared" si="79"/>
        <v>-5</v>
      </c>
      <c r="AI373" s="3"/>
      <c r="AJ373" s="3" t="e">
        <f>_xlfn.XLOOKUP(K373,工作表1!A:A,工作表1!C:C)</f>
        <v>#N/A</v>
      </c>
      <c r="AK373" s="3"/>
      <c r="AL373" s="6">
        <f t="shared" si="80"/>
        <v>0</v>
      </c>
      <c r="AM373" s="6">
        <f t="shared" si="81"/>
        <v>0</v>
      </c>
      <c r="AN373" s="6">
        <f t="shared" si="82"/>
        <v>0</v>
      </c>
      <c r="AO373" s="6">
        <f t="shared" si="83"/>
        <v>0</v>
      </c>
      <c r="AP373" s="6">
        <f t="shared" si="84"/>
        <v>0</v>
      </c>
      <c r="AQ373" s="6">
        <f t="shared" si="85"/>
        <v>0</v>
      </c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  <c r="BC373" s="6"/>
      <c r="BD373" s="6"/>
      <c r="BE373" s="6"/>
      <c r="BF373" s="6"/>
      <c r="BG373" s="6"/>
      <c r="BH373" s="6"/>
      <c r="BI373" s="6"/>
      <c r="BJ373" s="6"/>
      <c r="BK373" s="6"/>
      <c r="BL373" s="6"/>
      <c r="BM373" s="6"/>
      <c r="BN373" s="6"/>
      <c r="BO373" s="6"/>
      <c r="BP373" s="3">
        <v>5</v>
      </c>
      <c r="BQ373" s="6">
        <f t="shared" si="76"/>
        <v>0</v>
      </c>
    </row>
    <row r="374" spans="1:69" x14ac:dyDescent="0.3">
      <c r="A374" s="3" t="s">
        <v>17</v>
      </c>
      <c r="B374" s="3">
        <v>620</v>
      </c>
      <c r="C374" s="3" t="s">
        <v>626</v>
      </c>
      <c r="D374" s="3">
        <v>4</v>
      </c>
      <c r="E374" s="3" t="s">
        <v>19</v>
      </c>
      <c r="F374" s="3" t="s">
        <v>45</v>
      </c>
      <c r="G374" s="3" t="s">
        <v>19</v>
      </c>
      <c r="H374" s="3" t="s">
        <v>46</v>
      </c>
      <c r="I374" s="3">
        <v>11.13</v>
      </c>
      <c r="J374" s="3" t="s">
        <v>91</v>
      </c>
      <c r="K374" s="3" t="s">
        <v>627</v>
      </c>
      <c r="L374" s="3" t="s">
        <v>1468</v>
      </c>
      <c r="M374" s="3">
        <v>2</v>
      </c>
      <c r="N374" s="6"/>
      <c r="O374" s="3">
        <v>2</v>
      </c>
      <c r="P374" s="3">
        <v>2</v>
      </c>
      <c r="Q374" s="3">
        <v>0</v>
      </c>
      <c r="R374" s="3">
        <v>0</v>
      </c>
      <c r="S374" s="3">
        <v>0</v>
      </c>
      <c r="T374" s="3">
        <v>2</v>
      </c>
      <c r="U374" s="3">
        <v>0</v>
      </c>
      <c r="V374" s="3">
        <f t="shared" si="77"/>
        <v>2</v>
      </c>
      <c r="W374" s="3">
        <v>0</v>
      </c>
      <c r="X374" s="3">
        <v>0</v>
      </c>
      <c r="Y374" s="3">
        <v>0</v>
      </c>
      <c r="Z374" s="3">
        <v>2</v>
      </c>
      <c r="AA374" s="3">
        <v>0</v>
      </c>
      <c r="AB374" s="3">
        <f t="shared" si="78"/>
        <v>2</v>
      </c>
      <c r="AC374" s="6">
        <f t="shared" si="86"/>
        <v>0</v>
      </c>
      <c r="AD374" s="6">
        <f t="shared" si="87"/>
        <v>0</v>
      </c>
      <c r="AE374" s="6">
        <f t="shared" si="88"/>
        <v>0</v>
      </c>
      <c r="AF374" s="6">
        <f t="shared" si="89"/>
        <v>-2</v>
      </c>
      <c r="AG374" s="6">
        <f t="shared" si="90"/>
        <v>0</v>
      </c>
      <c r="AH374" s="6">
        <f t="shared" si="79"/>
        <v>-2</v>
      </c>
      <c r="AI374" s="3"/>
      <c r="AJ374" s="3" t="e">
        <f>_xlfn.XLOOKUP(K374,工作表1!A:A,工作表1!C:C)</f>
        <v>#N/A</v>
      </c>
      <c r="AK374" s="3"/>
      <c r="AL374" s="6">
        <f t="shared" si="80"/>
        <v>0</v>
      </c>
      <c r="AM374" s="6">
        <f t="shared" si="81"/>
        <v>0</v>
      </c>
      <c r="AN374" s="6">
        <f t="shared" si="82"/>
        <v>0</v>
      </c>
      <c r="AO374" s="6">
        <f t="shared" si="83"/>
        <v>0</v>
      </c>
      <c r="AP374" s="6">
        <f t="shared" si="84"/>
        <v>0</v>
      </c>
      <c r="AQ374" s="6">
        <f t="shared" si="85"/>
        <v>0</v>
      </c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  <c r="BC374" s="6"/>
      <c r="BD374" s="6"/>
      <c r="BE374" s="6"/>
      <c r="BF374" s="6"/>
      <c r="BG374" s="6"/>
      <c r="BH374" s="6"/>
      <c r="BI374" s="6"/>
      <c r="BJ374" s="6"/>
      <c r="BK374" s="6"/>
      <c r="BL374" s="6"/>
      <c r="BM374" s="6"/>
      <c r="BN374" s="6"/>
      <c r="BO374" s="6"/>
      <c r="BP374" s="3">
        <v>2</v>
      </c>
      <c r="BQ374" s="6">
        <f t="shared" si="76"/>
        <v>0</v>
      </c>
    </row>
    <row r="375" spans="1:69" x14ac:dyDescent="0.3">
      <c r="A375" s="3" t="s">
        <v>17</v>
      </c>
      <c r="B375" s="3">
        <v>620</v>
      </c>
      <c r="C375" s="3" t="s">
        <v>628</v>
      </c>
      <c r="D375" s="3">
        <v>1</v>
      </c>
      <c r="E375" s="3" t="s">
        <v>19</v>
      </c>
      <c r="F375" s="3" t="s">
        <v>19</v>
      </c>
      <c r="G375" s="3" t="s">
        <v>19</v>
      </c>
      <c r="H375" s="3" t="s">
        <v>101</v>
      </c>
      <c r="I375" s="3"/>
      <c r="J375" s="3" t="s">
        <v>91</v>
      </c>
      <c r="K375" s="3" t="s">
        <v>629</v>
      </c>
      <c r="L375" s="3" t="s">
        <v>1468</v>
      </c>
      <c r="M375" s="3">
        <v>13</v>
      </c>
      <c r="N375" s="6"/>
      <c r="O375" s="3">
        <v>12</v>
      </c>
      <c r="P375" s="3">
        <v>12</v>
      </c>
      <c r="Q375" s="3">
        <v>0</v>
      </c>
      <c r="R375" s="3">
        <v>0</v>
      </c>
      <c r="S375" s="3">
        <v>0</v>
      </c>
      <c r="T375" s="3">
        <v>12</v>
      </c>
      <c r="U375" s="3">
        <v>0</v>
      </c>
      <c r="V375" s="3">
        <f t="shared" si="77"/>
        <v>12</v>
      </c>
      <c r="W375" s="3">
        <v>0</v>
      </c>
      <c r="X375" s="3">
        <v>0</v>
      </c>
      <c r="Y375" s="3">
        <v>0</v>
      </c>
      <c r="Z375" s="3">
        <v>12</v>
      </c>
      <c r="AA375" s="3">
        <v>0</v>
      </c>
      <c r="AB375" s="3">
        <f t="shared" si="78"/>
        <v>12</v>
      </c>
      <c r="AC375" s="6">
        <f t="shared" si="86"/>
        <v>0</v>
      </c>
      <c r="AD375" s="6">
        <f t="shared" si="87"/>
        <v>0</v>
      </c>
      <c r="AE375" s="6">
        <f t="shared" si="88"/>
        <v>0</v>
      </c>
      <c r="AF375" s="6">
        <f t="shared" si="89"/>
        <v>-12</v>
      </c>
      <c r="AG375" s="6">
        <f t="shared" si="90"/>
        <v>0</v>
      </c>
      <c r="AH375" s="6">
        <f t="shared" si="79"/>
        <v>-12</v>
      </c>
      <c r="AI375" s="3"/>
      <c r="AJ375" s="3" t="e">
        <f>_xlfn.XLOOKUP(K375,工作表1!A:A,工作表1!C:C)</f>
        <v>#N/A</v>
      </c>
      <c r="AK375" s="3"/>
      <c r="AL375" s="6">
        <f t="shared" si="80"/>
        <v>0</v>
      </c>
      <c r="AM375" s="6">
        <f t="shared" si="81"/>
        <v>0</v>
      </c>
      <c r="AN375" s="6">
        <f t="shared" si="82"/>
        <v>0</v>
      </c>
      <c r="AO375" s="6">
        <f t="shared" si="83"/>
        <v>0</v>
      </c>
      <c r="AP375" s="6">
        <f t="shared" si="84"/>
        <v>0</v>
      </c>
      <c r="AQ375" s="6">
        <f t="shared" si="85"/>
        <v>0</v>
      </c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  <c r="BC375" s="6"/>
      <c r="BD375" s="6"/>
      <c r="BE375" s="6"/>
      <c r="BF375" s="6"/>
      <c r="BG375" s="6"/>
      <c r="BH375" s="6"/>
      <c r="BI375" s="6"/>
      <c r="BJ375" s="6"/>
      <c r="BK375" s="6"/>
      <c r="BL375" s="6"/>
      <c r="BM375" s="6"/>
      <c r="BN375" s="6"/>
      <c r="BO375" s="6"/>
      <c r="BP375" s="3">
        <v>12</v>
      </c>
      <c r="BQ375" s="6">
        <f t="shared" si="76"/>
        <v>0</v>
      </c>
    </row>
    <row r="376" spans="1:69" x14ac:dyDescent="0.3">
      <c r="A376" s="3" t="s">
        <v>17</v>
      </c>
      <c r="B376" s="3">
        <v>620</v>
      </c>
      <c r="C376" s="3" t="s">
        <v>628</v>
      </c>
      <c r="D376" s="3">
        <v>0.75</v>
      </c>
      <c r="E376" s="3" t="s">
        <v>19</v>
      </c>
      <c r="F376" s="3" t="s">
        <v>19</v>
      </c>
      <c r="G376" s="3" t="s">
        <v>19</v>
      </c>
      <c r="H376" s="3" t="s">
        <v>103</v>
      </c>
      <c r="I376" s="3"/>
      <c r="J376" s="3" t="s">
        <v>91</v>
      </c>
      <c r="K376" s="3" t="s">
        <v>630</v>
      </c>
      <c r="L376" s="3" t="s">
        <v>1468</v>
      </c>
      <c r="M376" s="3">
        <v>13</v>
      </c>
      <c r="N376" s="6"/>
      <c r="O376" s="3">
        <v>12</v>
      </c>
      <c r="P376" s="3">
        <v>12</v>
      </c>
      <c r="Q376" s="3">
        <v>0</v>
      </c>
      <c r="R376" s="3">
        <v>0</v>
      </c>
      <c r="S376" s="3">
        <v>0</v>
      </c>
      <c r="T376" s="3">
        <v>12</v>
      </c>
      <c r="U376" s="3">
        <v>0</v>
      </c>
      <c r="V376" s="3">
        <f t="shared" si="77"/>
        <v>12</v>
      </c>
      <c r="W376" s="3">
        <v>0</v>
      </c>
      <c r="X376" s="3">
        <v>0</v>
      </c>
      <c r="Y376" s="3">
        <v>0</v>
      </c>
      <c r="Z376" s="3">
        <v>12</v>
      </c>
      <c r="AA376" s="3">
        <v>0</v>
      </c>
      <c r="AB376" s="3">
        <f t="shared" si="78"/>
        <v>12</v>
      </c>
      <c r="AC376" s="6">
        <f t="shared" si="86"/>
        <v>0</v>
      </c>
      <c r="AD376" s="6">
        <f t="shared" si="87"/>
        <v>0</v>
      </c>
      <c r="AE376" s="6">
        <f t="shared" si="88"/>
        <v>0</v>
      </c>
      <c r="AF376" s="6">
        <f t="shared" si="89"/>
        <v>-12</v>
      </c>
      <c r="AG376" s="6">
        <f t="shared" si="90"/>
        <v>0</v>
      </c>
      <c r="AH376" s="6">
        <f t="shared" si="79"/>
        <v>-12</v>
      </c>
      <c r="AI376" s="3"/>
      <c r="AJ376" s="3" t="e">
        <f>_xlfn.XLOOKUP(K376,工作表1!A:A,工作表1!C:C)</f>
        <v>#N/A</v>
      </c>
      <c r="AK376" s="3"/>
      <c r="AL376" s="6">
        <f t="shared" si="80"/>
        <v>0</v>
      </c>
      <c r="AM376" s="6">
        <f t="shared" si="81"/>
        <v>0</v>
      </c>
      <c r="AN376" s="6">
        <f t="shared" si="82"/>
        <v>0</v>
      </c>
      <c r="AO376" s="6">
        <f t="shared" si="83"/>
        <v>0</v>
      </c>
      <c r="AP376" s="6">
        <f t="shared" si="84"/>
        <v>0</v>
      </c>
      <c r="AQ376" s="6">
        <f t="shared" si="85"/>
        <v>0</v>
      </c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  <c r="BC376" s="6"/>
      <c r="BD376" s="6"/>
      <c r="BE376" s="6"/>
      <c r="BF376" s="6"/>
      <c r="BG376" s="6"/>
      <c r="BH376" s="6"/>
      <c r="BI376" s="6"/>
      <c r="BJ376" s="6"/>
      <c r="BK376" s="6"/>
      <c r="BL376" s="6"/>
      <c r="BM376" s="6"/>
      <c r="BN376" s="6"/>
      <c r="BO376" s="6"/>
      <c r="BP376" s="3">
        <v>12</v>
      </c>
      <c r="BQ376" s="6">
        <f t="shared" si="76"/>
        <v>0</v>
      </c>
    </row>
    <row r="377" spans="1:69" x14ac:dyDescent="0.3">
      <c r="A377" s="3" t="s">
        <v>17</v>
      </c>
      <c r="B377" s="3">
        <v>620</v>
      </c>
      <c r="C377" s="3" t="s">
        <v>628</v>
      </c>
      <c r="D377" s="3">
        <v>0.5</v>
      </c>
      <c r="E377" s="3" t="s">
        <v>19</v>
      </c>
      <c r="F377" s="3" t="s">
        <v>19</v>
      </c>
      <c r="G377" s="3" t="s">
        <v>19</v>
      </c>
      <c r="H377" s="3" t="s">
        <v>105</v>
      </c>
      <c r="I377" s="3"/>
      <c r="J377" s="3" t="s">
        <v>91</v>
      </c>
      <c r="K377" s="3" t="s">
        <v>631</v>
      </c>
      <c r="L377" s="3" t="s">
        <v>1468</v>
      </c>
      <c r="M377" s="3">
        <v>13</v>
      </c>
      <c r="N377" s="6"/>
      <c r="O377" s="3">
        <v>8</v>
      </c>
      <c r="P377" s="3">
        <v>8</v>
      </c>
      <c r="Q377" s="3">
        <v>0</v>
      </c>
      <c r="R377" s="3">
        <v>0</v>
      </c>
      <c r="S377" s="3">
        <v>8</v>
      </c>
      <c r="T377" s="3">
        <v>0</v>
      </c>
      <c r="U377" s="3">
        <v>0</v>
      </c>
      <c r="V377" s="3">
        <f t="shared" si="77"/>
        <v>8</v>
      </c>
      <c r="W377" s="3">
        <v>0</v>
      </c>
      <c r="X377" s="3">
        <v>0</v>
      </c>
      <c r="Y377" s="3">
        <v>8</v>
      </c>
      <c r="Z377" s="3">
        <v>0</v>
      </c>
      <c r="AA377" s="3">
        <v>0</v>
      </c>
      <c r="AB377" s="3">
        <f t="shared" si="78"/>
        <v>8</v>
      </c>
      <c r="AC377" s="6">
        <f t="shared" si="86"/>
        <v>0</v>
      </c>
      <c r="AD377" s="6">
        <f t="shared" si="87"/>
        <v>0</v>
      </c>
      <c r="AE377" s="6">
        <f t="shared" si="88"/>
        <v>-8</v>
      </c>
      <c r="AF377" s="6">
        <f t="shared" si="89"/>
        <v>0</v>
      </c>
      <c r="AG377" s="6">
        <f t="shared" si="90"/>
        <v>0</v>
      </c>
      <c r="AH377" s="6">
        <f t="shared" si="79"/>
        <v>-8</v>
      </c>
      <c r="AI377" s="3"/>
      <c r="AJ377" s="3" t="e">
        <f>_xlfn.XLOOKUP(K377,工作表1!A:A,工作表1!C:C)</f>
        <v>#N/A</v>
      </c>
      <c r="AK377" s="3"/>
      <c r="AL377" s="6">
        <f t="shared" si="80"/>
        <v>0</v>
      </c>
      <c r="AM377" s="6">
        <f t="shared" si="81"/>
        <v>0</v>
      </c>
      <c r="AN377" s="6">
        <f t="shared" si="82"/>
        <v>0</v>
      </c>
      <c r="AO377" s="6">
        <f t="shared" si="83"/>
        <v>0</v>
      </c>
      <c r="AP377" s="6">
        <f t="shared" si="84"/>
        <v>0</v>
      </c>
      <c r="AQ377" s="6">
        <f t="shared" si="85"/>
        <v>0</v>
      </c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  <c r="BC377" s="6"/>
      <c r="BD377" s="6"/>
      <c r="BE377" s="6"/>
      <c r="BF377" s="6"/>
      <c r="BG377" s="6"/>
      <c r="BH377" s="6"/>
      <c r="BI377" s="6"/>
      <c r="BJ377" s="6"/>
      <c r="BK377" s="6"/>
      <c r="BL377" s="6"/>
      <c r="BM377" s="6"/>
      <c r="BN377" s="6"/>
      <c r="BO377" s="6"/>
      <c r="BP377" s="3">
        <v>8</v>
      </c>
      <c r="BQ377" s="6">
        <f t="shared" si="76"/>
        <v>0</v>
      </c>
    </row>
    <row r="378" spans="1:69" x14ac:dyDescent="0.3">
      <c r="A378" s="3" t="s">
        <v>17</v>
      </c>
      <c r="B378" s="3">
        <v>620</v>
      </c>
      <c r="C378" s="3" t="s">
        <v>632</v>
      </c>
      <c r="D378" s="3">
        <v>1</v>
      </c>
      <c r="E378" s="3" t="s">
        <v>19</v>
      </c>
      <c r="F378" s="3" t="s">
        <v>19</v>
      </c>
      <c r="G378" s="3" t="s">
        <v>19</v>
      </c>
      <c r="H378" s="3" t="s">
        <v>101</v>
      </c>
      <c r="I378" s="3"/>
      <c r="J378" s="3" t="s">
        <v>91</v>
      </c>
      <c r="K378" s="3" t="s">
        <v>633</v>
      </c>
      <c r="L378" s="3" t="s">
        <v>1468</v>
      </c>
      <c r="M378" s="3">
        <v>13</v>
      </c>
      <c r="N378" s="6"/>
      <c r="O378" s="3">
        <v>12</v>
      </c>
      <c r="P378" s="3">
        <v>12</v>
      </c>
      <c r="Q378" s="3">
        <v>0</v>
      </c>
      <c r="R378" s="3">
        <v>0</v>
      </c>
      <c r="S378" s="3">
        <v>0</v>
      </c>
      <c r="T378" s="3">
        <v>12</v>
      </c>
      <c r="U378" s="3">
        <v>0</v>
      </c>
      <c r="V378" s="3">
        <f t="shared" si="77"/>
        <v>12</v>
      </c>
      <c r="W378" s="3">
        <v>0</v>
      </c>
      <c r="X378" s="3">
        <v>0</v>
      </c>
      <c r="Y378" s="3">
        <v>0</v>
      </c>
      <c r="Z378" s="3">
        <v>12</v>
      </c>
      <c r="AA378" s="3">
        <v>0</v>
      </c>
      <c r="AB378" s="3">
        <f t="shared" si="78"/>
        <v>12</v>
      </c>
      <c r="AC378" s="6">
        <f t="shared" si="86"/>
        <v>0</v>
      </c>
      <c r="AD378" s="6">
        <f t="shared" si="87"/>
        <v>0</v>
      </c>
      <c r="AE378" s="6">
        <f t="shared" si="88"/>
        <v>0</v>
      </c>
      <c r="AF378" s="6">
        <f t="shared" si="89"/>
        <v>-12</v>
      </c>
      <c r="AG378" s="6">
        <f t="shared" si="90"/>
        <v>0</v>
      </c>
      <c r="AH378" s="6">
        <f t="shared" si="79"/>
        <v>-12</v>
      </c>
      <c r="AI378" s="3"/>
      <c r="AJ378" s="3" t="e">
        <f>_xlfn.XLOOKUP(K378,工作表1!A:A,工作表1!C:C)</f>
        <v>#N/A</v>
      </c>
      <c r="AK378" s="3"/>
      <c r="AL378" s="6">
        <f t="shared" si="80"/>
        <v>0</v>
      </c>
      <c r="AM378" s="6">
        <f t="shared" si="81"/>
        <v>0</v>
      </c>
      <c r="AN378" s="6">
        <f t="shared" si="82"/>
        <v>0</v>
      </c>
      <c r="AO378" s="6">
        <f t="shared" si="83"/>
        <v>0</v>
      </c>
      <c r="AP378" s="6">
        <f t="shared" si="84"/>
        <v>0</v>
      </c>
      <c r="AQ378" s="6">
        <f t="shared" si="85"/>
        <v>0</v>
      </c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  <c r="BC378" s="6"/>
      <c r="BD378" s="6"/>
      <c r="BE378" s="6"/>
      <c r="BF378" s="6"/>
      <c r="BG378" s="6"/>
      <c r="BH378" s="6"/>
      <c r="BI378" s="6"/>
      <c r="BJ378" s="6"/>
      <c r="BK378" s="6"/>
      <c r="BL378" s="6"/>
      <c r="BM378" s="6"/>
      <c r="BN378" s="6"/>
      <c r="BO378" s="6"/>
      <c r="BP378" s="3">
        <v>12</v>
      </c>
      <c r="BQ378" s="6">
        <f t="shared" si="76"/>
        <v>0</v>
      </c>
    </row>
    <row r="379" spans="1:69" x14ac:dyDescent="0.3">
      <c r="A379" s="3" t="s">
        <v>17</v>
      </c>
      <c r="B379" s="3">
        <v>620</v>
      </c>
      <c r="C379" s="3" t="s">
        <v>634</v>
      </c>
      <c r="D379" s="3">
        <v>1</v>
      </c>
      <c r="E379" s="3" t="s">
        <v>19</v>
      </c>
      <c r="F379" s="3" t="s">
        <v>19</v>
      </c>
      <c r="G379" s="3" t="s">
        <v>19</v>
      </c>
      <c r="H379" s="3" t="s">
        <v>101</v>
      </c>
      <c r="I379" s="3"/>
      <c r="J379" s="3" t="s">
        <v>91</v>
      </c>
      <c r="K379" s="3" t="s">
        <v>635</v>
      </c>
      <c r="L379" s="3" t="s">
        <v>1468</v>
      </c>
      <c r="M379" s="3">
        <v>47</v>
      </c>
      <c r="N379" s="6"/>
      <c r="O379" s="3">
        <v>26</v>
      </c>
      <c r="P379" s="3">
        <v>26</v>
      </c>
      <c r="Q379" s="3">
        <v>0</v>
      </c>
      <c r="R379" s="3">
        <v>15</v>
      </c>
      <c r="S379" s="3">
        <v>0</v>
      </c>
      <c r="T379" s="3">
        <v>11</v>
      </c>
      <c r="U379" s="3">
        <v>0</v>
      </c>
      <c r="V379" s="3">
        <f t="shared" si="77"/>
        <v>26</v>
      </c>
      <c r="W379" s="3">
        <v>0</v>
      </c>
      <c r="X379" s="3">
        <v>15</v>
      </c>
      <c r="Y379" s="3">
        <v>0</v>
      </c>
      <c r="Z379" s="3">
        <v>11</v>
      </c>
      <c r="AA379" s="3">
        <v>0</v>
      </c>
      <c r="AB379" s="3">
        <f t="shared" si="78"/>
        <v>26</v>
      </c>
      <c r="AC379" s="6">
        <f t="shared" si="86"/>
        <v>0</v>
      </c>
      <c r="AD379" s="6">
        <f t="shared" si="87"/>
        <v>-15</v>
      </c>
      <c r="AE379" s="6">
        <f t="shared" si="88"/>
        <v>0</v>
      </c>
      <c r="AF379" s="6">
        <f t="shared" si="89"/>
        <v>-11</v>
      </c>
      <c r="AG379" s="6">
        <f t="shared" si="90"/>
        <v>0</v>
      </c>
      <c r="AH379" s="6">
        <f t="shared" si="79"/>
        <v>-26</v>
      </c>
      <c r="AI379" s="3"/>
      <c r="AJ379" s="3" t="e">
        <f>_xlfn.XLOOKUP(K379,工作表1!A:A,工作表1!C:C)</f>
        <v>#N/A</v>
      </c>
      <c r="AK379" s="3"/>
      <c r="AL379" s="6">
        <f t="shared" si="80"/>
        <v>0</v>
      </c>
      <c r="AM379" s="6">
        <f t="shared" si="81"/>
        <v>0</v>
      </c>
      <c r="AN379" s="6">
        <f t="shared" si="82"/>
        <v>0</v>
      </c>
      <c r="AO379" s="6">
        <f t="shared" si="83"/>
        <v>0</v>
      </c>
      <c r="AP379" s="6">
        <f t="shared" si="84"/>
        <v>0</v>
      </c>
      <c r="AQ379" s="6">
        <f t="shared" si="85"/>
        <v>0</v>
      </c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  <c r="BC379" s="6"/>
      <c r="BD379" s="6"/>
      <c r="BE379" s="6"/>
      <c r="BF379" s="6"/>
      <c r="BG379" s="6"/>
      <c r="BH379" s="6"/>
      <c r="BI379" s="6"/>
      <c r="BJ379" s="6"/>
      <c r="BK379" s="6"/>
      <c r="BL379" s="6"/>
      <c r="BM379" s="6"/>
      <c r="BN379" s="6"/>
      <c r="BO379" s="6"/>
      <c r="BP379" s="3">
        <v>26</v>
      </c>
      <c r="BQ379" s="6">
        <f t="shared" si="76"/>
        <v>0</v>
      </c>
    </row>
    <row r="380" spans="1:69" x14ac:dyDescent="0.3">
      <c r="A380" s="3" t="s">
        <v>17</v>
      </c>
      <c r="B380" s="3">
        <v>620</v>
      </c>
      <c r="C380" s="3" t="s">
        <v>634</v>
      </c>
      <c r="D380" s="3">
        <v>0.75</v>
      </c>
      <c r="E380" s="3" t="s">
        <v>19</v>
      </c>
      <c r="F380" s="3" t="s">
        <v>19</v>
      </c>
      <c r="G380" s="3" t="s">
        <v>19</v>
      </c>
      <c r="H380" s="3" t="s">
        <v>103</v>
      </c>
      <c r="I380" s="3"/>
      <c r="J380" s="3" t="s">
        <v>91</v>
      </c>
      <c r="K380" s="3" t="s">
        <v>636</v>
      </c>
      <c r="L380" s="3" t="s">
        <v>1468</v>
      </c>
      <c r="M380" s="3">
        <v>1</v>
      </c>
      <c r="N380" s="6"/>
      <c r="O380" s="3">
        <v>1</v>
      </c>
      <c r="P380" s="3">
        <v>1</v>
      </c>
      <c r="Q380" s="3">
        <v>0</v>
      </c>
      <c r="R380" s="3">
        <v>0</v>
      </c>
      <c r="S380" s="3">
        <v>0</v>
      </c>
      <c r="T380" s="3">
        <v>1</v>
      </c>
      <c r="U380" s="3">
        <v>0</v>
      </c>
      <c r="V380" s="3">
        <f t="shared" si="77"/>
        <v>1</v>
      </c>
      <c r="W380" s="3">
        <v>0</v>
      </c>
      <c r="X380" s="3">
        <v>0</v>
      </c>
      <c r="Y380" s="3">
        <v>0</v>
      </c>
      <c r="Z380" s="3">
        <v>1</v>
      </c>
      <c r="AA380" s="3">
        <v>0</v>
      </c>
      <c r="AB380" s="3">
        <f t="shared" si="78"/>
        <v>1</v>
      </c>
      <c r="AC380" s="6">
        <f t="shared" si="86"/>
        <v>0</v>
      </c>
      <c r="AD380" s="6">
        <f t="shared" si="87"/>
        <v>0</v>
      </c>
      <c r="AE380" s="6">
        <f t="shared" si="88"/>
        <v>0</v>
      </c>
      <c r="AF380" s="6">
        <f t="shared" si="89"/>
        <v>-1</v>
      </c>
      <c r="AG380" s="6">
        <f t="shared" si="90"/>
        <v>0</v>
      </c>
      <c r="AH380" s="6">
        <f t="shared" si="79"/>
        <v>-1</v>
      </c>
      <c r="AI380" s="3"/>
      <c r="AJ380" s="3" t="e">
        <f>_xlfn.XLOOKUP(K380,工作表1!A:A,工作表1!C:C)</f>
        <v>#N/A</v>
      </c>
      <c r="AK380" s="3"/>
      <c r="AL380" s="6">
        <f t="shared" si="80"/>
        <v>0</v>
      </c>
      <c r="AM380" s="6">
        <f t="shared" si="81"/>
        <v>0</v>
      </c>
      <c r="AN380" s="6">
        <f t="shared" si="82"/>
        <v>0</v>
      </c>
      <c r="AO380" s="6">
        <f t="shared" si="83"/>
        <v>0</v>
      </c>
      <c r="AP380" s="6">
        <f t="shared" si="84"/>
        <v>0</v>
      </c>
      <c r="AQ380" s="6">
        <f t="shared" si="85"/>
        <v>0</v>
      </c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  <c r="BC380" s="6"/>
      <c r="BD380" s="6"/>
      <c r="BE380" s="6"/>
      <c r="BF380" s="6"/>
      <c r="BG380" s="6"/>
      <c r="BH380" s="6"/>
      <c r="BI380" s="6"/>
      <c r="BJ380" s="6"/>
      <c r="BK380" s="6"/>
      <c r="BL380" s="6"/>
      <c r="BM380" s="6"/>
      <c r="BN380" s="6"/>
      <c r="BO380" s="6"/>
      <c r="BP380" s="3">
        <v>1</v>
      </c>
      <c r="BQ380" s="6">
        <f t="shared" si="76"/>
        <v>0</v>
      </c>
    </row>
    <row r="381" spans="1:69" x14ac:dyDescent="0.3">
      <c r="A381" s="3" t="s">
        <v>17</v>
      </c>
      <c r="B381" s="3">
        <v>620</v>
      </c>
      <c r="C381" s="3" t="s">
        <v>637</v>
      </c>
      <c r="D381" s="3">
        <v>2</v>
      </c>
      <c r="E381" s="3" t="s">
        <v>19</v>
      </c>
      <c r="F381" s="3" t="s">
        <v>19</v>
      </c>
      <c r="G381" s="3" t="s">
        <v>19</v>
      </c>
      <c r="H381" s="3" t="s">
        <v>340</v>
      </c>
      <c r="I381" s="3"/>
      <c r="J381" s="3" t="s">
        <v>91</v>
      </c>
      <c r="K381" s="3" t="s">
        <v>638</v>
      </c>
      <c r="L381" s="3" t="s">
        <v>1468</v>
      </c>
      <c r="M381" s="3">
        <v>1</v>
      </c>
      <c r="N381" s="6"/>
      <c r="O381" s="3">
        <v>1</v>
      </c>
      <c r="P381" s="3">
        <v>1</v>
      </c>
      <c r="Q381" s="3">
        <v>0</v>
      </c>
      <c r="R381" s="3">
        <v>0</v>
      </c>
      <c r="S381" s="3">
        <v>0</v>
      </c>
      <c r="T381" s="3">
        <v>1</v>
      </c>
      <c r="U381" s="3">
        <v>0</v>
      </c>
      <c r="V381" s="3">
        <f t="shared" si="77"/>
        <v>1</v>
      </c>
      <c r="W381" s="3">
        <v>0</v>
      </c>
      <c r="X381" s="3">
        <v>0</v>
      </c>
      <c r="Y381" s="3">
        <v>0</v>
      </c>
      <c r="Z381" s="3">
        <v>1</v>
      </c>
      <c r="AA381" s="3">
        <v>0</v>
      </c>
      <c r="AB381" s="3">
        <f t="shared" si="78"/>
        <v>1</v>
      </c>
      <c r="AC381" s="6">
        <f t="shared" si="86"/>
        <v>0</v>
      </c>
      <c r="AD381" s="6">
        <f t="shared" si="87"/>
        <v>0</v>
      </c>
      <c r="AE381" s="6">
        <f t="shared" si="88"/>
        <v>0</v>
      </c>
      <c r="AF381" s="6">
        <f t="shared" si="89"/>
        <v>-1</v>
      </c>
      <c r="AG381" s="6">
        <f t="shared" si="90"/>
        <v>0</v>
      </c>
      <c r="AH381" s="6">
        <f t="shared" si="79"/>
        <v>-1</v>
      </c>
      <c r="AI381" s="3"/>
      <c r="AJ381" s="3" t="e">
        <f>_xlfn.XLOOKUP(K381,工作表1!A:A,工作表1!C:C)</f>
        <v>#N/A</v>
      </c>
      <c r="AK381" s="3"/>
      <c r="AL381" s="6">
        <f t="shared" si="80"/>
        <v>0</v>
      </c>
      <c r="AM381" s="6">
        <f t="shared" si="81"/>
        <v>0</v>
      </c>
      <c r="AN381" s="6">
        <f t="shared" si="82"/>
        <v>0</v>
      </c>
      <c r="AO381" s="6">
        <f t="shared" si="83"/>
        <v>0</v>
      </c>
      <c r="AP381" s="6">
        <f t="shared" si="84"/>
        <v>0</v>
      </c>
      <c r="AQ381" s="6">
        <f t="shared" si="85"/>
        <v>0</v>
      </c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  <c r="BC381" s="6"/>
      <c r="BD381" s="6"/>
      <c r="BE381" s="6"/>
      <c r="BF381" s="6"/>
      <c r="BG381" s="6"/>
      <c r="BH381" s="6"/>
      <c r="BI381" s="6"/>
      <c r="BJ381" s="6"/>
      <c r="BK381" s="6"/>
      <c r="BL381" s="6"/>
      <c r="BM381" s="6"/>
      <c r="BN381" s="6"/>
      <c r="BO381" s="6"/>
      <c r="BP381" s="3">
        <v>1</v>
      </c>
      <c r="BQ381" s="6">
        <f t="shared" si="76"/>
        <v>0</v>
      </c>
    </row>
    <row r="382" spans="1:69" x14ac:dyDescent="0.3">
      <c r="A382" s="3" t="s">
        <v>17</v>
      </c>
      <c r="B382" s="3">
        <v>630</v>
      </c>
      <c r="C382" s="3" t="s">
        <v>639</v>
      </c>
      <c r="D382" s="3">
        <v>4</v>
      </c>
      <c r="E382" s="3" t="s">
        <v>19</v>
      </c>
      <c r="F382" s="3" t="s">
        <v>19</v>
      </c>
      <c r="G382" s="3" t="s">
        <v>19</v>
      </c>
      <c r="H382" s="3" t="s">
        <v>336</v>
      </c>
      <c r="I382" s="3"/>
      <c r="J382" s="3" t="s">
        <v>91</v>
      </c>
      <c r="K382" s="3" t="s">
        <v>640</v>
      </c>
      <c r="L382" s="3" t="s">
        <v>1467</v>
      </c>
      <c r="M382" s="3">
        <v>3</v>
      </c>
      <c r="N382" s="6"/>
      <c r="O382" s="3">
        <v>1</v>
      </c>
      <c r="P382" s="3">
        <v>1</v>
      </c>
      <c r="Q382" s="3">
        <v>0</v>
      </c>
      <c r="R382" s="3">
        <v>1</v>
      </c>
      <c r="S382" s="3">
        <v>0</v>
      </c>
      <c r="T382" s="3">
        <v>0</v>
      </c>
      <c r="U382" s="3">
        <v>0</v>
      </c>
      <c r="V382" s="3">
        <f t="shared" si="77"/>
        <v>1</v>
      </c>
      <c r="W382" s="3">
        <v>0</v>
      </c>
      <c r="X382" s="3">
        <v>1</v>
      </c>
      <c r="Y382" s="3">
        <v>0</v>
      </c>
      <c r="Z382" s="3">
        <v>0</v>
      </c>
      <c r="AA382" s="3">
        <v>0</v>
      </c>
      <c r="AB382" s="3">
        <f t="shared" si="78"/>
        <v>1</v>
      </c>
      <c r="AC382" s="6">
        <f t="shared" si="86"/>
        <v>0</v>
      </c>
      <c r="AD382" s="6">
        <f t="shared" si="87"/>
        <v>-1</v>
      </c>
      <c r="AE382" s="6">
        <f t="shared" si="88"/>
        <v>0</v>
      </c>
      <c r="AF382" s="6">
        <f t="shared" si="89"/>
        <v>0</v>
      </c>
      <c r="AG382" s="6">
        <f t="shared" si="90"/>
        <v>0</v>
      </c>
      <c r="AH382" s="6">
        <f t="shared" si="79"/>
        <v>-1</v>
      </c>
      <c r="AI382" s="3"/>
      <c r="AJ382" s="3" t="e">
        <f>_xlfn.XLOOKUP(K382,工作表1!A:A,工作表1!C:C)</f>
        <v>#N/A</v>
      </c>
      <c r="AK382" s="3"/>
      <c r="AL382" s="6">
        <f t="shared" si="80"/>
        <v>0</v>
      </c>
      <c r="AM382" s="6">
        <f t="shared" si="81"/>
        <v>0</v>
      </c>
      <c r="AN382" s="6">
        <f t="shared" si="82"/>
        <v>0</v>
      </c>
      <c r="AO382" s="6">
        <f t="shared" si="83"/>
        <v>0</v>
      </c>
      <c r="AP382" s="6">
        <f t="shared" si="84"/>
        <v>0</v>
      </c>
      <c r="AQ382" s="6">
        <f t="shared" si="85"/>
        <v>0</v>
      </c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  <c r="BC382" s="6"/>
      <c r="BD382" s="6"/>
      <c r="BE382" s="6"/>
      <c r="BF382" s="6"/>
      <c r="BG382" s="6"/>
      <c r="BH382" s="6"/>
      <c r="BI382" s="6"/>
      <c r="BJ382" s="6"/>
      <c r="BK382" s="6"/>
      <c r="BL382" s="6"/>
      <c r="BM382" s="6"/>
      <c r="BN382" s="6"/>
      <c r="BO382" s="6"/>
      <c r="BP382" s="3">
        <v>1</v>
      </c>
      <c r="BQ382" s="6">
        <f t="shared" si="76"/>
        <v>0</v>
      </c>
    </row>
    <row r="383" spans="1:69" x14ac:dyDescent="0.3">
      <c r="A383" s="3" t="s">
        <v>17</v>
      </c>
      <c r="B383" s="3">
        <v>630</v>
      </c>
      <c r="C383" s="3" t="s">
        <v>641</v>
      </c>
      <c r="D383" s="3">
        <v>0.75</v>
      </c>
      <c r="E383" s="3" t="s">
        <v>19</v>
      </c>
      <c r="F383" s="3" t="s">
        <v>19</v>
      </c>
      <c r="G383" s="3" t="s">
        <v>19</v>
      </c>
      <c r="H383" s="3" t="s">
        <v>103</v>
      </c>
      <c r="I383" s="3"/>
      <c r="J383" s="3" t="s">
        <v>91</v>
      </c>
      <c r="K383" s="3" t="s">
        <v>642</v>
      </c>
      <c r="L383" s="3" t="s">
        <v>1467</v>
      </c>
      <c r="M383" s="3">
        <v>1</v>
      </c>
      <c r="N383" s="6"/>
      <c r="O383" s="3">
        <v>1</v>
      </c>
      <c r="P383" s="3">
        <v>1</v>
      </c>
      <c r="Q383" s="3">
        <v>0</v>
      </c>
      <c r="R383" s="3">
        <v>0</v>
      </c>
      <c r="S383" s="3">
        <v>1</v>
      </c>
      <c r="T383" s="3">
        <v>0</v>
      </c>
      <c r="U383" s="3">
        <v>0</v>
      </c>
      <c r="V383" s="3">
        <f t="shared" si="77"/>
        <v>1</v>
      </c>
      <c r="W383" s="3">
        <v>0</v>
      </c>
      <c r="X383" s="3">
        <v>0</v>
      </c>
      <c r="Y383" s="3">
        <v>1</v>
      </c>
      <c r="Z383" s="3">
        <v>0</v>
      </c>
      <c r="AA383" s="3">
        <v>0</v>
      </c>
      <c r="AB383" s="3">
        <f t="shared" si="78"/>
        <v>1</v>
      </c>
      <c r="AC383" s="6">
        <f t="shared" si="86"/>
        <v>0</v>
      </c>
      <c r="AD383" s="6">
        <f t="shared" si="87"/>
        <v>0</v>
      </c>
      <c r="AE383" s="6">
        <f t="shared" si="88"/>
        <v>-1</v>
      </c>
      <c r="AF383" s="6">
        <f t="shared" si="89"/>
        <v>0</v>
      </c>
      <c r="AG383" s="6">
        <f t="shared" si="90"/>
        <v>0</v>
      </c>
      <c r="AH383" s="6">
        <f t="shared" si="79"/>
        <v>-1</v>
      </c>
      <c r="AI383" s="3"/>
      <c r="AJ383" s="3" t="e">
        <f>_xlfn.XLOOKUP(K383,工作表1!A:A,工作表1!C:C)</f>
        <v>#N/A</v>
      </c>
      <c r="AK383" s="3"/>
      <c r="AL383" s="6">
        <f t="shared" si="80"/>
        <v>0</v>
      </c>
      <c r="AM383" s="6">
        <f t="shared" si="81"/>
        <v>0</v>
      </c>
      <c r="AN383" s="6">
        <f t="shared" si="82"/>
        <v>0</v>
      </c>
      <c r="AO383" s="6">
        <f t="shared" si="83"/>
        <v>0</v>
      </c>
      <c r="AP383" s="6">
        <f t="shared" si="84"/>
        <v>0</v>
      </c>
      <c r="AQ383" s="6">
        <f t="shared" si="85"/>
        <v>0</v>
      </c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  <c r="BC383" s="6"/>
      <c r="BD383" s="6"/>
      <c r="BE383" s="6"/>
      <c r="BF383" s="6"/>
      <c r="BG383" s="6"/>
      <c r="BH383" s="6"/>
      <c r="BI383" s="6"/>
      <c r="BJ383" s="6"/>
      <c r="BK383" s="6"/>
      <c r="BL383" s="6"/>
      <c r="BM383" s="6"/>
      <c r="BN383" s="6"/>
      <c r="BO383" s="6"/>
      <c r="BP383" s="3">
        <v>1</v>
      </c>
      <c r="BQ383" s="6">
        <f t="shared" si="76"/>
        <v>0</v>
      </c>
    </row>
    <row r="384" spans="1:69" x14ac:dyDescent="0.3">
      <c r="A384" s="3" t="s">
        <v>17</v>
      </c>
      <c r="B384" s="3">
        <v>630</v>
      </c>
      <c r="C384" s="3" t="s">
        <v>643</v>
      </c>
      <c r="D384" s="3">
        <v>8</v>
      </c>
      <c r="E384" s="3" t="s">
        <v>19</v>
      </c>
      <c r="F384" s="3" t="s">
        <v>19</v>
      </c>
      <c r="G384" s="3" t="s">
        <v>19</v>
      </c>
      <c r="H384" s="3" t="s">
        <v>348</v>
      </c>
      <c r="I384" s="3"/>
      <c r="J384" s="3" t="s">
        <v>91</v>
      </c>
      <c r="K384" s="3" t="s">
        <v>644</v>
      </c>
      <c r="L384" s="3" t="s">
        <v>1467</v>
      </c>
      <c r="M384" s="3">
        <v>2</v>
      </c>
      <c r="N384" s="6"/>
      <c r="O384" s="3">
        <v>2</v>
      </c>
      <c r="P384" s="3">
        <v>2</v>
      </c>
      <c r="Q384" s="3">
        <v>0</v>
      </c>
      <c r="R384" s="3">
        <v>0</v>
      </c>
      <c r="S384" s="3">
        <v>0</v>
      </c>
      <c r="T384" s="3">
        <v>2</v>
      </c>
      <c r="U384" s="3">
        <v>0</v>
      </c>
      <c r="V384" s="3">
        <f t="shared" si="77"/>
        <v>2</v>
      </c>
      <c r="W384" s="3">
        <v>0</v>
      </c>
      <c r="X384" s="3">
        <v>0</v>
      </c>
      <c r="Y384" s="3">
        <v>0</v>
      </c>
      <c r="Z384" s="3">
        <v>2</v>
      </c>
      <c r="AA384" s="3">
        <v>0</v>
      </c>
      <c r="AB384" s="3">
        <f t="shared" si="78"/>
        <v>2</v>
      </c>
      <c r="AC384" s="6">
        <f t="shared" si="86"/>
        <v>0</v>
      </c>
      <c r="AD384" s="6">
        <f t="shared" si="87"/>
        <v>0</v>
      </c>
      <c r="AE384" s="6">
        <f t="shared" si="88"/>
        <v>0</v>
      </c>
      <c r="AF384" s="6">
        <f t="shared" si="89"/>
        <v>-2</v>
      </c>
      <c r="AG384" s="6">
        <f t="shared" si="90"/>
        <v>0</v>
      </c>
      <c r="AH384" s="6">
        <f t="shared" si="79"/>
        <v>-2</v>
      </c>
      <c r="AI384" s="3"/>
      <c r="AJ384" s="3" t="e">
        <f>_xlfn.XLOOKUP(K384,工作表1!A:A,工作表1!C:C)</f>
        <v>#N/A</v>
      </c>
      <c r="AK384" s="3"/>
      <c r="AL384" s="6">
        <f t="shared" si="80"/>
        <v>0</v>
      </c>
      <c r="AM384" s="6">
        <f t="shared" si="81"/>
        <v>0</v>
      </c>
      <c r="AN384" s="6">
        <f t="shared" si="82"/>
        <v>0</v>
      </c>
      <c r="AO384" s="6">
        <f t="shared" si="83"/>
        <v>0</v>
      </c>
      <c r="AP384" s="6">
        <f t="shared" si="84"/>
        <v>0</v>
      </c>
      <c r="AQ384" s="6">
        <f t="shared" si="85"/>
        <v>0</v>
      </c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  <c r="BC384" s="6"/>
      <c r="BD384" s="6"/>
      <c r="BE384" s="6"/>
      <c r="BF384" s="6"/>
      <c r="BG384" s="6"/>
      <c r="BH384" s="6"/>
      <c r="BI384" s="6"/>
      <c r="BJ384" s="6"/>
      <c r="BK384" s="6"/>
      <c r="BL384" s="6"/>
      <c r="BM384" s="6"/>
      <c r="BN384" s="6"/>
      <c r="BO384" s="6"/>
      <c r="BP384" s="3">
        <v>2</v>
      </c>
      <c r="BQ384" s="6">
        <f t="shared" si="76"/>
        <v>0</v>
      </c>
    </row>
    <row r="385" spans="1:69" x14ac:dyDescent="0.3">
      <c r="A385" s="3" t="s">
        <v>17</v>
      </c>
      <c r="B385" s="3">
        <v>630</v>
      </c>
      <c r="C385" s="3" t="s">
        <v>643</v>
      </c>
      <c r="D385" s="3">
        <v>6</v>
      </c>
      <c r="E385" s="3" t="s">
        <v>19</v>
      </c>
      <c r="F385" s="3" t="s">
        <v>19</v>
      </c>
      <c r="G385" s="3" t="s">
        <v>19</v>
      </c>
      <c r="H385" s="3" t="s">
        <v>443</v>
      </c>
      <c r="I385" s="3"/>
      <c r="J385" s="3" t="s">
        <v>91</v>
      </c>
      <c r="K385" s="3" t="s">
        <v>645</v>
      </c>
      <c r="L385" s="3" t="s">
        <v>1467</v>
      </c>
      <c r="M385" s="3">
        <v>2</v>
      </c>
      <c r="N385" s="6"/>
      <c r="O385" s="3">
        <v>2</v>
      </c>
      <c r="P385" s="3">
        <v>2</v>
      </c>
      <c r="Q385" s="3">
        <v>0</v>
      </c>
      <c r="R385" s="3">
        <v>0</v>
      </c>
      <c r="S385" s="3">
        <v>0</v>
      </c>
      <c r="T385" s="3">
        <v>2</v>
      </c>
      <c r="U385" s="3">
        <v>0</v>
      </c>
      <c r="V385" s="3">
        <f t="shared" si="77"/>
        <v>2</v>
      </c>
      <c r="W385" s="3">
        <v>0</v>
      </c>
      <c r="X385" s="3">
        <v>0</v>
      </c>
      <c r="Y385" s="3">
        <v>0</v>
      </c>
      <c r="Z385" s="3">
        <v>2</v>
      </c>
      <c r="AA385" s="3">
        <v>0</v>
      </c>
      <c r="AB385" s="3">
        <f t="shared" si="78"/>
        <v>2</v>
      </c>
      <c r="AC385" s="6">
        <f t="shared" si="86"/>
        <v>0</v>
      </c>
      <c r="AD385" s="6">
        <f t="shared" si="87"/>
        <v>0</v>
      </c>
      <c r="AE385" s="6">
        <f t="shared" si="88"/>
        <v>0</v>
      </c>
      <c r="AF385" s="6">
        <f t="shared" si="89"/>
        <v>-2</v>
      </c>
      <c r="AG385" s="6">
        <f t="shared" si="90"/>
        <v>0</v>
      </c>
      <c r="AH385" s="6">
        <f t="shared" si="79"/>
        <v>-2</v>
      </c>
      <c r="AI385" s="3"/>
      <c r="AJ385" s="3" t="e">
        <f>_xlfn.XLOOKUP(K385,工作表1!A:A,工作表1!C:C)</f>
        <v>#N/A</v>
      </c>
      <c r="AK385" s="3"/>
      <c r="AL385" s="6">
        <f t="shared" si="80"/>
        <v>0</v>
      </c>
      <c r="AM385" s="6">
        <f t="shared" si="81"/>
        <v>0</v>
      </c>
      <c r="AN385" s="6">
        <f t="shared" si="82"/>
        <v>0</v>
      </c>
      <c r="AO385" s="6">
        <f t="shared" si="83"/>
        <v>0</v>
      </c>
      <c r="AP385" s="6">
        <f t="shared" si="84"/>
        <v>0</v>
      </c>
      <c r="AQ385" s="6">
        <f t="shared" si="85"/>
        <v>0</v>
      </c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  <c r="BC385" s="6"/>
      <c r="BD385" s="6"/>
      <c r="BE385" s="6"/>
      <c r="BF385" s="6"/>
      <c r="BG385" s="6"/>
      <c r="BH385" s="6"/>
      <c r="BI385" s="6"/>
      <c r="BJ385" s="6"/>
      <c r="BK385" s="6"/>
      <c r="BL385" s="6"/>
      <c r="BM385" s="6"/>
      <c r="BN385" s="6"/>
      <c r="BO385" s="6"/>
      <c r="BP385" s="3">
        <v>2</v>
      </c>
      <c r="BQ385" s="6">
        <f t="shared" si="76"/>
        <v>0</v>
      </c>
    </row>
    <row r="386" spans="1:69" x14ac:dyDescent="0.3">
      <c r="A386" s="3" t="s">
        <v>17</v>
      </c>
      <c r="B386" s="3">
        <v>630</v>
      </c>
      <c r="C386" s="3" t="s">
        <v>643</v>
      </c>
      <c r="D386" s="3">
        <v>3</v>
      </c>
      <c r="E386" s="3" t="s">
        <v>19</v>
      </c>
      <c r="F386" s="3" t="s">
        <v>19</v>
      </c>
      <c r="G386" s="3" t="s">
        <v>19</v>
      </c>
      <c r="H386" s="3" t="s">
        <v>338</v>
      </c>
      <c r="I386" s="3"/>
      <c r="J386" s="3" t="s">
        <v>91</v>
      </c>
      <c r="K386" s="3" t="s">
        <v>646</v>
      </c>
      <c r="L386" s="3" t="s">
        <v>1467</v>
      </c>
      <c r="M386" s="3">
        <v>4</v>
      </c>
      <c r="N386" s="6"/>
      <c r="O386" s="3">
        <v>4</v>
      </c>
      <c r="P386" s="3">
        <v>4</v>
      </c>
      <c r="Q386" s="3">
        <v>0</v>
      </c>
      <c r="R386" s="3">
        <v>2</v>
      </c>
      <c r="S386" s="3">
        <v>0</v>
      </c>
      <c r="T386" s="3">
        <v>2</v>
      </c>
      <c r="U386" s="3">
        <v>0</v>
      </c>
      <c r="V386" s="3">
        <f t="shared" si="77"/>
        <v>4</v>
      </c>
      <c r="W386" s="3">
        <v>0</v>
      </c>
      <c r="X386" s="3">
        <v>2</v>
      </c>
      <c r="Y386" s="3">
        <v>0</v>
      </c>
      <c r="Z386" s="3">
        <v>2</v>
      </c>
      <c r="AA386" s="3">
        <v>0</v>
      </c>
      <c r="AB386" s="3">
        <f t="shared" si="78"/>
        <v>4</v>
      </c>
      <c r="AC386" s="6">
        <f t="shared" si="86"/>
        <v>0</v>
      </c>
      <c r="AD386" s="6">
        <f t="shared" si="87"/>
        <v>-2</v>
      </c>
      <c r="AE386" s="6">
        <f t="shared" si="88"/>
        <v>0</v>
      </c>
      <c r="AF386" s="6">
        <f t="shared" si="89"/>
        <v>-2</v>
      </c>
      <c r="AG386" s="6">
        <f t="shared" si="90"/>
        <v>0</v>
      </c>
      <c r="AH386" s="6">
        <f t="shared" si="79"/>
        <v>-4</v>
      </c>
      <c r="AI386" s="3"/>
      <c r="AJ386" s="3" t="e">
        <f>_xlfn.XLOOKUP(K386,工作表1!A:A,工作表1!C:C)</f>
        <v>#N/A</v>
      </c>
      <c r="AK386" s="3"/>
      <c r="AL386" s="6">
        <f t="shared" si="80"/>
        <v>0</v>
      </c>
      <c r="AM386" s="6">
        <f t="shared" si="81"/>
        <v>0</v>
      </c>
      <c r="AN386" s="6">
        <f t="shared" si="82"/>
        <v>0</v>
      </c>
      <c r="AO386" s="6">
        <f t="shared" si="83"/>
        <v>0</v>
      </c>
      <c r="AP386" s="6">
        <f t="shared" si="84"/>
        <v>0</v>
      </c>
      <c r="AQ386" s="6">
        <f t="shared" si="85"/>
        <v>0</v>
      </c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  <c r="BC386" s="6"/>
      <c r="BD386" s="6"/>
      <c r="BE386" s="6"/>
      <c r="BF386" s="6"/>
      <c r="BG386" s="6"/>
      <c r="BH386" s="6"/>
      <c r="BI386" s="6"/>
      <c r="BJ386" s="6"/>
      <c r="BK386" s="6"/>
      <c r="BL386" s="6"/>
      <c r="BM386" s="6"/>
      <c r="BN386" s="6"/>
      <c r="BO386" s="6"/>
      <c r="BP386" s="3">
        <v>4</v>
      </c>
      <c r="BQ386" s="6">
        <f t="shared" si="76"/>
        <v>0</v>
      </c>
    </row>
    <row r="387" spans="1:69" x14ac:dyDescent="0.3">
      <c r="A387" s="3" t="s">
        <v>17</v>
      </c>
      <c r="B387" s="3">
        <v>630</v>
      </c>
      <c r="C387" s="3" t="s">
        <v>647</v>
      </c>
      <c r="D387" s="3">
        <v>2</v>
      </c>
      <c r="E387" s="3" t="s">
        <v>19</v>
      </c>
      <c r="F387" s="3" t="s">
        <v>19</v>
      </c>
      <c r="G387" s="3" t="s">
        <v>19</v>
      </c>
      <c r="H387" s="3" t="s">
        <v>340</v>
      </c>
      <c r="I387" s="3"/>
      <c r="J387" s="3" t="s">
        <v>91</v>
      </c>
      <c r="K387" s="3" t="s">
        <v>648</v>
      </c>
      <c r="L387" s="3" t="s">
        <v>1468</v>
      </c>
      <c r="M387" s="3">
        <v>6</v>
      </c>
      <c r="N387" s="6"/>
      <c r="O387" s="3">
        <v>3</v>
      </c>
      <c r="P387" s="3">
        <v>3</v>
      </c>
      <c r="Q387" s="3">
        <v>0</v>
      </c>
      <c r="R387" s="3">
        <v>0</v>
      </c>
      <c r="S387" s="3">
        <v>0</v>
      </c>
      <c r="T387" s="3">
        <v>3</v>
      </c>
      <c r="U387" s="3">
        <v>0</v>
      </c>
      <c r="V387" s="3">
        <f t="shared" si="77"/>
        <v>3</v>
      </c>
      <c r="W387" s="3">
        <v>0</v>
      </c>
      <c r="X387" s="3">
        <v>0</v>
      </c>
      <c r="Y387" s="3">
        <v>0</v>
      </c>
      <c r="Z387" s="3">
        <v>3</v>
      </c>
      <c r="AA387" s="3">
        <v>0</v>
      </c>
      <c r="AB387" s="3">
        <f t="shared" si="78"/>
        <v>3</v>
      </c>
      <c r="AC387" s="6">
        <f t="shared" si="86"/>
        <v>0</v>
      </c>
      <c r="AD387" s="6">
        <f t="shared" si="87"/>
        <v>0</v>
      </c>
      <c r="AE387" s="6">
        <f t="shared" si="88"/>
        <v>0</v>
      </c>
      <c r="AF387" s="6">
        <f t="shared" si="89"/>
        <v>-3</v>
      </c>
      <c r="AG387" s="6">
        <f t="shared" si="90"/>
        <v>0</v>
      </c>
      <c r="AH387" s="6">
        <f t="shared" si="79"/>
        <v>-3</v>
      </c>
      <c r="AI387" s="3"/>
      <c r="AJ387" s="3" t="e">
        <f>_xlfn.XLOOKUP(K387,工作表1!A:A,工作表1!C:C)</f>
        <v>#N/A</v>
      </c>
      <c r="AK387" s="3"/>
      <c r="AL387" s="6">
        <f t="shared" si="80"/>
        <v>0</v>
      </c>
      <c r="AM387" s="6">
        <f t="shared" si="81"/>
        <v>0</v>
      </c>
      <c r="AN387" s="6">
        <f t="shared" si="82"/>
        <v>0</v>
      </c>
      <c r="AO387" s="6">
        <f t="shared" si="83"/>
        <v>0</v>
      </c>
      <c r="AP387" s="6">
        <f t="shared" si="84"/>
        <v>0</v>
      </c>
      <c r="AQ387" s="6">
        <f t="shared" si="85"/>
        <v>0</v>
      </c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  <c r="BC387" s="6"/>
      <c r="BD387" s="6"/>
      <c r="BE387" s="6"/>
      <c r="BF387" s="6"/>
      <c r="BG387" s="6"/>
      <c r="BH387" s="6"/>
      <c r="BI387" s="6"/>
      <c r="BJ387" s="6"/>
      <c r="BK387" s="6"/>
      <c r="BL387" s="6"/>
      <c r="BM387" s="6"/>
      <c r="BN387" s="6"/>
      <c r="BO387" s="6"/>
      <c r="BP387" s="3">
        <v>3</v>
      </c>
      <c r="BQ387" s="6">
        <f t="shared" si="76"/>
        <v>0</v>
      </c>
    </row>
    <row r="388" spans="1:69" x14ac:dyDescent="0.3">
      <c r="A388" s="3" t="s">
        <v>17</v>
      </c>
      <c r="B388" s="3">
        <v>630</v>
      </c>
      <c r="C388" s="3" t="s">
        <v>647</v>
      </c>
      <c r="D388" s="3">
        <v>1</v>
      </c>
      <c r="E388" s="3" t="s">
        <v>19</v>
      </c>
      <c r="F388" s="3" t="s">
        <v>19</v>
      </c>
      <c r="G388" s="3" t="s">
        <v>19</v>
      </c>
      <c r="H388" s="3" t="s">
        <v>101</v>
      </c>
      <c r="I388" s="3"/>
      <c r="J388" s="3" t="s">
        <v>91</v>
      </c>
      <c r="K388" s="3" t="s">
        <v>649</v>
      </c>
      <c r="L388" s="3" t="s">
        <v>1468</v>
      </c>
      <c r="M388" s="3">
        <v>36</v>
      </c>
      <c r="N388" s="6"/>
      <c r="O388" s="3">
        <v>15</v>
      </c>
      <c r="P388" s="3">
        <v>14</v>
      </c>
      <c r="Q388" s="3">
        <v>0</v>
      </c>
      <c r="R388" s="3">
        <v>4</v>
      </c>
      <c r="S388" s="3">
        <v>4</v>
      </c>
      <c r="T388" s="3">
        <v>6</v>
      </c>
      <c r="U388" s="3">
        <v>0</v>
      </c>
      <c r="V388" s="3">
        <f t="shared" si="77"/>
        <v>14</v>
      </c>
      <c r="W388" s="3">
        <v>0</v>
      </c>
      <c r="X388" s="3">
        <v>4</v>
      </c>
      <c r="Y388" s="3">
        <v>4</v>
      </c>
      <c r="Z388" s="3">
        <v>6</v>
      </c>
      <c r="AA388" s="3">
        <v>0</v>
      </c>
      <c r="AB388" s="3">
        <f t="shared" si="78"/>
        <v>14</v>
      </c>
      <c r="AC388" s="6">
        <f t="shared" si="86"/>
        <v>0</v>
      </c>
      <c r="AD388" s="6">
        <f t="shared" si="87"/>
        <v>-4</v>
      </c>
      <c r="AE388" s="6">
        <f t="shared" si="88"/>
        <v>-4</v>
      </c>
      <c r="AF388" s="6">
        <f t="shared" si="89"/>
        <v>-6</v>
      </c>
      <c r="AG388" s="6">
        <f t="shared" si="90"/>
        <v>0</v>
      </c>
      <c r="AH388" s="6">
        <f t="shared" si="79"/>
        <v>-14</v>
      </c>
      <c r="AI388" s="3"/>
      <c r="AJ388" s="3" t="e">
        <f>_xlfn.XLOOKUP(K388,工作表1!A:A,工作表1!C:C)</f>
        <v>#N/A</v>
      </c>
      <c r="AK388" s="3"/>
      <c r="AL388" s="6">
        <f t="shared" si="80"/>
        <v>0</v>
      </c>
      <c r="AM388" s="6">
        <f t="shared" si="81"/>
        <v>0</v>
      </c>
      <c r="AN388" s="6">
        <f t="shared" si="82"/>
        <v>0</v>
      </c>
      <c r="AO388" s="6">
        <f t="shared" si="83"/>
        <v>0</v>
      </c>
      <c r="AP388" s="6">
        <f t="shared" si="84"/>
        <v>0</v>
      </c>
      <c r="AQ388" s="6">
        <f t="shared" si="85"/>
        <v>0</v>
      </c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  <c r="BC388" s="6"/>
      <c r="BD388" s="6"/>
      <c r="BE388" s="6"/>
      <c r="BF388" s="6"/>
      <c r="BG388" s="6"/>
      <c r="BH388" s="6"/>
      <c r="BI388" s="6"/>
      <c r="BJ388" s="6"/>
      <c r="BK388" s="6"/>
      <c r="BL388" s="6"/>
      <c r="BM388" s="6"/>
      <c r="BN388" s="6"/>
      <c r="BO388" s="6"/>
      <c r="BP388" s="3">
        <v>14</v>
      </c>
      <c r="BQ388" s="6">
        <f t="shared" si="76"/>
        <v>0</v>
      </c>
    </row>
    <row r="389" spans="1:69" x14ac:dyDescent="0.3">
      <c r="A389" s="3" t="s">
        <v>17</v>
      </c>
      <c r="B389" s="3">
        <v>630</v>
      </c>
      <c r="C389" s="3" t="s">
        <v>647</v>
      </c>
      <c r="D389" s="3">
        <v>0.75</v>
      </c>
      <c r="E389" s="3" t="s">
        <v>19</v>
      </c>
      <c r="F389" s="3" t="s">
        <v>19</v>
      </c>
      <c r="G389" s="3" t="s">
        <v>19</v>
      </c>
      <c r="H389" s="3" t="s">
        <v>103</v>
      </c>
      <c r="I389" s="3"/>
      <c r="J389" s="3" t="s">
        <v>91</v>
      </c>
      <c r="K389" s="3" t="s">
        <v>650</v>
      </c>
      <c r="L389" s="3" t="s">
        <v>1468</v>
      </c>
      <c r="M389" s="3">
        <v>9</v>
      </c>
      <c r="N389" s="6"/>
      <c r="O389" s="3">
        <v>1</v>
      </c>
      <c r="P389" s="3">
        <v>1</v>
      </c>
      <c r="Q389" s="3">
        <v>0</v>
      </c>
      <c r="R389" s="3">
        <v>0</v>
      </c>
      <c r="S389" s="3">
        <v>0</v>
      </c>
      <c r="T389" s="3">
        <v>1</v>
      </c>
      <c r="U389" s="3">
        <v>0</v>
      </c>
      <c r="V389" s="3">
        <f t="shared" si="77"/>
        <v>1</v>
      </c>
      <c r="W389" s="3">
        <v>0</v>
      </c>
      <c r="X389" s="3">
        <v>0</v>
      </c>
      <c r="Y389" s="3">
        <v>0</v>
      </c>
      <c r="Z389" s="3">
        <v>1</v>
      </c>
      <c r="AA389" s="3">
        <v>0</v>
      </c>
      <c r="AB389" s="3">
        <f t="shared" si="78"/>
        <v>1</v>
      </c>
      <c r="AC389" s="6">
        <f t="shared" si="86"/>
        <v>0</v>
      </c>
      <c r="AD389" s="6">
        <f t="shared" si="87"/>
        <v>0</v>
      </c>
      <c r="AE389" s="6">
        <f t="shared" si="88"/>
        <v>0</v>
      </c>
      <c r="AF389" s="6">
        <f t="shared" si="89"/>
        <v>-1</v>
      </c>
      <c r="AG389" s="6">
        <f t="shared" si="90"/>
        <v>0</v>
      </c>
      <c r="AH389" s="6">
        <f t="shared" si="79"/>
        <v>-1</v>
      </c>
      <c r="AI389" s="3"/>
      <c r="AJ389" s="3" t="e">
        <f>_xlfn.XLOOKUP(K389,工作表1!A:A,工作表1!C:C)</f>
        <v>#N/A</v>
      </c>
      <c r="AK389" s="3"/>
      <c r="AL389" s="6">
        <f t="shared" si="80"/>
        <v>0</v>
      </c>
      <c r="AM389" s="6">
        <f t="shared" si="81"/>
        <v>0</v>
      </c>
      <c r="AN389" s="6">
        <f t="shared" si="82"/>
        <v>0</v>
      </c>
      <c r="AO389" s="6">
        <f t="shared" si="83"/>
        <v>0</v>
      </c>
      <c r="AP389" s="6">
        <f t="shared" si="84"/>
        <v>0</v>
      </c>
      <c r="AQ389" s="6">
        <f t="shared" si="85"/>
        <v>0</v>
      </c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  <c r="BC389" s="6"/>
      <c r="BD389" s="6"/>
      <c r="BE389" s="6"/>
      <c r="BF389" s="6"/>
      <c r="BG389" s="6"/>
      <c r="BH389" s="6"/>
      <c r="BI389" s="6"/>
      <c r="BJ389" s="6"/>
      <c r="BK389" s="6"/>
      <c r="BL389" s="6"/>
      <c r="BM389" s="6"/>
      <c r="BN389" s="6"/>
      <c r="BO389" s="6"/>
      <c r="BP389" s="3">
        <v>1</v>
      </c>
      <c r="BQ389" s="6">
        <f t="shared" si="76"/>
        <v>0</v>
      </c>
    </row>
    <row r="390" spans="1:69" x14ac:dyDescent="0.3">
      <c r="A390" s="3" t="s">
        <v>17</v>
      </c>
      <c r="B390" s="3">
        <v>630</v>
      </c>
      <c r="C390" s="3" t="s">
        <v>651</v>
      </c>
      <c r="D390" s="3">
        <v>2</v>
      </c>
      <c r="E390" s="3" t="s">
        <v>19</v>
      </c>
      <c r="F390" s="3" t="s">
        <v>19</v>
      </c>
      <c r="G390" s="3" t="s">
        <v>19</v>
      </c>
      <c r="H390" s="3" t="s">
        <v>340</v>
      </c>
      <c r="I390" s="3"/>
      <c r="J390" s="3" t="s">
        <v>91</v>
      </c>
      <c r="K390" s="3" t="s">
        <v>652</v>
      </c>
      <c r="L390" s="3" t="s">
        <v>1468</v>
      </c>
      <c r="M390" s="3">
        <v>2</v>
      </c>
      <c r="N390" s="6"/>
      <c r="O390" s="3">
        <v>1</v>
      </c>
      <c r="P390" s="3">
        <v>1</v>
      </c>
      <c r="Q390" s="3">
        <v>0</v>
      </c>
      <c r="R390" s="3">
        <v>0</v>
      </c>
      <c r="S390" s="3">
        <v>1</v>
      </c>
      <c r="T390" s="3">
        <v>0</v>
      </c>
      <c r="U390" s="3">
        <v>0</v>
      </c>
      <c r="V390" s="3">
        <f t="shared" si="77"/>
        <v>1</v>
      </c>
      <c r="W390" s="3">
        <v>0</v>
      </c>
      <c r="X390" s="3">
        <v>0</v>
      </c>
      <c r="Y390" s="3">
        <v>1</v>
      </c>
      <c r="Z390" s="3">
        <v>0</v>
      </c>
      <c r="AA390" s="3">
        <v>0</v>
      </c>
      <c r="AB390" s="3">
        <f t="shared" si="78"/>
        <v>1</v>
      </c>
      <c r="AC390" s="6">
        <f t="shared" si="86"/>
        <v>0</v>
      </c>
      <c r="AD390" s="6">
        <f t="shared" si="87"/>
        <v>0</v>
      </c>
      <c r="AE390" s="6">
        <f t="shared" si="88"/>
        <v>-1</v>
      </c>
      <c r="AF390" s="6">
        <f t="shared" si="89"/>
        <v>0</v>
      </c>
      <c r="AG390" s="6">
        <f t="shared" si="90"/>
        <v>0</v>
      </c>
      <c r="AH390" s="6">
        <f t="shared" si="79"/>
        <v>-1</v>
      </c>
      <c r="AI390" s="3"/>
      <c r="AJ390" s="3" t="e">
        <f>_xlfn.XLOOKUP(K390,工作表1!A:A,工作表1!C:C)</f>
        <v>#N/A</v>
      </c>
      <c r="AK390" s="3"/>
      <c r="AL390" s="6">
        <f t="shared" si="80"/>
        <v>0</v>
      </c>
      <c r="AM390" s="6">
        <f t="shared" si="81"/>
        <v>0</v>
      </c>
      <c r="AN390" s="6">
        <f t="shared" si="82"/>
        <v>0</v>
      </c>
      <c r="AO390" s="6">
        <f t="shared" si="83"/>
        <v>0</v>
      </c>
      <c r="AP390" s="6">
        <f t="shared" si="84"/>
        <v>0</v>
      </c>
      <c r="AQ390" s="6">
        <f t="shared" si="85"/>
        <v>0</v>
      </c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  <c r="BC390" s="6"/>
      <c r="BD390" s="6"/>
      <c r="BE390" s="6"/>
      <c r="BF390" s="6"/>
      <c r="BG390" s="6"/>
      <c r="BH390" s="6"/>
      <c r="BI390" s="6"/>
      <c r="BJ390" s="6"/>
      <c r="BK390" s="6"/>
      <c r="BL390" s="6"/>
      <c r="BM390" s="6"/>
      <c r="BN390" s="6"/>
      <c r="BO390" s="6"/>
      <c r="BP390" s="3">
        <v>1</v>
      </c>
      <c r="BQ390" s="6">
        <f t="shared" si="76"/>
        <v>0</v>
      </c>
    </row>
    <row r="391" spans="1:69" x14ac:dyDescent="0.3">
      <c r="A391" s="3" t="s">
        <v>17</v>
      </c>
      <c r="B391" s="3">
        <v>674</v>
      </c>
      <c r="C391" s="3" t="s">
        <v>653</v>
      </c>
      <c r="D391" s="3">
        <v>2</v>
      </c>
      <c r="E391" s="3" t="s">
        <v>19</v>
      </c>
      <c r="F391" s="3" t="s">
        <v>41</v>
      </c>
      <c r="G391" s="3" t="s">
        <v>19</v>
      </c>
      <c r="H391" s="3" t="s">
        <v>54</v>
      </c>
      <c r="I391" s="3">
        <v>8.74</v>
      </c>
      <c r="J391" s="3" t="s">
        <v>91</v>
      </c>
      <c r="K391" s="3" t="s">
        <v>654</v>
      </c>
      <c r="L391" s="3" t="s">
        <v>1468</v>
      </c>
      <c r="M391" s="3">
        <v>5</v>
      </c>
      <c r="N391" s="6"/>
      <c r="O391" s="3">
        <v>5</v>
      </c>
      <c r="P391" s="3">
        <v>5</v>
      </c>
      <c r="Q391" s="3">
        <v>0</v>
      </c>
      <c r="R391" s="3">
        <v>0</v>
      </c>
      <c r="S391" s="3">
        <v>5</v>
      </c>
      <c r="T391" s="3">
        <v>0</v>
      </c>
      <c r="U391" s="3">
        <v>0</v>
      </c>
      <c r="V391" s="3">
        <f t="shared" si="77"/>
        <v>5</v>
      </c>
      <c r="W391" s="3">
        <v>0</v>
      </c>
      <c r="X391" s="3">
        <v>0</v>
      </c>
      <c r="Y391" s="3">
        <v>5</v>
      </c>
      <c r="Z391" s="3">
        <v>0</v>
      </c>
      <c r="AA391" s="3">
        <v>0</v>
      </c>
      <c r="AB391" s="3">
        <f t="shared" si="78"/>
        <v>5</v>
      </c>
      <c r="AC391" s="6">
        <f t="shared" si="86"/>
        <v>0</v>
      </c>
      <c r="AD391" s="6">
        <f t="shared" si="87"/>
        <v>0</v>
      </c>
      <c r="AE391" s="6">
        <f t="shared" si="88"/>
        <v>-5</v>
      </c>
      <c r="AF391" s="6">
        <f t="shared" si="89"/>
        <v>0</v>
      </c>
      <c r="AG391" s="6">
        <f t="shared" si="90"/>
        <v>0</v>
      </c>
      <c r="AH391" s="6">
        <f t="shared" si="79"/>
        <v>-5</v>
      </c>
      <c r="AI391" s="3"/>
      <c r="AJ391" s="3" t="e">
        <f>_xlfn.XLOOKUP(K391,工作表1!A:A,工作表1!C:C)</f>
        <v>#N/A</v>
      </c>
      <c r="AK391" s="3"/>
      <c r="AL391" s="6">
        <f t="shared" si="80"/>
        <v>0</v>
      </c>
      <c r="AM391" s="6">
        <f t="shared" si="81"/>
        <v>0</v>
      </c>
      <c r="AN391" s="6">
        <f t="shared" si="82"/>
        <v>0</v>
      </c>
      <c r="AO391" s="6">
        <f t="shared" si="83"/>
        <v>0</v>
      </c>
      <c r="AP391" s="6">
        <f t="shared" si="84"/>
        <v>0</v>
      </c>
      <c r="AQ391" s="6">
        <f t="shared" si="85"/>
        <v>0</v>
      </c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  <c r="BC391" s="6"/>
      <c r="BD391" s="6"/>
      <c r="BE391" s="6"/>
      <c r="BF391" s="6"/>
      <c r="BG391" s="6"/>
      <c r="BH391" s="6"/>
      <c r="BI391" s="6"/>
      <c r="BJ391" s="6"/>
      <c r="BK391" s="6"/>
      <c r="BL391" s="6"/>
      <c r="BM391" s="6"/>
      <c r="BN391" s="6"/>
      <c r="BO391" s="6"/>
      <c r="BP391" s="3">
        <v>5</v>
      </c>
      <c r="BQ391" s="6">
        <f t="shared" ref="BQ391:BQ454" si="91">SUM(BR391:FN391)</f>
        <v>0</v>
      </c>
    </row>
    <row r="392" spans="1:69" x14ac:dyDescent="0.3">
      <c r="A392" s="3" t="s">
        <v>17</v>
      </c>
      <c r="B392" s="3">
        <v>999</v>
      </c>
      <c r="C392" s="3" t="s">
        <v>655</v>
      </c>
      <c r="D392" s="3" t="s">
        <v>19</v>
      </c>
      <c r="E392" s="3" t="s">
        <v>19</v>
      </c>
      <c r="F392" s="3" t="s">
        <v>19</v>
      </c>
      <c r="G392" s="3" t="s">
        <v>19</v>
      </c>
      <c r="H392" s="3"/>
      <c r="I392" s="3"/>
      <c r="J392" s="3" t="s">
        <v>91</v>
      </c>
      <c r="K392" s="3" t="s">
        <v>656</v>
      </c>
      <c r="L392" s="3" t="s">
        <v>1467</v>
      </c>
      <c r="M392" s="3">
        <v>4</v>
      </c>
      <c r="N392" s="6"/>
      <c r="O392" s="3">
        <v>1</v>
      </c>
      <c r="P392" s="3">
        <v>1</v>
      </c>
      <c r="Q392" s="3">
        <v>0</v>
      </c>
      <c r="R392" s="3">
        <v>0</v>
      </c>
      <c r="S392" s="3">
        <v>0</v>
      </c>
      <c r="T392" s="3">
        <v>1</v>
      </c>
      <c r="U392" s="3">
        <v>0</v>
      </c>
      <c r="V392" s="3">
        <f t="shared" ref="V392:V455" si="92">SUM(Q392:U392)</f>
        <v>1</v>
      </c>
      <c r="W392" s="3">
        <v>0</v>
      </c>
      <c r="X392" s="3">
        <v>0</v>
      </c>
      <c r="Y392" s="3">
        <v>0</v>
      </c>
      <c r="Z392" s="3">
        <v>1</v>
      </c>
      <c r="AA392" s="3">
        <v>0</v>
      </c>
      <c r="AB392" s="3">
        <f t="shared" ref="AB392:AB455" si="93">SUM(W392:AA392)</f>
        <v>1</v>
      </c>
      <c r="AC392" s="6">
        <f t="shared" si="86"/>
        <v>0</v>
      </c>
      <c r="AD392" s="6">
        <f t="shared" si="87"/>
        <v>0</v>
      </c>
      <c r="AE392" s="6">
        <f t="shared" si="88"/>
        <v>0</v>
      </c>
      <c r="AF392" s="6">
        <f t="shared" si="89"/>
        <v>-1</v>
      </c>
      <c r="AG392" s="6">
        <f t="shared" si="90"/>
        <v>0</v>
      </c>
      <c r="AH392" s="6">
        <f t="shared" ref="AH392:AH455" si="94">AQ392-AB392</f>
        <v>-1</v>
      </c>
      <c r="AI392" s="3"/>
      <c r="AJ392" s="3" t="e">
        <f>_xlfn.XLOOKUP(K392,工作表1!A:A,工作表1!C:C)</f>
        <v>#N/A</v>
      </c>
      <c r="AK392" s="3"/>
      <c r="AL392" s="6">
        <f t="shared" ref="AL392:AL455" si="95">SUM(AR392:AV392)</f>
        <v>0</v>
      </c>
      <c r="AM392" s="6">
        <f t="shared" ref="AM392:AM455" si="96">SUM(AW392:AZ392)</f>
        <v>0</v>
      </c>
      <c r="AN392" s="6">
        <f t="shared" ref="AN392:AN455" si="97">SUM(BA392:BE392)</f>
        <v>0</v>
      </c>
      <c r="AO392" s="6">
        <f t="shared" ref="AO392:AO455" si="98">SUM(BF392:BI392)</f>
        <v>0</v>
      </c>
      <c r="AP392" s="6">
        <f t="shared" ref="AP392:AP455" si="99">SUM(BJ392:BN392)</f>
        <v>0</v>
      </c>
      <c r="AQ392" s="6">
        <f t="shared" ref="AQ392:AQ455" si="100">SUM(AL392:AP392)</f>
        <v>0</v>
      </c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  <c r="BC392" s="6"/>
      <c r="BD392" s="6"/>
      <c r="BE392" s="6"/>
      <c r="BF392" s="6"/>
      <c r="BG392" s="6"/>
      <c r="BH392" s="6"/>
      <c r="BI392" s="6"/>
      <c r="BJ392" s="6"/>
      <c r="BK392" s="6"/>
      <c r="BL392" s="6"/>
      <c r="BM392" s="6"/>
      <c r="BN392" s="6"/>
      <c r="BO392" s="6"/>
      <c r="BP392" s="3">
        <v>1</v>
      </c>
      <c r="BQ392" s="6">
        <f t="shared" si="91"/>
        <v>0</v>
      </c>
    </row>
    <row r="393" spans="1:69" x14ac:dyDescent="0.3">
      <c r="A393" s="3" t="s">
        <v>17</v>
      </c>
      <c r="B393" s="3">
        <v>999</v>
      </c>
      <c r="C393" s="3" t="s">
        <v>657</v>
      </c>
      <c r="D393" s="3" t="s">
        <v>19</v>
      </c>
      <c r="E393" s="3" t="s">
        <v>19</v>
      </c>
      <c r="F393" s="3" t="s">
        <v>19</v>
      </c>
      <c r="G393" s="3" t="s">
        <v>19</v>
      </c>
      <c r="H393" s="3"/>
      <c r="I393" s="3"/>
      <c r="J393" s="3" t="s">
        <v>91</v>
      </c>
      <c r="K393" s="3" t="s">
        <v>658</v>
      </c>
      <c r="L393" s="3" t="s">
        <v>1467</v>
      </c>
      <c r="M393" s="3">
        <v>3</v>
      </c>
      <c r="N393" s="6"/>
      <c r="O393" s="3">
        <v>1</v>
      </c>
      <c r="P393" s="3">
        <v>1</v>
      </c>
      <c r="Q393" s="3">
        <v>0</v>
      </c>
      <c r="R393" s="3">
        <v>0</v>
      </c>
      <c r="S393" s="3">
        <v>0</v>
      </c>
      <c r="T393" s="3">
        <v>1</v>
      </c>
      <c r="U393" s="3">
        <v>0</v>
      </c>
      <c r="V393" s="3">
        <f t="shared" si="92"/>
        <v>1</v>
      </c>
      <c r="W393" s="3">
        <v>0</v>
      </c>
      <c r="X393" s="3">
        <v>0</v>
      </c>
      <c r="Y393" s="3">
        <v>0</v>
      </c>
      <c r="Z393" s="3">
        <v>1</v>
      </c>
      <c r="AA393" s="3">
        <v>0</v>
      </c>
      <c r="AB393" s="3">
        <f t="shared" si="93"/>
        <v>1</v>
      </c>
      <c r="AC393" s="6">
        <f t="shared" si="86"/>
        <v>0</v>
      </c>
      <c r="AD393" s="6">
        <f t="shared" si="87"/>
        <v>0</v>
      </c>
      <c r="AE393" s="6">
        <f t="shared" si="88"/>
        <v>0</v>
      </c>
      <c r="AF393" s="6">
        <f t="shared" si="89"/>
        <v>-1</v>
      </c>
      <c r="AG393" s="6">
        <f t="shared" si="90"/>
        <v>0</v>
      </c>
      <c r="AH393" s="6">
        <f t="shared" si="94"/>
        <v>-1</v>
      </c>
      <c r="AI393" s="3"/>
      <c r="AJ393" s="3" t="e">
        <f>_xlfn.XLOOKUP(K393,工作表1!A:A,工作表1!C:C)</f>
        <v>#N/A</v>
      </c>
      <c r="AK393" s="3"/>
      <c r="AL393" s="6">
        <f t="shared" si="95"/>
        <v>0</v>
      </c>
      <c r="AM393" s="6">
        <f t="shared" si="96"/>
        <v>0</v>
      </c>
      <c r="AN393" s="6">
        <f t="shared" si="97"/>
        <v>0</v>
      </c>
      <c r="AO393" s="6">
        <f t="shared" si="98"/>
        <v>0</v>
      </c>
      <c r="AP393" s="6">
        <f t="shared" si="99"/>
        <v>0</v>
      </c>
      <c r="AQ393" s="6">
        <f t="shared" si="100"/>
        <v>0</v>
      </c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  <c r="BC393" s="6"/>
      <c r="BD393" s="6"/>
      <c r="BE393" s="6"/>
      <c r="BF393" s="6"/>
      <c r="BG393" s="6"/>
      <c r="BH393" s="6"/>
      <c r="BI393" s="6"/>
      <c r="BJ393" s="6"/>
      <c r="BK393" s="6"/>
      <c r="BL393" s="6"/>
      <c r="BM393" s="6"/>
      <c r="BN393" s="6"/>
      <c r="BO393" s="6"/>
      <c r="BP393" s="3">
        <v>1</v>
      </c>
      <c r="BQ393" s="6">
        <f t="shared" si="91"/>
        <v>0</v>
      </c>
    </row>
    <row r="394" spans="1:69" x14ac:dyDescent="0.3">
      <c r="A394" s="3" t="s">
        <v>17</v>
      </c>
      <c r="B394" s="3">
        <v>999</v>
      </c>
      <c r="C394" s="3" t="s">
        <v>1470</v>
      </c>
      <c r="D394" s="3" t="s">
        <v>19</v>
      </c>
      <c r="E394" s="3" t="s">
        <v>19</v>
      </c>
      <c r="F394" s="3" t="s">
        <v>19</v>
      </c>
      <c r="G394" s="3" t="s">
        <v>19</v>
      </c>
      <c r="H394" s="3"/>
      <c r="I394" s="3"/>
      <c r="J394" s="3" t="s">
        <v>91</v>
      </c>
      <c r="K394" s="3" t="s">
        <v>660</v>
      </c>
      <c r="L394" s="3" t="s">
        <v>1468</v>
      </c>
      <c r="M394" s="3">
        <v>1</v>
      </c>
      <c r="N394" s="6"/>
      <c r="O394" s="3">
        <v>1</v>
      </c>
      <c r="P394" s="3">
        <v>1</v>
      </c>
      <c r="Q394" s="3">
        <v>0</v>
      </c>
      <c r="R394" s="3">
        <v>0</v>
      </c>
      <c r="S394" s="3">
        <v>1</v>
      </c>
      <c r="T394" s="3">
        <v>0</v>
      </c>
      <c r="U394" s="3">
        <v>0</v>
      </c>
      <c r="V394" s="3">
        <f t="shared" si="92"/>
        <v>1</v>
      </c>
      <c r="W394" s="3">
        <v>0</v>
      </c>
      <c r="X394" s="3">
        <v>0</v>
      </c>
      <c r="Y394" s="3">
        <v>1</v>
      </c>
      <c r="Z394" s="3">
        <v>0</v>
      </c>
      <c r="AA394" s="3">
        <v>0</v>
      </c>
      <c r="AB394" s="3">
        <f t="shared" si="93"/>
        <v>1</v>
      </c>
      <c r="AC394" s="6">
        <f t="shared" si="86"/>
        <v>0</v>
      </c>
      <c r="AD394" s="6">
        <f t="shared" si="87"/>
        <v>0</v>
      </c>
      <c r="AE394" s="6">
        <f t="shared" si="88"/>
        <v>-1</v>
      </c>
      <c r="AF394" s="6">
        <f t="shared" si="89"/>
        <v>0</v>
      </c>
      <c r="AG394" s="6">
        <f t="shared" si="90"/>
        <v>0</v>
      </c>
      <c r="AH394" s="6">
        <f t="shared" si="94"/>
        <v>-1</v>
      </c>
      <c r="AI394" s="3"/>
      <c r="AJ394" s="3" t="e">
        <f>_xlfn.XLOOKUP(K394,工作表1!A:A,工作表1!C:C)</f>
        <v>#N/A</v>
      </c>
      <c r="AK394" s="3"/>
      <c r="AL394" s="6">
        <f t="shared" si="95"/>
        <v>0</v>
      </c>
      <c r="AM394" s="6">
        <f t="shared" si="96"/>
        <v>0</v>
      </c>
      <c r="AN394" s="6">
        <f t="shared" si="97"/>
        <v>0</v>
      </c>
      <c r="AO394" s="6">
        <f t="shared" si="98"/>
        <v>0</v>
      </c>
      <c r="AP394" s="6">
        <f t="shared" si="99"/>
        <v>0</v>
      </c>
      <c r="AQ394" s="6">
        <f t="shared" si="100"/>
        <v>0</v>
      </c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  <c r="BC394" s="6"/>
      <c r="BD394" s="6"/>
      <c r="BE394" s="6"/>
      <c r="BF394" s="6"/>
      <c r="BG394" s="6"/>
      <c r="BH394" s="6"/>
      <c r="BI394" s="6"/>
      <c r="BJ394" s="6"/>
      <c r="BK394" s="6"/>
      <c r="BL394" s="6"/>
      <c r="BM394" s="6"/>
      <c r="BN394" s="6"/>
      <c r="BO394" s="6"/>
      <c r="BP394" s="3">
        <v>1</v>
      </c>
      <c r="BQ394" s="6">
        <f t="shared" si="91"/>
        <v>0</v>
      </c>
    </row>
    <row r="395" spans="1:69" x14ac:dyDescent="0.3">
      <c r="A395" s="3" t="s">
        <v>17</v>
      </c>
      <c r="B395" s="3">
        <v>999</v>
      </c>
      <c r="C395" s="3" t="s">
        <v>659</v>
      </c>
      <c r="D395" s="3" t="s">
        <v>19</v>
      </c>
      <c r="E395" s="3" t="s">
        <v>19</v>
      </c>
      <c r="F395" s="3" t="s">
        <v>19</v>
      </c>
      <c r="G395" s="3" t="s">
        <v>19</v>
      </c>
      <c r="H395" s="3"/>
      <c r="I395" s="3"/>
      <c r="J395" s="3" t="s">
        <v>91</v>
      </c>
      <c r="K395" s="3" t="s">
        <v>661</v>
      </c>
      <c r="L395" s="3" t="s">
        <v>1468</v>
      </c>
      <c r="M395" s="3">
        <v>1</v>
      </c>
      <c r="N395" s="6"/>
      <c r="O395" s="3">
        <v>1</v>
      </c>
      <c r="P395" s="3">
        <v>1</v>
      </c>
      <c r="Q395" s="3">
        <v>0</v>
      </c>
      <c r="R395" s="3">
        <v>0</v>
      </c>
      <c r="S395" s="3">
        <v>1</v>
      </c>
      <c r="T395" s="3">
        <v>0</v>
      </c>
      <c r="U395" s="3">
        <v>0</v>
      </c>
      <c r="V395" s="3">
        <f t="shared" si="92"/>
        <v>1</v>
      </c>
      <c r="W395" s="3">
        <v>0</v>
      </c>
      <c r="X395" s="3">
        <v>0</v>
      </c>
      <c r="Y395" s="3">
        <v>1</v>
      </c>
      <c r="Z395" s="3">
        <v>0</v>
      </c>
      <c r="AA395" s="3">
        <v>0</v>
      </c>
      <c r="AB395" s="3">
        <f t="shared" si="93"/>
        <v>1</v>
      </c>
      <c r="AC395" s="6">
        <f t="shared" si="86"/>
        <v>0</v>
      </c>
      <c r="AD395" s="6">
        <f t="shared" si="87"/>
        <v>0</v>
      </c>
      <c r="AE395" s="6">
        <f t="shared" si="88"/>
        <v>-1</v>
      </c>
      <c r="AF395" s="6">
        <f t="shared" si="89"/>
        <v>0</v>
      </c>
      <c r="AG395" s="6">
        <f t="shared" si="90"/>
        <v>0</v>
      </c>
      <c r="AH395" s="6">
        <f t="shared" si="94"/>
        <v>-1</v>
      </c>
      <c r="AI395" s="3"/>
      <c r="AJ395" s="3" t="e">
        <f>_xlfn.XLOOKUP(K395,工作表1!A:A,工作表1!C:C)</f>
        <v>#N/A</v>
      </c>
      <c r="AK395" s="3"/>
      <c r="AL395" s="6">
        <f t="shared" si="95"/>
        <v>0</v>
      </c>
      <c r="AM395" s="6">
        <f t="shared" si="96"/>
        <v>0</v>
      </c>
      <c r="AN395" s="6">
        <f t="shared" si="97"/>
        <v>0</v>
      </c>
      <c r="AO395" s="6">
        <f t="shared" si="98"/>
        <v>0</v>
      </c>
      <c r="AP395" s="6">
        <f t="shared" si="99"/>
        <v>0</v>
      </c>
      <c r="AQ395" s="6">
        <f t="shared" si="100"/>
        <v>0</v>
      </c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  <c r="BC395" s="6"/>
      <c r="BD395" s="6"/>
      <c r="BE395" s="6"/>
      <c r="BF395" s="6"/>
      <c r="BG395" s="6"/>
      <c r="BH395" s="6"/>
      <c r="BI395" s="6"/>
      <c r="BJ395" s="6"/>
      <c r="BK395" s="6"/>
      <c r="BL395" s="6"/>
      <c r="BM395" s="6"/>
      <c r="BN395" s="6"/>
      <c r="BO395" s="6"/>
      <c r="BP395" s="3">
        <v>1</v>
      </c>
      <c r="BQ395" s="6">
        <f t="shared" si="91"/>
        <v>0</v>
      </c>
    </row>
    <row r="396" spans="1:69" x14ac:dyDescent="0.3">
      <c r="A396" s="3" t="s">
        <v>17</v>
      </c>
      <c r="B396" s="3">
        <v>999</v>
      </c>
      <c r="C396" s="3" t="s">
        <v>662</v>
      </c>
      <c r="D396" s="3" t="s">
        <v>19</v>
      </c>
      <c r="E396" s="3" t="s">
        <v>19</v>
      </c>
      <c r="F396" s="3" t="s">
        <v>19</v>
      </c>
      <c r="G396" s="3" t="s">
        <v>19</v>
      </c>
      <c r="H396" s="3"/>
      <c r="I396" s="3"/>
      <c r="J396" s="3" t="s">
        <v>91</v>
      </c>
      <c r="K396" s="3" t="s">
        <v>663</v>
      </c>
      <c r="L396" s="3" t="s">
        <v>1468</v>
      </c>
      <c r="M396" s="3">
        <v>1</v>
      </c>
      <c r="N396" s="6"/>
      <c r="O396" s="3">
        <v>1</v>
      </c>
      <c r="P396" s="3">
        <v>1</v>
      </c>
      <c r="Q396" s="3">
        <v>0</v>
      </c>
      <c r="R396" s="3">
        <v>1</v>
      </c>
      <c r="S396" s="3">
        <v>0</v>
      </c>
      <c r="T396" s="3">
        <v>0</v>
      </c>
      <c r="U396" s="3">
        <v>0</v>
      </c>
      <c r="V396" s="3">
        <f t="shared" si="92"/>
        <v>1</v>
      </c>
      <c r="W396" s="3">
        <v>0</v>
      </c>
      <c r="X396" s="3">
        <v>1</v>
      </c>
      <c r="Y396" s="3">
        <v>0</v>
      </c>
      <c r="Z396" s="3">
        <v>0</v>
      </c>
      <c r="AA396" s="3">
        <v>0</v>
      </c>
      <c r="AB396" s="3">
        <f t="shared" si="93"/>
        <v>1</v>
      </c>
      <c r="AC396" s="6">
        <f t="shared" si="86"/>
        <v>0</v>
      </c>
      <c r="AD396" s="6">
        <f t="shared" si="87"/>
        <v>-1</v>
      </c>
      <c r="AE396" s="6">
        <f t="shared" si="88"/>
        <v>0</v>
      </c>
      <c r="AF396" s="6">
        <f t="shared" si="89"/>
        <v>0</v>
      </c>
      <c r="AG396" s="6">
        <f t="shared" si="90"/>
        <v>0</v>
      </c>
      <c r="AH396" s="6">
        <f t="shared" si="94"/>
        <v>-1</v>
      </c>
      <c r="AI396" s="3"/>
      <c r="AJ396" s="3" t="e">
        <f>_xlfn.XLOOKUP(K396,工作表1!A:A,工作表1!C:C)</f>
        <v>#N/A</v>
      </c>
      <c r="AK396" s="3"/>
      <c r="AL396" s="6">
        <f t="shared" si="95"/>
        <v>0</v>
      </c>
      <c r="AM396" s="6">
        <f t="shared" si="96"/>
        <v>0</v>
      </c>
      <c r="AN396" s="6">
        <f t="shared" si="97"/>
        <v>0</v>
      </c>
      <c r="AO396" s="6">
        <f t="shared" si="98"/>
        <v>0</v>
      </c>
      <c r="AP396" s="6">
        <f t="shared" si="99"/>
        <v>0</v>
      </c>
      <c r="AQ396" s="6">
        <f t="shared" si="100"/>
        <v>0</v>
      </c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  <c r="BC396" s="6"/>
      <c r="BD396" s="6"/>
      <c r="BE396" s="6"/>
      <c r="BF396" s="6"/>
      <c r="BG396" s="6"/>
      <c r="BH396" s="6"/>
      <c r="BI396" s="6"/>
      <c r="BJ396" s="6"/>
      <c r="BK396" s="6"/>
      <c r="BL396" s="6"/>
      <c r="BM396" s="6"/>
      <c r="BN396" s="6"/>
      <c r="BO396" s="6"/>
      <c r="BP396" s="3">
        <v>1</v>
      </c>
      <c r="BQ396" s="6">
        <f t="shared" si="91"/>
        <v>0</v>
      </c>
    </row>
    <row r="397" spans="1:69" x14ac:dyDescent="0.3">
      <c r="A397" s="3" t="s">
        <v>17</v>
      </c>
      <c r="B397" s="3">
        <v>999</v>
      </c>
      <c r="C397" s="3" t="s">
        <v>662</v>
      </c>
      <c r="D397" s="3" t="s">
        <v>19</v>
      </c>
      <c r="E397" s="3" t="s">
        <v>19</v>
      </c>
      <c r="F397" s="3" t="s">
        <v>19</v>
      </c>
      <c r="G397" s="3" t="s">
        <v>19</v>
      </c>
      <c r="H397" s="3"/>
      <c r="I397" s="3"/>
      <c r="J397" s="3" t="s">
        <v>91</v>
      </c>
      <c r="K397" s="3" t="s">
        <v>664</v>
      </c>
      <c r="L397" s="3" t="s">
        <v>1468</v>
      </c>
      <c r="M397" s="3">
        <v>1</v>
      </c>
      <c r="N397" s="6"/>
      <c r="O397" s="3">
        <v>1</v>
      </c>
      <c r="P397" s="3">
        <v>1</v>
      </c>
      <c r="Q397" s="3">
        <v>0</v>
      </c>
      <c r="R397" s="3">
        <v>1</v>
      </c>
      <c r="S397" s="3">
        <v>0</v>
      </c>
      <c r="T397" s="3">
        <v>0</v>
      </c>
      <c r="U397" s="3">
        <v>0</v>
      </c>
      <c r="V397" s="3">
        <f t="shared" si="92"/>
        <v>1</v>
      </c>
      <c r="W397" s="3">
        <v>0</v>
      </c>
      <c r="X397" s="3">
        <v>1</v>
      </c>
      <c r="Y397" s="3">
        <v>0</v>
      </c>
      <c r="Z397" s="3">
        <v>0</v>
      </c>
      <c r="AA397" s="3">
        <v>0</v>
      </c>
      <c r="AB397" s="3">
        <f t="shared" si="93"/>
        <v>1</v>
      </c>
      <c r="AC397" s="6">
        <f t="shared" si="86"/>
        <v>0</v>
      </c>
      <c r="AD397" s="6">
        <f t="shared" si="87"/>
        <v>-1</v>
      </c>
      <c r="AE397" s="6">
        <f t="shared" si="88"/>
        <v>0</v>
      </c>
      <c r="AF397" s="6">
        <f t="shared" si="89"/>
        <v>0</v>
      </c>
      <c r="AG397" s="6">
        <f t="shared" si="90"/>
        <v>0</v>
      </c>
      <c r="AH397" s="6">
        <f t="shared" si="94"/>
        <v>-1</v>
      </c>
      <c r="AI397" s="3"/>
      <c r="AJ397" s="3" t="e">
        <f>_xlfn.XLOOKUP(K397,工作表1!A:A,工作表1!C:C)</f>
        <v>#N/A</v>
      </c>
      <c r="AK397" s="3"/>
      <c r="AL397" s="6">
        <f t="shared" si="95"/>
        <v>0</v>
      </c>
      <c r="AM397" s="6">
        <f t="shared" si="96"/>
        <v>0</v>
      </c>
      <c r="AN397" s="6">
        <f t="shared" si="97"/>
        <v>0</v>
      </c>
      <c r="AO397" s="6">
        <f t="shared" si="98"/>
        <v>0</v>
      </c>
      <c r="AP397" s="6">
        <f t="shared" si="99"/>
        <v>0</v>
      </c>
      <c r="AQ397" s="6">
        <f t="shared" si="100"/>
        <v>0</v>
      </c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  <c r="BC397" s="6"/>
      <c r="BD397" s="6"/>
      <c r="BE397" s="6"/>
      <c r="BF397" s="6"/>
      <c r="BG397" s="6"/>
      <c r="BH397" s="6"/>
      <c r="BI397" s="6"/>
      <c r="BJ397" s="6"/>
      <c r="BK397" s="6"/>
      <c r="BL397" s="6"/>
      <c r="BM397" s="6"/>
      <c r="BN397" s="6"/>
      <c r="BO397" s="6"/>
      <c r="BP397" s="3">
        <v>1</v>
      </c>
      <c r="BQ397" s="6">
        <f t="shared" si="91"/>
        <v>0</v>
      </c>
    </row>
    <row r="398" spans="1:69" x14ac:dyDescent="0.3">
      <c r="A398" s="3" t="s">
        <v>17</v>
      </c>
      <c r="B398" s="3">
        <v>999</v>
      </c>
      <c r="C398" s="3" t="s">
        <v>665</v>
      </c>
      <c r="D398" s="3" t="s">
        <v>19</v>
      </c>
      <c r="E398" s="3" t="s">
        <v>19</v>
      </c>
      <c r="F398" s="3" t="s">
        <v>19</v>
      </c>
      <c r="G398" s="3" t="s">
        <v>19</v>
      </c>
      <c r="H398" s="3"/>
      <c r="I398" s="3"/>
      <c r="J398" s="3" t="s">
        <v>91</v>
      </c>
      <c r="K398" s="3" t="s">
        <v>666</v>
      </c>
      <c r="L398" s="3" t="s">
        <v>1468</v>
      </c>
      <c r="M398" s="3">
        <v>1</v>
      </c>
      <c r="N398" s="6"/>
      <c r="O398" s="3">
        <v>1</v>
      </c>
      <c r="P398" s="3">
        <v>1</v>
      </c>
      <c r="Q398" s="3">
        <v>0</v>
      </c>
      <c r="R398" s="3">
        <v>0</v>
      </c>
      <c r="S398" s="3">
        <v>0</v>
      </c>
      <c r="T398" s="3">
        <v>1</v>
      </c>
      <c r="U398" s="3">
        <v>0</v>
      </c>
      <c r="V398" s="3">
        <f t="shared" si="92"/>
        <v>1</v>
      </c>
      <c r="W398" s="3">
        <v>0</v>
      </c>
      <c r="X398" s="3">
        <v>0</v>
      </c>
      <c r="Y398" s="3">
        <v>0</v>
      </c>
      <c r="Z398" s="3">
        <v>1</v>
      </c>
      <c r="AA398" s="3">
        <v>0</v>
      </c>
      <c r="AB398" s="3">
        <f t="shared" si="93"/>
        <v>1</v>
      </c>
      <c r="AC398" s="6">
        <f t="shared" si="86"/>
        <v>0</v>
      </c>
      <c r="AD398" s="6">
        <f t="shared" si="87"/>
        <v>0</v>
      </c>
      <c r="AE398" s="6">
        <f t="shared" si="88"/>
        <v>0</v>
      </c>
      <c r="AF398" s="6">
        <f t="shared" si="89"/>
        <v>-1</v>
      </c>
      <c r="AG398" s="6">
        <f t="shared" si="90"/>
        <v>0</v>
      </c>
      <c r="AH398" s="6">
        <f t="shared" si="94"/>
        <v>-1</v>
      </c>
      <c r="AI398" s="3"/>
      <c r="AJ398" s="3" t="e">
        <f>_xlfn.XLOOKUP(K398,工作表1!A:A,工作表1!C:C)</f>
        <v>#N/A</v>
      </c>
      <c r="AK398" s="3"/>
      <c r="AL398" s="6">
        <f t="shared" si="95"/>
        <v>0</v>
      </c>
      <c r="AM398" s="6">
        <f t="shared" si="96"/>
        <v>0</v>
      </c>
      <c r="AN398" s="6">
        <f t="shared" si="97"/>
        <v>0</v>
      </c>
      <c r="AO398" s="6">
        <f t="shared" si="98"/>
        <v>0</v>
      </c>
      <c r="AP398" s="6">
        <f t="shared" si="99"/>
        <v>0</v>
      </c>
      <c r="AQ398" s="6">
        <f t="shared" si="100"/>
        <v>0</v>
      </c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  <c r="BC398" s="6"/>
      <c r="BD398" s="6"/>
      <c r="BE398" s="6"/>
      <c r="BF398" s="6"/>
      <c r="BG398" s="6"/>
      <c r="BH398" s="6"/>
      <c r="BI398" s="6"/>
      <c r="BJ398" s="6"/>
      <c r="BK398" s="6"/>
      <c r="BL398" s="6"/>
      <c r="BM398" s="6"/>
      <c r="BN398" s="6"/>
      <c r="BO398" s="6"/>
      <c r="BP398" s="3">
        <v>1</v>
      </c>
      <c r="BQ398" s="6">
        <f t="shared" si="91"/>
        <v>0</v>
      </c>
    </row>
    <row r="399" spans="1:69" x14ac:dyDescent="0.3">
      <c r="A399" s="3" t="s">
        <v>17</v>
      </c>
      <c r="B399" s="3">
        <v>999</v>
      </c>
      <c r="C399" s="3" t="s">
        <v>667</v>
      </c>
      <c r="D399" s="3" t="s">
        <v>19</v>
      </c>
      <c r="E399" s="3" t="s">
        <v>19</v>
      </c>
      <c r="F399" s="3" t="s">
        <v>19</v>
      </c>
      <c r="G399" s="3" t="s">
        <v>19</v>
      </c>
      <c r="H399" s="3"/>
      <c r="I399" s="3"/>
      <c r="J399" s="3" t="s">
        <v>91</v>
      </c>
      <c r="K399" s="3" t="s">
        <v>668</v>
      </c>
      <c r="L399" s="3" t="s">
        <v>1468</v>
      </c>
      <c r="M399" s="3">
        <v>1</v>
      </c>
      <c r="N399" s="6"/>
      <c r="O399" s="3">
        <v>1</v>
      </c>
      <c r="P399" s="3">
        <v>1</v>
      </c>
      <c r="Q399" s="3">
        <v>0</v>
      </c>
      <c r="R399" s="3">
        <v>0</v>
      </c>
      <c r="S399" s="3">
        <v>0</v>
      </c>
      <c r="T399" s="3">
        <v>1</v>
      </c>
      <c r="U399" s="3">
        <v>0</v>
      </c>
      <c r="V399" s="3">
        <f t="shared" si="92"/>
        <v>1</v>
      </c>
      <c r="W399" s="3">
        <v>0</v>
      </c>
      <c r="X399" s="3">
        <v>0</v>
      </c>
      <c r="Y399" s="3">
        <v>0</v>
      </c>
      <c r="Z399" s="3">
        <v>1</v>
      </c>
      <c r="AA399" s="3">
        <v>0</v>
      </c>
      <c r="AB399" s="3">
        <f t="shared" si="93"/>
        <v>1</v>
      </c>
      <c r="AC399" s="6">
        <f t="shared" si="86"/>
        <v>0</v>
      </c>
      <c r="AD399" s="6">
        <f t="shared" si="87"/>
        <v>0</v>
      </c>
      <c r="AE399" s="6">
        <f t="shared" si="88"/>
        <v>0</v>
      </c>
      <c r="AF399" s="6">
        <f t="shared" si="89"/>
        <v>-1</v>
      </c>
      <c r="AG399" s="6">
        <f t="shared" si="90"/>
        <v>0</v>
      </c>
      <c r="AH399" s="6">
        <f t="shared" si="94"/>
        <v>-1</v>
      </c>
      <c r="AI399" s="3"/>
      <c r="AJ399" s="3" t="e">
        <f>_xlfn.XLOOKUP(K399,工作表1!A:A,工作表1!C:C)</f>
        <v>#N/A</v>
      </c>
      <c r="AK399" s="3"/>
      <c r="AL399" s="6">
        <f t="shared" si="95"/>
        <v>0</v>
      </c>
      <c r="AM399" s="6">
        <f t="shared" si="96"/>
        <v>0</v>
      </c>
      <c r="AN399" s="6">
        <f t="shared" si="97"/>
        <v>0</v>
      </c>
      <c r="AO399" s="6">
        <f t="shared" si="98"/>
        <v>0</v>
      </c>
      <c r="AP399" s="6">
        <f t="shared" si="99"/>
        <v>0</v>
      </c>
      <c r="AQ399" s="6">
        <f t="shared" si="100"/>
        <v>0</v>
      </c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  <c r="BC399" s="6"/>
      <c r="BD399" s="6"/>
      <c r="BE399" s="6"/>
      <c r="BF399" s="6"/>
      <c r="BG399" s="6"/>
      <c r="BH399" s="6"/>
      <c r="BI399" s="6"/>
      <c r="BJ399" s="6"/>
      <c r="BK399" s="6"/>
      <c r="BL399" s="6"/>
      <c r="BM399" s="6"/>
      <c r="BN399" s="6"/>
      <c r="BO399" s="6"/>
      <c r="BP399" s="3">
        <v>1</v>
      </c>
      <c r="BQ399" s="6">
        <f t="shared" si="91"/>
        <v>0</v>
      </c>
    </row>
    <row r="400" spans="1:69" x14ac:dyDescent="0.3">
      <c r="A400" s="3" t="s">
        <v>17</v>
      </c>
      <c r="B400" s="3">
        <v>999</v>
      </c>
      <c r="C400" s="3" t="s">
        <v>667</v>
      </c>
      <c r="D400" s="3" t="s">
        <v>19</v>
      </c>
      <c r="E400" s="3" t="s">
        <v>19</v>
      </c>
      <c r="F400" s="3" t="s">
        <v>19</v>
      </c>
      <c r="G400" s="3" t="s">
        <v>19</v>
      </c>
      <c r="H400" s="3"/>
      <c r="I400" s="3"/>
      <c r="J400" s="3" t="s">
        <v>91</v>
      </c>
      <c r="K400" s="3" t="s">
        <v>669</v>
      </c>
      <c r="L400" s="3" t="s">
        <v>1468</v>
      </c>
      <c r="M400" s="3">
        <v>1</v>
      </c>
      <c r="N400" s="6"/>
      <c r="O400" s="3">
        <v>1</v>
      </c>
      <c r="P400" s="3">
        <v>1</v>
      </c>
      <c r="Q400" s="3">
        <v>0</v>
      </c>
      <c r="R400" s="3">
        <v>0</v>
      </c>
      <c r="S400" s="3">
        <v>0</v>
      </c>
      <c r="T400" s="3">
        <v>1</v>
      </c>
      <c r="U400" s="3">
        <v>0</v>
      </c>
      <c r="V400" s="3">
        <f t="shared" si="92"/>
        <v>1</v>
      </c>
      <c r="W400" s="3">
        <v>0</v>
      </c>
      <c r="X400" s="3">
        <v>0</v>
      </c>
      <c r="Y400" s="3">
        <v>0</v>
      </c>
      <c r="Z400" s="3">
        <v>1</v>
      </c>
      <c r="AA400" s="3">
        <v>0</v>
      </c>
      <c r="AB400" s="3">
        <f t="shared" si="93"/>
        <v>1</v>
      </c>
      <c r="AC400" s="6">
        <f t="shared" si="86"/>
        <v>0</v>
      </c>
      <c r="AD400" s="6">
        <f t="shared" si="87"/>
        <v>0</v>
      </c>
      <c r="AE400" s="6">
        <f t="shared" si="88"/>
        <v>0</v>
      </c>
      <c r="AF400" s="6">
        <f t="shared" si="89"/>
        <v>-1</v>
      </c>
      <c r="AG400" s="6">
        <f t="shared" si="90"/>
        <v>0</v>
      </c>
      <c r="AH400" s="6">
        <f t="shared" si="94"/>
        <v>-1</v>
      </c>
      <c r="AI400" s="3"/>
      <c r="AJ400" s="3" t="e">
        <f>_xlfn.XLOOKUP(K400,工作表1!A:A,工作表1!C:C)</f>
        <v>#N/A</v>
      </c>
      <c r="AK400" s="3"/>
      <c r="AL400" s="6">
        <f t="shared" si="95"/>
        <v>0</v>
      </c>
      <c r="AM400" s="6">
        <f t="shared" si="96"/>
        <v>0</v>
      </c>
      <c r="AN400" s="6">
        <f t="shared" si="97"/>
        <v>0</v>
      </c>
      <c r="AO400" s="6">
        <f t="shared" si="98"/>
        <v>0</v>
      </c>
      <c r="AP400" s="6">
        <f t="shared" si="99"/>
        <v>0</v>
      </c>
      <c r="AQ400" s="6">
        <f t="shared" si="100"/>
        <v>0</v>
      </c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  <c r="BC400" s="6"/>
      <c r="BD400" s="6"/>
      <c r="BE400" s="6"/>
      <c r="BF400" s="6"/>
      <c r="BG400" s="6"/>
      <c r="BH400" s="6"/>
      <c r="BI400" s="6"/>
      <c r="BJ400" s="6"/>
      <c r="BK400" s="6"/>
      <c r="BL400" s="6"/>
      <c r="BM400" s="6"/>
      <c r="BN400" s="6"/>
      <c r="BO400" s="6"/>
      <c r="BP400" s="3">
        <v>1</v>
      </c>
      <c r="BQ400" s="6">
        <f t="shared" si="91"/>
        <v>0</v>
      </c>
    </row>
    <row r="401" spans="1:74" x14ac:dyDescent="0.3">
      <c r="A401" s="3" t="s">
        <v>17</v>
      </c>
      <c r="B401" s="3">
        <v>999</v>
      </c>
      <c r="C401" s="3" t="s">
        <v>670</v>
      </c>
      <c r="D401" s="3" t="s">
        <v>19</v>
      </c>
      <c r="E401" s="3" t="s">
        <v>19</v>
      </c>
      <c r="F401" s="3" t="s">
        <v>19</v>
      </c>
      <c r="G401" s="3" t="s">
        <v>19</v>
      </c>
      <c r="H401" s="3"/>
      <c r="I401" s="3"/>
      <c r="J401" s="3" t="s">
        <v>91</v>
      </c>
      <c r="K401" s="3" t="s">
        <v>671</v>
      </c>
      <c r="L401" s="3" t="s">
        <v>1468</v>
      </c>
      <c r="M401" s="3">
        <v>1</v>
      </c>
      <c r="N401" s="6"/>
      <c r="O401" s="3">
        <v>1</v>
      </c>
      <c r="P401" s="3">
        <v>1</v>
      </c>
      <c r="Q401" s="3">
        <v>0</v>
      </c>
      <c r="R401" s="3">
        <v>0</v>
      </c>
      <c r="S401" s="3">
        <v>0</v>
      </c>
      <c r="T401" s="3">
        <v>1</v>
      </c>
      <c r="U401" s="3">
        <v>0</v>
      </c>
      <c r="V401" s="3">
        <f t="shared" si="92"/>
        <v>1</v>
      </c>
      <c r="W401" s="3">
        <v>0</v>
      </c>
      <c r="X401" s="3">
        <v>0</v>
      </c>
      <c r="Y401" s="3">
        <v>0</v>
      </c>
      <c r="Z401" s="3">
        <v>1</v>
      </c>
      <c r="AA401" s="3">
        <v>0</v>
      </c>
      <c r="AB401" s="3">
        <f t="shared" si="93"/>
        <v>1</v>
      </c>
      <c r="AC401" s="6">
        <f t="shared" si="86"/>
        <v>0</v>
      </c>
      <c r="AD401" s="6">
        <f t="shared" si="87"/>
        <v>0</v>
      </c>
      <c r="AE401" s="6">
        <f t="shared" si="88"/>
        <v>0</v>
      </c>
      <c r="AF401" s="6">
        <f t="shared" si="89"/>
        <v>-1</v>
      </c>
      <c r="AG401" s="6">
        <f t="shared" si="90"/>
        <v>0</v>
      </c>
      <c r="AH401" s="6">
        <f t="shared" si="94"/>
        <v>-1</v>
      </c>
      <c r="AI401" s="3"/>
      <c r="AJ401" s="3" t="e">
        <f>_xlfn.XLOOKUP(K401,工作表1!A:A,工作表1!C:C)</f>
        <v>#N/A</v>
      </c>
      <c r="AK401" s="3"/>
      <c r="AL401" s="6">
        <f t="shared" si="95"/>
        <v>0</v>
      </c>
      <c r="AM401" s="6">
        <f t="shared" si="96"/>
        <v>0</v>
      </c>
      <c r="AN401" s="6">
        <f t="shared" si="97"/>
        <v>0</v>
      </c>
      <c r="AO401" s="6">
        <f t="shared" si="98"/>
        <v>0</v>
      </c>
      <c r="AP401" s="6">
        <f t="shared" si="99"/>
        <v>0</v>
      </c>
      <c r="AQ401" s="6">
        <f t="shared" si="100"/>
        <v>0</v>
      </c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  <c r="BC401" s="6"/>
      <c r="BD401" s="6"/>
      <c r="BE401" s="6"/>
      <c r="BF401" s="6"/>
      <c r="BG401" s="6"/>
      <c r="BH401" s="6"/>
      <c r="BI401" s="6"/>
      <c r="BJ401" s="6"/>
      <c r="BK401" s="6"/>
      <c r="BL401" s="6"/>
      <c r="BM401" s="6"/>
      <c r="BN401" s="6"/>
      <c r="BO401" s="6"/>
      <c r="BP401" s="3">
        <v>1</v>
      </c>
      <c r="BQ401" s="6">
        <f t="shared" si="91"/>
        <v>0</v>
      </c>
    </row>
    <row r="402" spans="1:74" x14ac:dyDescent="0.3">
      <c r="A402" s="3" t="s">
        <v>17</v>
      </c>
      <c r="B402" s="3">
        <v>999</v>
      </c>
      <c r="C402" s="3" t="s">
        <v>670</v>
      </c>
      <c r="D402" s="3" t="s">
        <v>19</v>
      </c>
      <c r="E402" s="3" t="s">
        <v>19</v>
      </c>
      <c r="F402" s="3" t="s">
        <v>19</v>
      </c>
      <c r="G402" s="3" t="s">
        <v>19</v>
      </c>
      <c r="H402" s="3"/>
      <c r="I402" s="3"/>
      <c r="J402" s="3" t="s">
        <v>91</v>
      </c>
      <c r="K402" s="3" t="s">
        <v>672</v>
      </c>
      <c r="L402" s="3" t="s">
        <v>1468</v>
      </c>
      <c r="M402" s="3">
        <v>1</v>
      </c>
      <c r="N402" s="6"/>
      <c r="O402" s="3">
        <v>1</v>
      </c>
      <c r="P402" s="3">
        <v>1</v>
      </c>
      <c r="Q402" s="3">
        <v>0</v>
      </c>
      <c r="R402" s="3">
        <v>0</v>
      </c>
      <c r="S402" s="3">
        <v>0</v>
      </c>
      <c r="T402" s="3">
        <v>1</v>
      </c>
      <c r="U402" s="3">
        <v>0</v>
      </c>
      <c r="V402" s="3">
        <f t="shared" si="92"/>
        <v>1</v>
      </c>
      <c r="W402" s="3">
        <v>0</v>
      </c>
      <c r="X402" s="3">
        <v>0</v>
      </c>
      <c r="Y402" s="3">
        <v>0</v>
      </c>
      <c r="Z402" s="3">
        <v>1</v>
      </c>
      <c r="AA402" s="3">
        <v>0</v>
      </c>
      <c r="AB402" s="3">
        <f t="shared" si="93"/>
        <v>1</v>
      </c>
      <c r="AC402" s="6">
        <f t="shared" si="86"/>
        <v>0</v>
      </c>
      <c r="AD402" s="6">
        <f t="shared" si="87"/>
        <v>0</v>
      </c>
      <c r="AE402" s="6">
        <f t="shared" si="88"/>
        <v>0</v>
      </c>
      <c r="AF402" s="6">
        <f t="shared" si="89"/>
        <v>-1</v>
      </c>
      <c r="AG402" s="6">
        <f t="shared" si="90"/>
        <v>0</v>
      </c>
      <c r="AH402" s="6">
        <f t="shared" si="94"/>
        <v>-1</v>
      </c>
      <c r="AI402" s="3"/>
      <c r="AJ402" s="3" t="e">
        <f>_xlfn.XLOOKUP(K402,工作表1!A:A,工作表1!C:C)</f>
        <v>#N/A</v>
      </c>
      <c r="AK402" s="3"/>
      <c r="AL402" s="6">
        <f t="shared" si="95"/>
        <v>0</v>
      </c>
      <c r="AM402" s="6">
        <f t="shared" si="96"/>
        <v>0</v>
      </c>
      <c r="AN402" s="6">
        <f t="shared" si="97"/>
        <v>0</v>
      </c>
      <c r="AO402" s="6">
        <f t="shared" si="98"/>
        <v>0</v>
      </c>
      <c r="AP402" s="6">
        <f t="shared" si="99"/>
        <v>0</v>
      </c>
      <c r="AQ402" s="6">
        <f t="shared" si="100"/>
        <v>0</v>
      </c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  <c r="BC402" s="6"/>
      <c r="BD402" s="6"/>
      <c r="BE402" s="6"/>
      <c r="BF402" s="6"/>
      <c r="BG402" s="6"/>
      <c r="BH402" s="6"/>
      <c r="BI402" s="6"/>
      <c r="BJ402" s="6"/>
      <c r="BK402" s="6"/>
      <c r="BL402" s="6"/>
      <c r="BM402" s="6"/>
      <c r="BN402" s="6"/>
      <c r="BO402" s="6"/>
      <c r="BP402" s="3">
        <v>1</v>
      </c>
      <c r="BQ402" s="6">
        <f t="shared" si="91"/>
        <v>0</v>
      </c>
    </row>
    <row r="403" spans="1:74" x14ac:dyDescent="0.3">
      <c r="A403" s="3" t="s">
        <v>17</v>
      </c>
      <c r="B403" s="3">
        <v>999</v>
      </c>
      <c r="C403" s="3" t="s">
        <v>673</v>
      </c>
      <c r="D403" s="3" t="s">
        <v>19</v>
      </c>
      <c r="E403" s="3" t="s">
        <v>19</v>
      </c>
      <c r="F403" s="3" t="s">
        <v>19</v>
      </c>
      <c r="G403" s="3" t="s">
        <v>19</v>
      </c>
      <c r="H403" s="3"/>
      <c r="I403" s="3"/>
      <c r="J403" s="3" t="s">
        <v>91</v>
      </c>
      <c r="K403" s="3" t="s">
        <v>674</v>
      </c>
      <c r="L403" s="3" t="s">
        <v>1468</v>
      </c>
      <c r="M403" s="3">
        <v>1</v>
      </c>
      <c r="N403" s="6"/>
      <c r="O403" s="3">
        <v>1</v>
      </c>
      <c r="P403" s="3">
        <v>1</v>
      </c>
      <c r="Q403" s="3">
        <v>0</v>
      </c>
      <c r="R403" s="3">
        <v>0</v>
      </c>
      <c r="S403" s="3">
        <v>0</v>
      </c>
      <c r="T403" s="3">
        <v>1</v>
      </c>
      <c r="U403" s="3">
        <v>0</v>
      </c>
      <c r="V403" s="3">
        <f t="shared" si="92"/>
        <v>1</v>
      </c>
      <c r="W403" s="3">
        <v>0</v>
      </c>
      <c r="X403" s="3">
        <v>0</v>
      </c>
      <c r="Y403" s="3">
        <v>0</v>
      </c>
      <c r="Z403" s="3">
        <v>1</v>
      </c>
      <c r="AA403" s="3">
        <v>0</v>
      </c>
      <c r="AB403" s="3">
        <f t="shared" si="93"/>
        <v>1</v>
      </c>
      <c r="AC403" s="6">
        <f t="shared" si="86"/>
        <v>0</v>
      </c>
      <c r="AD403" s="6">
        <f t="shared" si="87"/>
        <v>0</v>
      </c>
      <c r="AE403" s="6">
        <f t="shared" si="88"/>
        <v>0</v>
      </c>
      <c r="AF403" s="6">
        <f t="shared" si="89"/>
        <v>-1</v>
      </c>
      <c r="AG403" s="6">
        <f t="shared" si="90"/>
        <v>0</v>
      </c>
      <c r="AH403" s="6">
        <f t="shared" si="94"/>
        <v>-1</v>
      </c>
      <c r="AI403" s="3"/>
      <c r="AJ403" s="3" t="e">
        <f>_xlfn.XLOOKUP(K403,工作表1!A:A,工作表1!C:C)</f>
        <v>#N/A</v>
      </c>
      <c r="AK403" s="3"/>
      <c r="AL403" s="6">
        <f t="shared" si="95"/>
        <v>0</v>
      </c>
      <c r="AM403" s="6">
        <f t="shared" si="96"/>
        <v>0</v>
      </c>
      <c r="AN403" s="6">
        <f t="shared" si="97"/>
        <v>0</v>
      </c>
      <c r="AO403" s="6">
        <f t="shared" si="98"/>
        <v>0</v>
      </c>
      <c r="AP403" s="6">
        <f t="shared" si="99"/>
        <v>0</v>
      </c>
      <c r="AQ403" s="6">
        <f t="shared" si="100"/>
        <v>0</v>
      </c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  <c r="BC403" s="6"/>
      <c r="BD403" s="6"/>
      <c r="BE403" s="6"/>
      <c r="BF403" s="6"/>
      <c r="BG403" s="6"/>
      <c r="BH403" s="6"/>
      <c r="BI403" s="6"/>
      <c r="BJ403" s="6"/>
      <c r="BK403" s="6"/>
      <c r="BL403" s="6"/>
      <c r="BM403" s="6"/>
      <c r="BN403" s="6"/>
      <c r="BO403" s="6"/>
      <c r="BP403" s="3">
        <v>1</v>
      </c>
      <c r="BQ403" s="6">
        <f t="shared" si="91"/>
        <v>0</v>
      </c>
    </row>
    <row r="404" spans="1:74" x14ac:dyDescent="0.3">
      <c r="A404" s="3" t="s">
        <v>17</v>
      </c>
      <c r="B404" s="3">
        <v>999</v>
      </c>
      <c r="C404" s="3" t="s">
        <v>673</v>
      </c>
      <c r="D404" s="3" t="s">
        <v>19</v>
      </c>
      <c r="E404" s="3" t="s">
        <v>19</v>
      </c>
      <c r="F404" s="3" t="s">
        <v>19</v>
      </c>
      <c r="G404" s="3" t="s">
        <v>19</v>
      </c>
      <c r="H404" s="3"/>
      <c r="I404" s="3"/>
      <c r="J404" s="3" t="s">
        <v>91</v>
      </c>
      <c r="K404" s="3" t="s">
        <v>675</v>
      </c>
      <c r="L404" s="3" t="s">
        <v>1468</v>
      </c>
      <c r="M404" s="3">
        <v>1</v>
      </c>
      <c r="N404" s="6"/>
      <c r="O404" s="3">
        <v>1</v>
      </c>
      <c r="P404" s="3">
        <v>1</v>
      </c>
      <c r="Q404" s="3">
        <v>0</v>
      </c>
      <c r="R404" s="3">
        <v>0</v>
      </c>
      <c r="S404" s="3">
        <v>0</v>
      </c>
      <c r="T404" s="3">
        <v>1</v>
      </c>
      <c r="U404" s="3">
        <v>0</v>
      </c>
      <c r="V404" s="3">
        <f t="shared" si="92"/>
        <v>1</v>
      </c>
      <c r="W404" s="3">
        <v>0</v>
      </c>
      <c r="X404" s="3">
        <v>0</v>
      </c>
      <c r="Y404" s="3">
        <v>0</v>
      </c>
      <c r="Z404" s="3">
        <v>1</v>
      </c>
      <c r="AA404" s="3">
        <v>0</v>
      </c>
      <c r="AB404" s="3">
        <f t="shared" si="93"/>
        <v>1</v>
      </c>
      <c r="AC404" s="6">
        <f t="shared" si="86"/>
        <v>0</v>
      </c>
      <c r="AD404" s="6">
        <f t="shared" si="87"/>
        <v>0</v>
      </c>
      <c r="AE404" s="6">
        <f t="shared" si="88"/>
        <v>0</v>
      </c>
      <c r="AF404" s="6">
        <f t="shared" si="89"/>
        <v>-1</v>
      </c>
      <c r="AG404" s="6">
        <f t="shared" si="90"/>
        <v>0</v>
      </c>
      <c r="AH404" s="6">
        <f t="shared" si="94"/>
        <v>-1</v>
      </c>
      <c r="AI404" s="3"/>
      <c r="AJ404" s="3" t="e">
        <f>_xlfn.XLOOKUP(K404,工作表1!A:A,工作表1!C:C)</f>
        <v>#N/A</v>
      </c>
      <c r="AK404" s="3"/>
      <c r="AL404" s="6">
        <f t="shared" si="95"/>
        <v>0</v>
      </c>
      <c r="AM404" s="6">
        <f t="shared" si="96"/>
        <v>0</v>
      </c>
      <c r="AN404" s="6">
        <f t="shared" si="97"/>
        <v>0</v>
      </c>
      <c r="AO404" s="6">
        <f t="shared" si="98"/>
        <v>0</v>
      </c>
      <c r="AP404" s="6">
        <f t="shared" si="99"/>
        <v>0</v>
      </c>
      <c r="AQ404" s="6">
        <f t="shared" si="100"/>
        <v>0</v>
      </c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  <c r="BC404" s="6"/>
      <c r="BD404" s="6"/>
      <c r="BE404" s="6"/>
      <c r="BF404" s="6"/>
      <c r="BG404" s="6"/>
      <c r="BH404" s="6"/>
      <c r="BI404" s="6"/>
      <c r="BJ404" s="6"/>
      <c r="BK404" s="6"/>
      <c r="BL404" s="6"/>
      <c r="BM404" s="6"/>
      <c r="BN404" s="6"/>
      <c r="BO404" s="6"/>
      <c r="BP404" s="3">
        <v>1</v>
      </c>
      <c r="BQ404" s="6">
        <f t="shared" si="91"/>
        <v>0</v>
      </c>
    </row>
    <row r="405" spans="1:74" x14ac:dyDescent="0.3">
      <c r="A405" s="3" t="s">
        <v>17</v>
      </c>
      <c r="B405" s="3">
        <v>999</v>
      </c>
      <c r="C405" s="3" t="s">
        <v>1471</v>
      </c>
      <c r="D405" s="3" t="s">
        <v>19</v>
      </c>
      <c r="E405" s="3" t="s">
        <v>19</v>
      </c>
      <c r="F405" s="3" t="s">
        <v>19</v>
      </c>
      <c r="G405" s="3" t="s">
        <v>19</v>
      </c>
      <c r="H405" s="3"/>
      <c r="I405" s="3"/>
      <c r="J405" s="3" t="s">
        <v>91</v>
      </c>
      <c r="K405" s="3" t="s">
        <v>676</v>
      </c>
      <c r="L405" s="3" t="s">
        <v>335</v>
      </c>
      <c r="M405" s="3">
        <v>0</v>
      </c>
      <c r="N405" s="6"/>
      <c r="O405" s="3">
        <v>3</v>
      </c>
      <c r="P405" s="3">
        <v>3</v>
      </c>
      <c r="Q405" s="3">
        <v>0</v>
      </c>
      <c r="R405" s="3">
        <v>0</v>
      </c>
      <c r="S405" s="3">
        <v>0</v>
      </c>
      <c r="T405" s="3">
        <v>3</v>
      </c>
      <c r="U405" s="3">
        <v>0</v>
      </c>
      <c r="V405" s="3">
        <f t="shared" si="92"/>
        <v>3</v>
      </c>
      <c r="W405" s="3">
        <v>0</v>
      </c>
      <c r="X405" s="3">
        <v>0</v>
      </c>
      <c r="Y405" s="3">
        <v>0</v>
      </c>
      <c r="Z405" s="3">
        <v>3</v>
      </c>
      <c r="AA405" s="3">
        <v>0</v>
      </c>
      <c r="AB405" s="3">
        <f t="shared" si="93"/>
        <v>3</v>
      </c>
      <c r="AC405" s="6">
        <f t="shared" si="86"/>
        <v>0</v>
      </c>
      <c r="AD405" s="6">
        <f t="shared" si="87"/>
        <v>0</v>
      </c>
      <c r="AE405" s="6">
        <f t="shared" si="88"/>
        <v>0</v>
      </c>
      <c r="AF405" s="6">
        <f t="shared" si="89"/>
        <v>-3</v>
      </c>
      <c r="AG405" s="6">
        <f t="shared" si="90"/>
        <v>0</v>
      </c>
      <c r="AH405" s="6">
        <f t="shared" si="94"/>
        <v>-3</v>
      </c>
      <c r="AI405" s="3"/>
      <c r="AJ405" s="3" t="e">
        <f>_xlfn.XLOOKUP(K405,工作表1!A:A,工作表1!C:C)</f>
        <v>#N/A</v>
      </c>
      <c r="AK405" s="3"/>
      <c r="AL405" s="6">
        <f t="shared" si="95"/>
        <v>0</v>
      </c>
      <c r="AM405" s="6">
        <f t="shared" si="96"/>
        <v>0</v>
      </c>
      <c r="AN405" s="6">
        <f t="shared" si="97"/>
        <v>0</v>
      </c>
      <c r="AO405" s="6">
        <f t="shared" si="98"/>
        <v>0</v>
      </c>
      <c r="AP405" s="6">
        <f t="shared" si="99"/>
        <v>0</v>
      </c>
      <c r="AQ405" s="6">
        <f t="shared" si="100"/>
        <v>0</v>
      </c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  <c r="BC405" s="6"/>
      <c r="BD405" s="6"/>
      <c r="BE405" s="6"/>
      <c r="BF405" s="6"/>
      <c r="BG405" s="6"/>
      <c r="BH405" s="6"/>
      <c r="BI405" s="6"/>
      <c r="BJ405" s="6"/>
      <c r="BK405" s="6"/>
      <c r="BL405" s="6"/>
      <c r="BM405" s="6"/>
      <c r="BN405" s="6"/>
      <c r="BO405" s="6"/>
      <c r="BP405" s="3">
        <v>3</v>
      </c>
      <c r="BQ405" s="6">
        <f t="shared" si="91"/>
        <v>0</v>
      </c>
    </row>
    <row r="406" spans="1:74" x14ac:dyDescent="0.3">
      <c r="A406" s="3" t="s">
        <v>17</v>
      </c>
      <c r="B406" s="3">
        <v>999</v>
      </c>
      <c r="C406" s="3" t="s">
        <v>677</v>
      </c>
      <c r="D406" s="3" t="s">
        <v>19</v>
      </c>
      <c r="E406" s="3" t="s">
        <v>19</v>
      </c>
      <c r="F406" s="3" t="s">
        <v>19</v>
      </c>
      <c r="G406" s="3" t="s">
        <v>19</v>
      </c>
      <c r="H406" s="3"/>
      <c r="I406" s="3"/>
      <c r="J406" s="3" t="s">
        <v>91</v>
      </c>
      <c r="K406" s="3" t="s">
        <v>678</v>
      </c>
      <c r="L406" s="3" t="s">
        <v>335</v>
      </c>
      <c r="M406" s="3">
        <v>0</v>
      </c>
      <c r="N406" s="6"/>
      <c r="O406" s="3">
        <v>1</v>
      </c>
      <c r="P406" s="3">
        <v>1</v>
      </c>
      <c r="Q406" s="3">
        <v>0</v>
      </c>
      <c r="R406" s="3">
        <v>0</v>
      </c>
      <c r="S406" s="3">
        <v>0</v>
      </c>
      <c r="T406" s="3">
        <v>1</v>
      </c>
      <c r="U406" s="3">
        <v>0</v>
      </c>
      <c r="V406" s="3">
        <f t="shared" si="92"/>
        <v>1</v>
      </c>
      <c r="W406" s="3">
        <v>0</v>
      </c>
      <c r="X406" s="3">
        <v>0</v>
      </c>
      <c r="Y406" s="3">
        <v>0</v>
      </c>
      <c r="Z406" s="3">
        <v>1</v>
      </c>
      <c r="AA406" s="3">
        <v>0</v>
      </c>
      <c r="AB406" s="3">
        <f t="shared" si="93"/>
        <v>1</v>
      </c>
      <c r="AC406" s="6">
        <f t="shared" si="86"/>
        <v>0</v>
      </c>
      <c r="AD406" s="6">
        <f t="shared" si="87"/>
        <v>0</v>
      </c>
      <c r="AE406" s="6">
        <f t="shared" si="88"/>
        <v>0</v>
      </c>
      <c r="AF406" s="6">
        <f t="shared" si="89"/>
        <v>-1</v>
      </c>
      <c r="AG406" s="6">
        <f t="shared" si="90"/>
        <v>0</v>
      </c>
      <c r="AH406" s="6">
        <f t="shared" si="94"/>
        <v>-1</v>
      </c>
      <c r="AI406" s="3"/>
      <c r="AJ406" s="3" t="e">
        <f>_xlfn.XLOOKUP(K406,工作表1!A:A,工作表1!C:C)</f>
        <v>#N/A</v>
      </c>
      <c r="AK406" s="3"/>
      <c r="AL406" s="6">
        <f t="shared" si="95"/>
        <v>0</v>
      </c>
      <c r="AM406" s="6">
        <f t="shared" si="96"/>
        <v>0</v>
      </c>
      <c r="AN406" s="6">
        <f t="shared" si="97"/>
        <v>0</v>
      </c>
      <c r="AO406" s="6">
        <f t="shared" si="98"/>
        <v>0</v>
      </c>
      <c r="AP406" s="6">
        <f t="shared" si="99"/>
        <v>0</v>
      </c>
      <c r="AQ406" s="6">
        <f t="shared" si="100"/>
        <v>0</v>
      </c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  <c r="BC406" s="6"/>
      <c r="BD406" s="6"/>
      <c r="BE406" s="6"/>
      <c r="BF406" s="6"/>
      <c r="BG406" s="6"/>
      <c r="BH406" s="6"/>
      <c r="BI406" s="6"/>
      <c r="BJ406" s="6"/>
      <c r="BK406" s="6"/>
      <c r="BL406" s="6"/>
      <c r="BM406" s="6"/>
      <c r="BN406" s="6"/>
      <c r="BO406" s="6"/>
      <c r="BP406" s="3">
        <v>1</v>
      </c>
      <c r="BQ406" s="6">
        <f t="shared" si="91"/>
        <v>0</v>
      </c>
    </row>
    <row r="407" spans="1:74" x14ac:dyDescent="0.3">
      <c r="A407" s="3" t="s">
        <v>17</v>
      </c>
      <c r="B407" s="3">
        <v>999</v>
      </c>
      <c r="C407" s="3" t="s">
        <v>679</v>
      </c>
      <c r="D407" s="3" t="s">
        <v>19</v>
      </c>
      <c r="E407" s="3" t="s">
        <v>19</v>
      </c>
      <c r="F407" s="3" t="s">
        <v>19</v>
      </c>
      <c r="G407" s="3" t="s">
        <v>19</v>
      </c>
      <c r="H407" s="3"/>
      <c r="I407" s="3"/>
      <c r="J407" s="3" t="s">
        <v>91</v>
      </c>
      <c r="K407" s="3" t="s">
        <v>680</v>
      </c>
      <c r="L407" s="3" t="s">
        <v>335</v>
      </c>
      <c r="M407" s="3">
        <v>0</v>
      </c>
      <c r="N407" s="6"/>
      <c r="O407" s="3">
        <v>5</v>
      </c>
      <c r="P407" s="3">
        <v>5</v>
      </c>
      <c r="Q407" s="3">
        <v>0</v>
      </c>
      <c r="R407" s="3">
        <v>0</v>
      </c>
      <c r="S407" s="3">
        <v>1</v>
      </c>
      <c r="T407" s="3">
        <v>4</v>
      </c>
      <c r="U407" s="3">
        <v>0</v>
      </c>
      <c r="V407" s="3">
        <f t="shared" si="92"/>
        <v>5</v>
      </c>
      <c r="W407" s="3">
        <v>0</v>
      </c>
      <c r="X407" s="3">
        <v>0</v>
      </c>
      <c r="Y407" s="3">
        <v>1</v>
      </c>
      <c r="Z407" s="3">
        <v>4</v>
      </c>
      <c r="AA407" s="3">
        <v>0</v>
      </c>
      <c r="AB407" s="3">
        <f t="shared" si="93"/>
        <v>5</v>
      </c>
      <c r="AC407" s="6">
        <f t="shared" ref="AC407:AC470" si="101">AL407-W407</f>
        <v>0</v>
      </c>
      <c r="AD407" s="6">
        <f t="shared" ref="AD407:AD470" si="102">AM407-X407</f>
        <v>0</v>
      </c>
      <c r="AE407" s="6">
        <f t="shared" ref="AE407:AE470" si="103">AN407-Y407</f>
        <v>-1</v>
      </c>
      <c r="AF407" s="6">
        <f t="shared" ref="AF407:AF470" si="104">AO407-Z407</f>
        <v>-4</v>
      </c>
      <c r="AG407" s="6">
        <f t="shared" ref="AG407:AG470" si="105">AP407-AA407</f>
        <v>0</v>
      </c>
      <c r="AH407" s="6">
        <f t="shared" si="94"/>
        <v>-5</v>
      </c>
      <c r="AI407" s="3"/>
      <c r="AJ407" s="3" t="e">
        <f>_xlfn.XLOOKUP(K407,工作表1!A:A,工作表1!C:C)</f>
        <v>#N/A</v>
      </c>
      <c r="AK407" s="3"/>
      <c r="AL407" s="6">
        <f t="shared" si="95"/>
        <v>0</v>
      </c>
      <c r="AM407" s="6">
        <f t="shared" si="96"/>
        <v>0</v>
      </c>
      <c r="AN407" s="6">
        <f t="shared" si="97"/>
        <v>0</v>
      </c>
      <c r="AO407" s="6">
        <f t="shared" si="98"/>
        <v>0</v>
      </c>
      <c r="AP407" s="6">
        <f t="shared" si="99"/>
        <v>0</v>
      </c>
      <c r="AQ407" s="6">
        <f t="shared" si="100"/>
        <v>0</v>
      </c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  <c r="BC407" s="6"/>
      <c r="BD407" s="6"/>
      <c r="BE407" s="6"/>
      <c r="BF407" s="6"/>
      <c r="BG407" s="6"/>
      <c r="BH407" s="6"/>
      <c r="BI407" s="6"/>
      <c r="BJ407" s="6"/>
      <c r="BK407" s="6"/>
      <c r="BL407" s="6"/>
      <c r="BM407" s="6"/>
      <c r="BN407" s="6"/>
      <c r="BO407" s="6"/>
      <c r="BP407" s="3">
        <v>5</v>
      </c>
      <c r="BQ407" s="6">
        <f t="shared" si="91"/>
        <v>0</v>
      </c>
    </row>
    <row r="408" spans="1:74" x14ac:dyDescent="0.3">
      <c r="A408" s="3" t="s">
        <v>17</v>
      </c>
      <c r="B408" s="3">
        <v>999</v>
      </c>
      <c r="C408" s="3" t="s">
        <v>681</v>
      </c>
      <c r="D408" s="3" t="s">
        <v>19</v>
      </c>
      <c r="E408" s="3" t="s">
        <v>19</v>
      </c>
      <c r="F408" s="3" t="s">
        <v>19</v>
      </c>
      <c r="G408" s="3" t="s">
        <v>19</v>
      </c>
      <c r="H408" s="3"/>
      <c r="I408" s="3"/>
      <c r="J408" s="3" t="s">
        <v>91</v>
      </c>
      <c r="K408" s="3" t="s">
        <v>682</v>
      </c>
      <c r="L408" s="3" t="s">
        <v>335</v>
      </c>
      <c r="M408" s="3">
        <v>0</v>
      </c>
      <c r="N408" s="6"/>
      <c r="O408" s="3">
        <v>3</v>
      </c>
      <c r="P408" s="3">
        <v>3</v>
      </c>
      <c r="Q408" s="3">
        <v>0</v>
      </c>
      <c r="R408" s="3">
        <v>0</v>
      </c>
      <c r="S408" s="3">
        <v>0</v>
      </c>
      <c r="T408" s="3">
        <v>3</v>
      </c>
      <c r="U408" s="3">
        <v>0</v>
      </c>
      <c r="V408" s="3">
        <f t="shared" si="92"/>
        <v>3</v>
      </c>
      <c r="W408" s="3">
        <v>0</v>
      </c>
      <c r="X408" s="3">
        <v>0</v>
      </c>
      <c r="Y408" s="3">
        <v>0</v>
      </c>
      <c r="Z408" s="3">
        <v>3</v>
      </c>
      <c r="AA408" s="3">
        <v>0</v>
      </c>
      <c r="AB408" s="3">
        <f t="shared" si="93"/>
        <v>3</v>
      </c>
      <c r="AC408" s="6">
        <f t="shared" si="101"/>
        <v>0</v>
      </c>
      <c r="AD408" s="6">
        <f t="shared" si="102"/>
        <v>0</v>
      </c>
      <c r="AE408" s="6">
        <f t="shared" si="103"/>
        <v>0</v>
      </c>
      <c r="AF408" s="6">
        <f t="shared" si="104"/>
        <v>-3</v>
      </c>
      <c r="AG408" s="6">
        <f t="shared" si="105"/>
        <v>0</v>
      </c>
      <c r="AH408" s="6">
        <f t="shared" si="94"/>
        <v>-3</v>
      </c>
      <c r="AI408" s="3"/>
      <c r="AJ408" s="3" t="e">
        <f>_xlfn.XLOOKUP(K408,工作表1!A:A,工作表1!C:C)</f>
        <v>#N/A</v>
      </c>
      <c r="AK408" s="3"/>
      <c r="AL408" s="6">
        <f t="shared" si="95"/>
        <v>0</v>
      </c>
      <c r="AM408" s="6">
        <f t="shared" si="96"/>
        <v>0</v>
      </c>
      <c r="AN408" s="6">
        <f t="shared" si="97"/>
        <v>0</v>
      </c>
      <c r="AO408" s="6">
        <f t="shared" si="98"/>
        <v>0</v>
      </c>
      <c r="AP408" s="6">
        <f t="shared" si="99"/>
        <v>0</v>
      </c>
      <c r="AQ408" s="6">
        <f t="shared" si="100"/>
        <v>0</v>
      </c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  <c r="BC408" s="6"/>
      <c r="BD408" s="6"/>
      <c r="BE408" s="6"/>
      <c r="BF408" s="6"/>
      <c r="BG408" s="6"/>
      <c r="BH408" s="6"/>
      <c r="BI408" s="6"/>
      <c r="BJ408" s="6"/>
      <c r="BK408" s="6"/>
      <c r="BL408" s="6"/>
      <c r="BM408" s="6"/>
      <c r="BN408" s="6"/>
      <c r="BO408" s="6"/>
      <c r="BP408" s="3">
        <v>3</v>
      </c>
      <c r="BQ408" s="6">
        <f t="shared" si="91"/>
        <v>0</v>
      </c>
    </row>
    <row r="409" spans="1:74" x14ac:dyDescent="0.3">
      <c r="A409" s="3" t="s">
        <v>17</v>
      </c>
      <c r="B409" s="3">
        <v>999</v>
      </c>
      <c r="C409" s="3" t="s">
        <v>683</v>
      </c>
      <c r="D409" s="3" t="s">
        <v>19</v>
      </c>
      <c r="E409" s="3" t="s">
        <v>19</v>
      </c>
      <c r="F409" s="3" t="s">
        <v>19</v>
      </c>
      <c r="G409" s="3" t="s">
        <v>19</v>
      </c>
      <c r="H409" s="3"/>
      <c r="I409" s="3"/>
      <c r="J409" s="3" t="s">
        <v>91</v>
      </c>
      <c r="K409" s="3" t="s">
        <v>684</v>
      </c>
      <c r="L409" s="3" t="s">
        <v>335</v>
      </c>
      <c r="M409" s="3">
        <v>0</v>
      </c>
      <c r="N409" s="6"/>
      <c r="O409" s="3">
        <v>3</v>
      </c>
      <c r="P409" s="3">
        <v>3</v>
      </c>
      <c r="Q409" s="3">
        <v>0</v>
      </c>
      <c r="R409" s="3">
        <v>0</v>
      </c>
      <c r="S409" s="3">
        <v>0</v>
      </c>
      <c r="T409" s="3">
        <v>3</v>
      </c>
      <c r="U409" s="3">
        <v>0</v>
      </c>
      <c r="V409" s="3">
        <f t="shared" si="92"/>
        <v>3</v>
      </c>
      <c r="W409" s="3">
        <v>0</v>
      </c>
      <c r="X409" s="3">
        <v>0</v>
      </c>
      <c r="Y409" s="3">
        <v>0</v>
      </c>
      <c r="Z409" s="3">
        <v>3</v>
      </c>
      <c r="AA409" s="3">
        <v>0</v>
      </c>
      <c r="AB409" s="3">
        <f t="shared" si="93"/>
        <v>3</v>
      </c>
      <c r="AC409" s="6">
        <f t="shared" si="101"/>
        <v>0</v>
      </c>
      <c r="AD409" s="6">
        <f t="shared" si="102"/>
        <v>0</v>
      </c>
      <c r="AE409" s="6">
        <f t="shared" si="103"/>
        <v>0</v>
      </c>
      <c r="AF409" s="6">
        <f t="shared" si="104"/>
        <v>-3</v>
      </c>
      <c r="AG409" s="6">
        <f t="shared" si="105"/>
        <v>0</v>
      </c>
      <c r="AH409" s="6">
        <f t="shared" si="94"/>
        <v>-3</v>
      </c>
      <c r="AI409" s="3"/>
      <c r="AJ409" s="3" t="e">
        <f>_xlfn.XLOOKUP(K409,工作表1!A:A,工作表1!C:C)</f>
        <v>#N/A</v>
      </c>
      <c r="AK409" s="3"/>
      <c r="AL409" s="6">
        <f t="shared" si="95"/>
        <v>0</v>
      </c>
      <c r="AM409" s="6">
        <f t="shared" si="96"/>
        <v>0</v>
      </c>
      <c r="AN409" s="6">
        <f t="shared" si="97"/>
        <v>0</v>
      </c>
      <c r="AO409" s="6">
        <f t="shared" si="98"/>
        <v>0</v>
      </c>
      <c r="AP409" s="6">
        <f t="shared" si="99"/>
        <v>0</v>
      </c>
      <c r="AQ409" s="6">
        <f t="shared" si="100"/>
        <v>0</v>
      </c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  <c r="BC409" s="6"/>
      <c r="BD409" s="6"/>
      <c r="BE409" s="6"/>
      <c r="BF409" s="6"/>
      <c r="BG409" s="6"/>
      <c r="BH409" s="6"/>
      <c r="BI409" s="6"/>
      <c r="BJ409" s="6"/>
      <c r="BK409" s="6"/>
      <c r="BL409" s="6"/>
      <c r="BM409" s="6"/>
      <c r="BN409" s="6"/>
      <c r="BO409" s="6"/>
      <c r="BP409" s="3">
        <v>3</v>
      </c>
      <c r="BQ409" s="6">
        <f t="shared" si="91"/>
        <v>0</v>
      </c>
    </row>
    <row r="410" spans="1:74" x14ac:dyDescent="0.3">
      <c r="A410" s="3" t="s">
        <v>685</v>
      </c>
      <c r="B410" s="3">
        <v>102</v>
      </c>
      <c r="C410" s="3" t="s">
        <v>686</v>
      </c>
      <c r="D410" s="3">
        <v>6</v>
      </c>
      <c r="E410" s="3" t="s">
        <v>19</v>
      </c>
      <c r="F410" s="3" t="s">
        <v>20</v>
      </c>
      <c r="G410" s="3" t="s">
        <v>19</v>
      </c>
      <c r="H410" s="3" t="s">
        <v>28</v>
      </c>
      <c r="I410" s="3">
        <v>7.11</v>
      </c>
      <c r="J410" s="3" t="s">
        <v>22</v>
      </c>
      <c r="K410" s="3" t="s">
        <v>687</v>
      </c>
      <c r="L410" s="3" t="s">
        <v>24</v>
      </c>
      <c r="M410" s="3">
        <v>60</v>
      </c>
      <c r="N410" s="6"/>
      <c r="O410" s="3">
        <v>53.899999999999991</v>
      </c>
      <c r="P410" s="3">
        <v>53.899999999999991</v>
      </c>
      <c r="Q410" s="3">
        <v>0</v>
      </c>
      <c r="R410" s="3">
        <v>0</v>
      </c>
      <c r="S410" s="3">
        <v>0</v>
      </c>
      <c r="T410" s="3">
        <v>0</v>
      </c>
      <c r="U410" s="3">
        <v>53.899999999999991</v>
      </c>
      <c r="V410" s="3">
        <f t="shared" si="92"/>
        <v>53.899999999999991</v>
      </c>
      <c r="W410" s="3">
        <v>0</v>
      </c>
      <c r="X410" s="3">
        <v>0</v>
      </c>
      <c r="Y410" s="3">
        <v>0</v>
      </c>
      <c r="Z410" s="3">
        <v>0</v>
      </c>
      <c r="AA410" s="3">
        <v>60</v>
      </c>
      <c r="AB410" s="3">
        <f t="shared" si="93"/>
        <v>60</v>
      </c>
      <c r="AC410" s="6">
        <f t="shared" si="101"/>
        <v>0</v>
      </c>
      <c r="AD410" s="6">
        <f t="shared" si="102"/>
        <v>0</v>
      </c>
      <c r="AE410" s="6">
        <f t="shared" si="103"/>
        <v>0</v>
      </c>
      <c r="AF410" s="6">
        <f t="shared" si="104"/>
        <v>0</v>
      </c>
      <c r="AG410" s="6">
        <f t="shared" si="105"/>
        <v>0</v>
      </c>
      <c r="AH410" s="6">
        <f t="shared" si="94"/>
        <v>0</v>
      </c>
      <c r="AI410" s="3"/>
      <c r="AJ410" s="3" t="e">
        <f>_xlfn.XLOOKUP(K410,工作表1!A:A,工作表1!C:C)</f>
        <v>#N/A</v>
      </c>
      <c r="AK410" s="3"/>
      <c r="AL410" s="6">
        <f t="shared" si="95"/>
        <v>0</v>
      </c>
      <c r="AM410" s="6">
        <f t="shared" si="96"/>
        <v>0</v>
      </c>
      <c r="AN410" s="6">
        <f t="shared" si="97"/>
        <v>0</v>
      </c>
      <c r="AO410" s="6">
        <f t="shared" si="98"/>
        <v>0</v>
      </c>
      <c r="AP410" s="6">
        <f t="shared" si="99"/>
        <v>60</v>
      </c>
      <c r="AQ410" s="6">
        <f t="shared" si="100"/>
        <v>60</v>
      </c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  <c r="BC410" s="6"/>
      <c r="BD410" s="6"/>
      <c r="BE410" s="6"/>
      <c r="BF410" s="6"/>
      <c r="BG410" s="6"/>
      <c r="BH410" s="6"/>
      <c r="BI410" s="6"/>
      <c r="BJ410" s="6"/>
      <c r="BK410" s="6"/>
      <c r="BL410" s="6"/>
      <c r="BM410" s="6">
        <v>60</v>
      </c>
      <c r="BN410" s="6"/>
      <c r="BO410" s="6"/>
      <c r="BP410" s="3">
        <v>60</v>
      </c>
      <c r="BQ410" s="6">
        <f t="shared" si="91"/>
        <v>60</v>
      </c>
      <c r="BV410">
        <v>60</v>
      </c>
    </row>
    <row r="411" spans="1:74" x14ac:dyDescent="0.3">
      <c r="A411" s="3" t="s">
        <v>685</v>
      </c>
      <c r="B411" s="3">
        <v>102</v>
      </c>
      <c r="C411" s="3" t="s">
        <v>686</v>
      </c>
      <c r="D411" s="3">
        <v>4</v>
      </c>
      <c r="E411" s="3" t="s">
        <v>19</v>
      </c>
      <c r="F411" s="3" t="s">
        <v>20</v>
      </c>
      <c r="G411" s="3" t="s">
        <v>19</v>
      </c>
      <c r="H411" s="3" t="s">
        <v>30</v>
      </c>
      <c r="I411" s="3">
        <v>6.02</v>
      </c>
      <c r="J411" s="3" t="s">
        <v>22</v>
      </c>
      <c r="K411" s="3" t="s">
        <v>688</v>
      </c>
      <c r="L411" s="3" t="s">
        <v>24</v>
      </c>
      <c r="M411" s="3">
        <v>18</v>
      </c>
      <c r="N411" s="6"/>
      <c r="O411" s="3">
        <v>17.100000000000001</v>
      </c>
      <c r="P411" s="3">
        <v>17.099999999999998</v>
      </c>
      <c r="Q411" s="3">
        <v>0</v>
      </c>
      <c r="R411" s="3">
        <v>0</v>
      </c>
      <c r="S411" s="3">
        <v>0</v>
      </c>
      <c r="T411" s="3">
        <v>0</v>
      </c>
      <c r="U411" s="3">
        <v>17.099999999999998</v>
      </c>
      <c r="V411" s="3">
        <f t="shared" si="92"/>
        <v>17.099999999999998</v>
      </c>
      <c r="W411" s="3">
        <v>0</v>
      </c>
      <c r="X411" s="3">
        <v>0</v>
      </c>
      <c r="Y411" s="3">
        <v>0</v>
      </c>
      <c r="Z411" s="3">
        <v>0</v>
      </c>
      <c r="AA411" s="3">
        <v>24</v>
      </c>
      <c r="AB411" s="3">
        <f t="shared" si="93"/>
        <v>24</v>
      </c>
      <c r="AC411" s="6">
        <f t="shared" si="101"/>
        <v>0</v>
      </c>
      <c r="AD411" s="6">
        <f t="shared" si="102"/>
        <v>0</v>
      </c>
      <c r="AE411" s="6">
        <f t="shared" si="103"/>
        <v>0</v>
      </c>
      <c r="AF411" s="6">
        <f t="shared" si="104"/>
        <v>0</v>
      </c>
      <c r="AG411" s="6">
        <f t="shared" si="105"/>
        <v>-6</v>
      </c>
      <c r="AH411" s="6">
        <f t="shared" si="94"/>
        <v>-6</v>
      </c>
      <c r="AI411" s="3"/>
      <c r="AJ411" s="3" t="e">
        <f>_xlfn.XLOOKUP(K411,工作表1!A:A,工作表1!C:C)</f>
        <v>#N/A</v>
      </c>
      <c r="AK411" s="3"/>
      <c r="AL411" s="6">
        <f t="shared" si="95"/>
        <v>0</v>
      </c>
      <c r="AM411" s="6">
        <f t="shared" si="96"/>
        <v>0</v>
      </c>
      <c r="AN411" s="6">
        <f t="shared" si="97"/>
        <v>0</v>
      </c>
      <c r="AO411" s="6">
        <f t="shared" si="98"/>
        <v>0</v>
      </c>
      <c r="AP411" s="6">
        <f t="shared" si="99"/>
        <v>18</v>
      </c>
      <c r="AQ411" s="6">
        <f t="shared" si="100"/>
        <v>18</v>
      </c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  <c r="BC411" s="6"/>
      <c r="BD411" s="6"/>
      <c r="BE411" s="6"/>
      <c r="BF411" s="6"/>
      <c r="BG411" s="6"/>
      <c r="BH411" s="6"/>
      <c r="BI411" s="6"/>
      <c r="BJ411" s="6"/>
      <c r="BK411" s="6"/>
      <c r="BL411" s="6"/>
      <c r="BM411" s="6">
        <v>18</v>
      </c>
      <c r="BN411" s="6"/>
      <c r="BO411" s="6"/>
      <c r="BP411" s="3">
        <v>24</v>
      </c>
      <c r="BQ411" s="6">
        <f t="shared" si="91"/>
        <v>18</v>
      </c>
      <c r="BV411">
        <v>18</v>
      </c>
    </row>
    <row r="412" spans="1:74" x14ac:dyDescent="0.3">
      <c r="A412" s="3" t="s">
        <v>685</v>
      </c>
      <c r="B412" s="3">
        <v>102</v>
      </c>
      <c r="C412" s="3" t="s">
        <v>686</v>
      </c>
      <c r="D412" s="3">
        <v>3</v>
      </c>
      <c r="E412" s="3" t="s">
        <v>19</v>
      </c>
      <c r="F412" s="3" t="s">
        <v>20</v>
      </c>
      <c r="G412" s="3" t="s">
        <v>19</v>
      </c>
      <c r="H412" s="3" t="s">
        <v>32</v>
      </c>
      <c r="I412" s="3">
        <v>5.49</v>
      </c>
      <c r="J412" s="3" t="s">
        <v>22</v>
      </c>
      <c r="K412" s="3" t="s">
        <v>689</v>
      </c>
      <c r="L412" s="3" t="s">
        <v>24</v>
      </c>
      <c r="M412" s="3">
        <v>36</v>
      </c>
      <c r="N412" s="6"/>
      <c r="O412" s="3">
        <v>20.8</v>
      </c>
      <c r="P412" s="3">
        <v>20.8</v>
      </c>
      <c r="Q412" s="3">
        <v>0</v>
      </c>
      <c r="R412" s="3">
        <v>0</v>
      </c>
      <c r="S412" s="3">
        <v>0</v>
      </c>
      <c r="T412" s="3">
        <v>0</v>
      </c>
      <c r="U412" s="3">
        <v>20.8</v>
      </c>
      <c r="V412" s="3">
        <f t="shared" si="92"/>
        <v>20.8</v>
      </c>
      <c r="W412" s="3">
        <v>0</v>
      </c>
      <c r="X412" s="3">
        <v>0</v>
      </c>
      <c r="Y412" s="3">
        <v>0</v>
      </c>
      <c r="Z412" s="3">
        <v>0</v>
      </c>
      <c r="AA412" s="3">
        <v>24</v>
      </c>
      <c r="AB412" s="3">
        <f t="shared" si="93"/>
        <v>24</v>
      </c>
      <c r="AC412" s="6">
        <f t="shared" si="101"/>
        <v>0</v>
      </c>
      <c r="AD412" s="6">
        <f t="shared" si="102"/>
        <v>0</v>
      </c>
      <c r="AE412" s="6">
        <f t="shared" si="103"/>
        <v>0</v>
      </c>
      <c r="AF412" s="6">
        <f t="shared" si="104"/>
        <v>0</v>
      </c>
      <c r="AG412" s="6">
        <f t="shared" si="105"/>
        <v>12</v>
      </c>
      <c r="AH412" s="6">
        <f t="shared" si="94"/>
        <v>12</v>
      </c>
      <c r="AI412" s="3"/>
      <c r="AJ412" s="3" t="e">
        <f>_xlfn.XLOOKUP(K412,工作表1!A:A,工作表1!C:C)</f>
        <v>#N/A</v>
      </c>
      <c r="AK412" s="3"/>
      <c r="AL412" s="6">
        <f t="shared" si="95"/>
        <v>0</v>
      </c>
      <c r="AM412" s="6">
        <f t="shared" si="96"/>
        <v>0</v>
      </c>
      <c r="AN412" s="6">
        <f t="shared" si="97"/>
        <v>0</v>
      </c>
      <c r="AO412" s="6">
        <f t="shared" si="98"/>
        <v>0</v>
      </c>
      <c r="AP412" s="6">
        <f t="shared" si="99"/>
        <v>36</v>
      </c>
      <c r="AQ412" s="6">
        <f t="shared" si="100"/>
        <v>36</v>
      </c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  <c r="BC412" s="6"/>
      <c r="BD412" s="6"/>
      <c r="BE412" s="6"/>
      <c r="BF412" s="6"/>
      <c r="BG412" s="6"/>
      <c r="BH412" s="6"/>
      <c r="BI412" s="6"/>
      <c r="BJ412" s="6"/>
      <c r="BK412" s="6"/>
      <c r="BL412" s="6"/>
      <c r="BM412" s="6">
        <v>36</v>
      </c>
      <c r="BN412" s="6"/>
      <c r="BO412" s="6"/>
      <c r="BP412" s="3">
        <v>24</v>
      </c>
      <c r="BQ412" s="6">
        <f t="shared" si="91"/>
        <v>36</v>
      </c>
      <c r="BV412">
        <v>36</v>
      </c>
    </row>
    <row r="413" spans="1:74" x14ac:dyDescent="0.3">
      <c r="A413" s="3" t="s">
        <v>685</v>
      </c>
      <c r="B413" s="3">
        <v>102</v>
      </c>
      <c r="C413" s="3" t="s">
        <v>690</v>
      </c>
      <c r="D413" s="3">
        <v>2</v>
      </c>
      <c r="E413" s="3" t="s">
        <v>19</v>
      </c>
      <c r="F413" s="3" t="s">
        <v>25</v>
      </c>
      <c r="G413" s="3" t="s">
        <v>19</v>
      </c>
      <c r="H413" s="3" t="s">
        <v>34</v>
      </c>
      <c r="I413" s="3">
        <v>5.54</v>
      </c>
      <c r="J413" s="3" t="s">
        <v>22</v>
      </c>
      <c r="K413" s="3" t="s">
        <v>691</v>
      </c>
      <c r="L413" s="3" t="s">
        <v>24</v>
      </c>
      <c r="M413" s="3">
        <v>108</v>
      </c>
      <c r="N413" s="6"/>
      <c r="O413" s="3">
        <v>1.3</v>
      </c>
      <c r="P413" s="3">
        <v>73.3</v>
      </c>
      <c r="Q413" s="3">
        <v>0</v>
      </c>
      <c r="R413" s="3">
        <v>0</v>
      </c>
      <c r="S413" s="3">
        <v>0</v>
      </c>
      <c r="T413" s="3">
        <v>0</v>
      </c>
      <c r="U413" s="3">
        <v>73.3</v>
      </c>
      <c r="V413" s="3">
        <f t="shared" si="92"/>
        <v>73.3</v>
      </c>
      <c r="W413" s="3">
        <v>0</v>
      </c>
      <c r="X413" s="3">
        <v>0</v>
      </c>
      <c r="Y413" s="3">
        <v>0</v>
      </c>
      <c r="Z413" s="3">
        <v>0</v>
      </c>
      <c r="AA413" s="3">
        <v>84</v>
      </c>
      <c r="AB413" s="3">
        <f t="shared" si="93"/>
        <v>84</v>
      </c>
      <c r="AC413" s="6">
        <f t="shared" si="101"/>
        <v>0</v>
      </c>
      <c r="AD413" s="6">
        <f t="shared" si="102"/>
        <v>0</v>
      </c>
      <c r="AE413" s="6">
        <f t="shared" si="103"/>
        <v>0</v>
      </c>
      <c r="AF413" s="6">
        <f t="shared" si="104"/>
        <v>0</v>
      </c>
      <c r="AG413" s="6">
        <f t="shared" si="105"/>
        <v>-84</v>
      </c>
      <c r="AH413" s="6">
        <f t="shared" si="94"/>
        <v>-84</v>
      </c>
      <c r="AI413" s="3"/>
      <c r="AJ413" s="3" t="e">
        <f>_xlfn.XLOOKUP(K413,工作表1!A:A,工作表1!C:C)</f>
        <v>#N/A</v>
      </c>
      <c r="AK413" s="3"/>
      <c r="AL413" s="6">
        <f t="shared" si="95"/>
        <v>0</v>
      </c>
      <c r="AM413" s="6">
        <f t="shared" si="96"/>
        <v>0</v>
      </c>
      <c r="AN413" s="6">
        <f t="shared" si="97"/>
        <v>0</v>
      </c>
      <c r="AO413" s="6">
        <f t="shared" si="98"/>
        <v>0</v>
      </c>
      <c r="AP413" s="6">
        <f t="shared" si="99"/>
        <v>0</v>
      </c>
      <c r="AQ413" s="6">
        <f t="shared" si="100"/>
        <v>0</v>
      </c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  <c r="BC413" s="6"/>
      <c r="BD413" s="6"/>
      <c r="BE413" s="6"/>
      <c r="BF413" s="6"/>
      <c r="BG413" s="6"/>
      <c r="BH413" s="6"/>
      <c r="BI413" s="6"/>
      <c r="BJ413" s="6"/>
      <c r="BK413" s="6"/>
      <c r="BL413" s="6"/>
      <c r="BM413" s="6"/>
      <c r="BN413" s="6"/>
      <c r="BO413" s="6"/>
      <c r="BP413" s="5">
        <v>84</v>
      </c>
      <c r="BQ413" s="6">
        <f t="shared" si="91"/>
        <v>0</v>
      </c>
    </row>
    <row r="414" spans="1:74" x14ac:dyDescent="0.3">
      <c r="A414" s="3" t="s">
        <v>685</v>
      </c>
      <c r="B414" s="3">
        <v>102</v>
      </c>
      <c r="C414" s="3" t="s">
        <v>690</v>
      </c>
      <c r="D414" s="3">
        <v>1.5</v>
      </c>
      <c r="E414" s="3" t="s">
        <v>19</v>
      </c>
      <c r="F414" s="3" t="s">
        <v>25</v>
      </c>
      <c r="G414" s="3" t="s">
        <v>19</v>
      </c>
      <c r="H414" s="3" t="s">
        <v>73</v>
      </c>
      <c r="I414" s="3">
        <v>5.08</v>
      </c>
      <c r="J414" s="3" t="s">
        <v>22</v>
      </c>
      <c r="K414" s="3" t="s">
        <v>692</v>
      </c>
      <c r="L414" s="3" t="s">
        <v>24</v>
      </c>
      <c r="M414" s="3">
        <v>366</v>
      </c>
      <c r="N414" s="6"/>
      <c r="O414" s="3">
        <v>33.200000000000003</v>
      </c>
      <c r="P414" s="3">
        <v>330.2</v>
      </c>
      <c r="Q414" s="3">
        <v>0</v>
      </c>
      <c r="R414" s="3">
        <v>0</v>
      </c>
      <c r="S414" s="3">
        <v>0</v>
      </c>
      <c r="T414" s="3">
        <v>0</v>
      </c>
      <c r="U414" s="3">
        <v>330.2</v>
      </c>
      <c r="V414" s="3">
        <f t="shared" si="92"/>
        <v>330.2</v>
      </c>
      <c r="W414" s="3">
        <v>0</v>
      </c>
      <c r="X414" s="3">
        <v>0</v>
      </c>
      <c r="Y414" s="3">
        <v>0</v>
      </c>
      <c r="Z414" s="3">
        <v>0</v>
      </c>
      <c r="AA414" s="3">
        <v>366</v>
      </c>
      <c r="AB414" s="3">
        <f t="shared" si="93"/>
        <v>366</v>
      </c>
      <c r="AC414" s="6">
        <f t="shared" si="101"/>
        <v>0</v>
      </c>
      <c r="AD414" s="6">
        <f t="shared" si="102"/>
        <v>0</v>
      </c>
      <c r="AE414" s="6">
        <f t="shared" si="103"/>
        <v>0</v>
      </c>
      <c r="AF414" s="6">
        <f t="shared" si="104"/>
        <v>0</v>
      </c>
      <c r="AG414" s="6">
        <f t="shared" si="105"/>
        <v>-366</v>
      </c>
      <c r="AH414" s="6">
        <f t="shared" si="94"/>
        <v>-366</v>
      </c>
      <c r="AI414" s="3"/>
      <c r="AJ414" s="3" t="e">
        <f>_xlfn.XLOOKUP(K414,工作表1!A:A,工作表1!C:C)</f>
        <v>#N/A</v>
      </c>
      <c r="AK414" s="3"/>
      <c r="AL414" s="6">
        <f t="shared" si="95"/>
        <v>0</v>
      </c>
      <c r="AM414" s="6">
        <f t="shared" si="96"/>
        <v>0</v>
      </c>
      <c r="AN414" s="6">
        <f t="shared" si="97"/>
        <v>0</v>
      </c>
      <c r="AO414" s="6">
        <f t="shared" si="98"/>
        <v>0</v>
      </c>
      <c r="AP414" s="6">
        <f t="shared" si="99"/>
        <v>0</v>
      </c>
      <c r="AQ414" s="6">
        <f t="shared" si="100"/>
        <v>0</v>
      </c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  <c r="BC414" s="6"/>
      <c r="BD414" s="6"/>
      <c r="BE414" s="6"/>
      <c r="BF414" s="6"/>
      <c r="BG414" s="6"/>
      <c r="BH414" s="6"/>
      <c r="BI414" s="6"/>
      <c r="BJ414" s="6"/>
      <c r="BK414" s="6"/>
      <c r="BL414" s="6"/>
      <c r="BM414" s="6"/>
      <c r="BN414" s="6"/>
      <c r="BO414" s="6"/>
      <c r="BP414" s="5">
        <v>366</v>
      </c>
      <c r="BQ414" s="6">
        <f t="shared" si="91"/>
        <v>0</v>
      </c>
    </row>
    <row r="415" spans="1:74" x14ac:dyDescent="0.3">
      <c r="A415" s="3" t="s">
        <v>685</v>
      </c>
      <c r="B415" s="3">
        <v>102</v>
      </c>
      <c r="C415" s="3" t="s">
        <v>690</v>
      </c>
      <c r="D415" s="3">
        <v>0.5</v>
      </c>
      <c r="E415" s="3" t="s">
        <v>19</v>
      </c>
      <c r="F415" s="3" t="s">
        <v>25</v>
      </c>
      <c r="G415" s="3" t="s">
        <v>19</v>
      </c>
      <c r="H415" s="3" t="s">
        <v>81</v>
      </c>
      <c r="I415" s="3">
        <v>3.73</v>
      </c>
      <c r="J415" s="3" t="s">
        <v>22</v>
      </c>
      <c r="K415" s="3" t="s">
        <v>693</v>
      </c>
      <c r="L415" s="3" t="s">
        <v>24</v>
      </c>
      <c r="M415" s="3">
        <v>480</v>
      </c>
      <c r="N415" s="6"/>
      <c r="O415" s="3">
        <v>131.1</v>
      </c>
      <c r="P415" s="3">
        <v>423.30000000000007</v>
      </c>
      <c r="Q415" s="3">
        <v>0</v>
      </c>
      <c r="R415" s="3">
        <v>0</v>
      </c>
      <c r="S415" s="3">
        <v>0</v>
      </c>
      <c r="T415" s="3">
        <v>0</v>
      </c>
      <c r="U415" s="3">
        <v>423.30000000000007</v>
      </c>
      <c r="V415" s="3">
        <f t="shared" si="92"/>
        <v>423.30000000000007</v>
      </c>
      <c r="W415" s="3">
        <v>0</v>
      </c>
      <c r="X415" s="3">
        <v>0</v>
      </c>
      <c r="Y415" s="3">
        <v>0</v>
      </c>
      <c r="Z415" s="3">
        <v>0</v>
      </c>
      <c r="AA415" s="3">
        <v>468</v>
      </c>
      <c r="AB415" s="3">
        <f t="shared" si="93"/>
        <v>468</v>
      </c>
      <c r="AC415" s="6">
        <f t="shared" si="101"/>
        <v>0</v>
      </c>
      <c r="AD415" s="6">
        <f t="shared" si="102"/>
        <v>0</v>
      </c>
      <c r="AE415" s="6">
        <f t="shared" si="103"/>
        <v>0</v>
      </c>
      <c r="AF415" s="6">
        <f t="shared" si="104"/>
        <v>0</v>
      </c>
      <c r="AG415" s="6">
        <f t="shared" si="105"/>
        <v>-468</v>
      </c>
      <c r="AH415" s="6">
        <f t="shared" si="94"/>
        <v>-468</v>
      </c>
      <c r="AI415" s="3"/>
      <c r="AJ415" s="3" t="e">
        <f>_xlfn.XLOOKUP(K415,工作表1!A:A,工作表1!C:C)</f>
        <v>#N/A</v>
      </c>
      <c r="AK415" s="3"/>
      <c r="AL415" s="6">
        <f t="shared" si="95"/>
        <v>0</v>
      </c>
      <c r="AM415" s="6">
        <f t="shared" si="96"/>
        <v>0</v>
      </c>
      <c r="AN415" s="6">
        <f t="shared" si="97"/>
        <v>0</v>
      </c>
      <c r="AO415" s="6">
        <f t="shared" si="98"/>
        <v>0</v>
      </c>
      <c r="AP415" s="6">
        <f t="shared" si="99"/>
        <v>0</v>
      </c>
      <c r="AQ415" s="6">
        <f t="shared" si="100"/>
        <v>0</v>
      </c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  <c r="BC415" s="6"/>
      <c r="BD415" s="6"/>
      <c r="BE415" s="6"/>
      <c r="BF415" s="6"/>
      <c r="BG415" s="6"/>
      <c r="BH415" s="6"/>
      <c r="BI415" s="6"/>
      <c r="BJ415" s="6"/>
      <c r="BK415" s="6"/>
      <c r="BL415" s="6"/>
      <c r="BM415" s="6"/>
      <c r="BN415" s="6"/>
      <c r="BO415" s="6"/>
      <c r="BP415" s="5">
        <v>468</v>
      </c>
      <c r="BQ415" s="6">
        <f t="shared" si="91"/>
        <v>0</v>
      </c>
    </row>
    <row r="416" spans="1:74" x14ac:dyDescent="0.3">
      <c r="A416" s="3" t="s">
        <v>685</v>
      </c>
      <c r="B416" s="3">
        <v>301</v>
      </c>
      <c r="C416" s="3" t="s">
        <v>694</v>
      </c>
      <c r="D416" s="3">
        <v>0.5</v>
      </c>
      <c r="E416" s="3" t="s">
        <v>19</v>
      </c>
      <c r="F416" s="3" t="s">
        <v>19</v>
      </c>
      <c r="G416" s="3" t="s">
        <v>19</v>
      </c>
      <c r="H416" s="3" t="s">
        <v>105</v>
      </c>
      <c r="I416" s="3"/>
      <c r="J416" s="3" t="s">
        <v>91</v>
      </c>
      <c r="K416" s="3" t="s">
        <v>695</v>
      </c>
      <c r="L416" s="3" t="s">
        <v>24</v>
      </c>
      <c r="M416" s="3">
        <v>5</v>
      </c>
      <c r="N416" s="6"/>
      <c r="O416" s="3">
        <v>5</v>
      </c>
      <c r="P416" s="3">
        <v>5</v>
      </c>
      <c r="Q416" s="3">
        <v>0</v>
      </c>
      <c r="R416" s="3">
        <v>0</v>
      </c>
      <c r="S416" s="3">
        <v>0</v>
      </c>
      <c r="T416" s="3">
        <v>0</v>
      </c>
      <c r="U416" s="3">
        <v>5</v>
      </c>
      <c r="V416" s="3">
        <f t="shared" si="92"/>
        <v>5</v>
      </c>
      <c r="W416" s="3">
        <v>0</v>
      </c>
      <c r="X416" s="3">
        <v>0</v>
      </c>
      <c r="Y416" s="3">
        <v>0</v>
      </c>
      <c r="Z416" s="3">
        <v>0</v>
      </c>
      <c r="AA416" s="3">
        <v>5</v>
      </c>
      <c r="AB416" s="3">
        <f t="shared" si="93"/>
        <v>5</v>
      </c>
      <c r="AC416" s="6">
        <f t="shared" si="101"/>
        <v>0</v>
      </c>
      <c r="AD416" s="6">
        <f t="shared" si="102"/>
        <v>0</v>
      </c>
      <c r="AE416" s="6">
        <f t="shared" si="103"/>
        <v>0</v>
      </c>
      <c r="AF416" s="6">
        <f t="shared" si="104"/>
        <v>0</v>
      </c>
      <c r="AG416" s="6">
        <f t="shared" si="105"/>
        <v>0</v>
      </c>
      <c r="AH416" s="6">
        <f t="shared" si="94"/>
        <v>0</v>
      </c>
      <c r="AI416" s="3"/>
      <c r="AJ416" s="3" t="e">
        <f>_xlfn.XLOOKUP(K416,工作表1!A:A,工作表1!C:C)</f>
        <v>#N/A</v>
      </c>
      <c r="AK416" s="3"/>
      <c r="AL416" s="6">
        <f t="shared" si="95"/>
        <v>0</v>
      </c>
      <c r="AM416" s="6">
        <f t="shared" si="96"/>
        <v>0</v>
      </c>
      <c r="AN416" s="6">
        <f t="shared" si="97"/>
        <v>0</v>
      </c>
      <c r="AO416" s="6">
        <f t="shared" si="98"/>
        <v>0</v>
      </c>
      <c r="AP416" s="6">
        <f t="shared" si="99"/>
        <v>5</v>
      </c>
      <c r="AQ416" s="6">
        <f t="shared" si="100"/>
        <v>5</v>
      </c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  <c r="BC416" s="6"/>
      <c r="BD416" s="6"/>
      <c r="BE416" s="6"/>
      <c r="BF416" s="6"/>
      <c r="BG416" s="6"/>
      <c r="BH416" s="6"/>
      <c r="BI416" s="6"/>
      <c r="BJ416" s="6">
        <v>5</v>
      </c>
      <c r="BK416" s="6"/>
      <c r="BL416" s="6"/>
      <c r="BM416" s="6"/>
      <c r="BN416" s="6"/>
      <c r="BO416" s="6"/>
      <c r="BP416" s="3">
        <v>5</v>
      </c>
      <c r="BQ416" s="6">
        <f t="shared" si="91"/>
        <v>5</v>
      </c>
      <c r="BR416">
        <v>5</v>
      </c>
    </row>
    <row r="417" spans="1:70" x14ac:dyDescent="0.3">
      <c r="A417" s="3" t="s">
        <v>685</v>
      </c>
      <c r="B417" s="3">
        <v>301</v>
      </c>
      <c r="C417" s="3" t="s">
        <v>696</v>
      </c>
      <c r="D417" s="3">
        <v>6</v>
      </c>
      <c r="E417" s="3" t="s">
        <v>19</v>
      </c>
      <c r="F417" s="3" t="s">
        <v>20</v>
      </c>
      <c r="G417" s="3" t="s">
        <v>19</v>
      </c>
      <c r="H417" s="3" t="s">
        <v>28</v>
      </c>
      <c r="I417" s="3">
        <v>7.11</v>
      </c>
      <c r="J417" s="3" t="s">
        <v>91</v>
      </c>
      <c r="K417" s="3" t="s">
        <v>697</v>
      </c>
      <c r="L417" s="3" t="s">
        <v>24</v>
      </c>
      <c r="M417" s="3">
        <v>5</v>
      </c>
      <c r="N417" s="6"/>
      <c r="O417" s="3">
        <v>5</v>
      </c>
      <c r="P417" s="3">
        <v>5</v>
      </c>
      <c r="Q417" s="3">
        <v>0</v>
      </c>
      <c r="R417" s="3">
        <v>0</v>
      </c>
      <c r="S417" s="3">
        <v>0</v>
      </c>
      <c r="T417" s="3">
        <v>0</v>
      </c>
      <c r="U417" s="3">
        <v>5</v>
      </c>
      <c r="V417" s="3">
        <f t="shared" si="92"/>
        <v>5</v>
      </c>
      <c r="W417" s="3">
        <v>0</v>
      </c>
      <c r="X417" s="3">
        <v>0</v>
      </c>
      <c r="Y417" s="3">
        <v>0</v>
      </c>
      <c r="Z417" s="3">
        <v>0</v>
      </c>
      <c r="AA417" s="3">
        <v>5</v>
      </c>
      <c r="AB417" s="3">
        <f t="shared" si="93"/>
        <v>5</v>
      </c>
      <c r="AC417" s="6">
        <f t="shared" si="101"/>
        <v>0</v>
      </c>
      <c r="AD417" s="6">
        <f t="shared" si="102"/>
        <v>0</v>
      </c>
      <c r="AE417" s="6">
        <f t="shared" si="103"/>
        <v>0</v>
      </c>
      <c r="AF417" s="6">
        <f t="shared" si="104"/>
        <v>0</v>
      </c>
      <c r="AG417" s="6">
        <f t="shared" si="105"/>
        <v>-5</v>
      </c>
      <c r="AH417" s="6">
        <f t="shared" si="94"/>
        <v>-5</v>
      </c>
      <c r="AI417" s="3"/>
      <c r="AJ417" s="3" t="e">
        <f>_xlfn.XLOOKUP(K417,工作表1!A:A,工作表1!C:C)</f>
        <v>#N/A</v>
      </c>
      <c r="AK417" s="3"/>
      <c r="AL417" s="6">
        <f t="shared" si="95"/>
        <v>0</v>
      </c>
      <c r="AM417" s="6">
        <f t="shared" si="96"/>
        <v>0</v>
      </c>
      <c r="AN417" s="6">
        <f t="shared" si="97"/>
        <v>0</v>
      </c>
      <c r="AO417" s="6">
        <f t="shared" si="98"/>
        <v>0</v>
      </c>
      <c r="AP417" s="6">
        <f t="shared" si="99"/>
        <v>0</v>
      </c>
      <c r="AQ417" s="6">
        <f t="shared" si="100"/>
        <v>0</v>
      </c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  <c r="BC417" s="6"/>
      <c r="BD417" s="6"/>
      <c r="BE417" s="6"/>
      <c r="BF417" s="6"/>
      <c r="BG417" s="6"/>
      <c r="BH417" s="6"/>
      <c r="BI417" s="6"/>
      <c r="BJ417" s="6"/>
      <c r="BK417" s="6"/>
      <c r="BL417" s="6"/>
      <c r="BM417" s="6"/>
      <c r="BN417" s="6"/>
      <c r="BO417" s="6"/>
      <c r="BP417" s="3">
        <v>5</v>
      </c>
      <c r="BQ417" s="6">
        <f t="shared" si="91"/>
        <v>0</v>
      </c>
    </row>
    <row r="418" spans="1:70" x14ac:dyDescent="0.3">
      <c r="A418" s="3" t="s">
        <v>685</v>
      </c>
      <c r="B418" s="3">
        <v>301</v>
      </c>
      <c r="C418" s="3" t="s">
        <v>696</v>
      </c>
      <c r="D418" s="3">
        <v>3</v>
      </c>
      <c r="E418" s="3" t="s">
        <v>19</v>
      </c>
      <c r="F418" s="3" t="s">
        <v>20</v>
      </c>
      <c r="G418" s="3" t="s">
        <v>19</v>
      </c>
      <c r="H418" s="3" t="s">
        <v>32</v>
      </c>
      <c r="I418" s="3">
        <v>5.49</v>
      </c>
      <c r="J418" s="3" t="s">
        <v>91</v>
      </c>
      <c r="K418" s="3" t="s">
        <v>698</v>
      </c>
      <c r="L418" s="3" t="s">
        <v>24</v>
      </c>
      <c r="M418" s="3">
        <v>2</v>
      </c>
      <c r="N418" s="6"/>
      <c r="O418" s="3">
        <v>1</v>
      </c>
      <c r="P418" s="3">
        <v>1</v>
      </c>
      <c r="Q418" s="3">
        <v>0</v>
      </c>
      <c r="R418" s="3">
        <v>0</v>
      </c>
      <c r="S418" s="3">
        <v>0</v>
      </c>
      <c r="T418" s="3">
        <v>0</v>
      </c>
      <c r="U418" s="3">
        <v>1</v>
      </c>
      <c r="V418" s="3">
        <f t="shared" si="92"/>
        <v>1</v>
      </c>
      <c r="W418" s="3">
        <v>0</v>
      </c>
      <c r="X418" s="3">
        <v>0</v>
      </c>
      <c r="Y418" s="3">
        <v>0</v>
      </c>
      <c r="Z418" s="3">
        <v>0</v>
      </c>
      <c r="AA418" s="3">
        <v>1</v>
      </c>
      <c r="AB418" s="3">
        <f t="shared" si="93"/>
        <v>1</v>
      </c>
      <c r="AC418" s="6">
        <f t="shared" si="101"/>
        <v>0</v>
      </c>
      <c r="AD418" s="6">
        <f t="shared" si="102"/>
        <v>0</v>
      </c>
      <c r="AE418" s="6">
        <f t="shared" si="103"/>
        <v>0</v>
      </c>
      <c r="AF418" s="6">
        <f t="shared" si="104"/>
        <v>0</v>
      </c>
      <c r="AG418" s="6">
        <f t="shared" si="105"/>
        <v>-1</v>
      </c>
      <c r="AH418" s="6">
        <f t="shared" si="94"/>
        <v>-1</v>
      </c>
      <c r="AI418" s="3"/>
      <c r="AJ418" s="3" t="e">
        <f>_xlfn.XLOOKUP(K418,工作表1!A:A,工作表1!C:C)</f>
        <v>#N/A</v>
      </c>
      <c r="AK418" s="3"/>
      <c r="AL418" s="6">
        <f t="shared" si="95"/>
        <v>0</v>
      </c>
      <c r="AM418" s="6">
        <f t="shared" si="96"/>
        <v>0</v>
      </c>
      <c r="AN418" s="6">
        <f t="shared" si="97"/>
        <v>0</v>
      </c>
      <c r="AO418" s="6">
        <f t="shared" si="98"/>
        <v>0</v>
      </c>
      <c r="AP418" s="6">
        <f t="shared" si="99"/>
        <v>0</v>
      </c>
      <c r="AQ418" s="6">
        <f t="shared" si="100"/>
        <v>0</v>
      </c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  <c r="BC418" s="6"/>
      <c r="BD418" s="6"/>
      <c r="BE418" s="6"/>
      <c r="BF418" s="6"/>
      <c r="BG418" s="6"/>
      <c r="BH418" s="6"/>
      <c r="BI418" s="6"/>
      <c r="BJ418" s="6"/>
      <c r="BK418" s="6"/>
      <c r="BL418" s="6"/>
      <c r="BM418" s="6"/>
      <c r="BN418" s="6"/>
      <c r="BO418" s="6"/>
      <c r="BP418" s="3">
        <v>1</v>
      </c>
      <c r="BQ418" s="6">
        <f t="shared" si="91"/>
        <v>0</v>
      </c>
    </row>
    <row r="419" spans="1:70" x14ac:dyDescent="0.3">
      <c r="A419" s="3" t="s">
        <v>685</v>
      </c>
      <c r="B419" s="3">
        <v>303</v>
      </c>
      <c r="C419" s="3" t="s">
        <v>699</v>
      </c>
      <c r="D419" s="3">
        <v>1.5</v>
      </c>
      <c r="E419" s="3" t="s">
        <v>19</v>
      </c>
      <c r="F419" s="3" t="s">
        <v>19</v>
      </c>
      <c r="G419" s="3" t="s">
        <v>19</v>
      </c>
      <c r="H419" s="3" t="s">
        <v>99</v>
      </c>
      <c r="I419" s="3"/>
      <c r="J419" s="3" t="s">
        <v>91</v>
      </c>
      <c r="K419" s="3" t="s">
        <v>700</v>
      </c>
      <c r="L419" s="3" t="s">
        <v>24</v>
      </c>
      <c r="M419" s="3">
        <v>8</v>
      </c>
      <c r="N419" s="6"/>
      <c r="O419" s="3">
        <v>7</v>
      </c>
      <c r="P419" s="3">
        <v>7</v>
      </c>
      <c r="Q419" s="3">
        <v>0</v>
      </c>
      <c r="R419" s="3">
        <v>0</v>
      </c>
      <c r="S419" s="3">
        <v>0</v>
      </c>
      <c r="T419" s="3">
        <v>0</v>
      </c>
      <c r="U419" s="3">
        <v>7</v>
      </c>
      <c r="V419" s="3">
        <f t="shared" si="92"/>
        <v>7</v>
      </c>
      <c r="W419" s="3">
        <v>0</v>
      </c>
      <c r="X419" s="3">
        <v>0</v>
      </c>
      <c r="Y419" s="3">
        <v>0</v>
      </c>
      <c r="Z419" s="3">
        <v>0</v>
      </c>
      <c r="AA419" s="3">
        <v>7</v>
      </c>
      <c r="AB419" s="3">
        <f t="shared" si="93"/>
        <v>7</v>
      </c>
      <c r="AC419" s="6">
        <f t="shared" si="101"/>
        <v>0</v>
      </c>
      <c r="AD419" s="6">
        <f t="shared" si="102"/>
        <v>0</v>
      </c>
      <c r="AE419" s="6">
        <f t="shared" si="103"/>
        <v>0</v>
      </c>
      <c r="AF419" s="6">
        <f t="shared" si="104"/>
        <v>0</v>
      </c>
      <c r="AG419" s="6">
        <f t="shared" si="105"/>
        <v>-5</v>
      </c>
      <c r="AH419" s="6">
        <f t="shared" si="94"/>
        <v>-5</v>
      </c>
      <c r="AI419" s="3"/>
      <c r="AJ419" s="3" t="e">
        <f>_xlfn.XLOOKUP(K419,工作表1!A:A,工作表1!C:C)</f>
        <v>#N/A</v>
      </c>
      <c r="AK419" s="3"/>
      <c r="AL419" s="6">
        <f t="shared" si="95"/>
        <v>0</v>
      </c>
      <c r="AM419" s="6">
        <f t="shared" si="96"/>
        <v>0</v>
      </c>
      <c r="AN419" s="6">
        <f t="shared" si="97"/>
        <v>0</v>
      </c>
      <c r="AO419" s="6">
        <f t="shared" si="98"/>
        <v>0</v>
      </c>
      <c r="AP419" s="6">
        <f t="shared" si="99"/>
        <v>2</v>
      </c>
      <c r="AQ419" s="6">
        <f t="shared" si="100"/>
        <v>2</v>
      </c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  <c r="BC419" s="6"/>
      <c r="BD419" s="6"/>
      <c r="BE419" s="6"/>
      <c r="BF419" s="6"/>
      <c r="BG419" s="6"/>
      <c r="BH419" s="6"/>
      <c r="BI419" s="6"/>
      <c r="BJ419" s="6">
        <v>2</v>
      </c>
      <c r="BK419" s="6"/>
      <c r="BL419" s="6"/>
      <c r="BM419" s="6"/>
      <c r="BN419" s="6"/>
      <c r="BO419" s="6"/>
      <c r="BP419" s="3">
        <v>7</v>
      </c>
      <c r="BQ419" s="6">
        <f t="shared" si="91"/>
        <v>2</v>
      </c>
      <c r="BR419">
        <v>2</v>
      </c>
    </row>
    <row r="420" spans="1:70" x14ac:dyDescent="0.3">
      <c r="A420" s="3" t="s">
        <v>685</v>
      </c>
      <c r="B420" s="3">
        <v>303</v>
      </c>
      <c r="C420" s="3" t="s">
        <v>699</v>
      </c>
      <c r="D420" s="3">
        <v>0.5</v>
      </c>
      <c r="E420" s="3" t="s">
        <v>19</v>
      </c>
      <c r="F420" s="3" t="s">
        <v>19</v>
      </c>
      <c r="G420" s="3" t="s">
        <v>19</v>
      </c>
      <c r="H420" s="3" t="s">
        <v>105</v>
      </c>
      <c r="I420" s="3"/>
      <c r="J420" s="3" t="s">
        <v>91</v>
      </c>
      <c r="K420" s="3" t="s">
        <v>701</v>
      </c>
      <c r="L420" s="3" t="s">
        <v>24</v>
      </c>
      <c r="M420" s="3">
        <v>22</v>
      </c>
      <c r="N420" s="6"/>
      <c r="O420" s="3">
        <v>17</v>
      </c>
      <c r="P420" s="3">
        <v>22</v>
      </c>
      <c r="Q420" s="3">
        <v>0</v>
      </c>
      <c r="R420" s="3">
        <v>0</v>
      </c>
      <c r="S420" s="3">
        <v>0</v>
      </c>
      <c r="T420" s="3">
        <v>0</v>
      </c>
      <c r="U420" s="3">
        <v>22</v>
      </c>
      <c r="V420" s="3">
        <f t="shared" si="92"/>
        <v>22</v>
      </c>
      <c r="W420" s="3">
        <v>0</v>
      </c>
      <c r="X420" s="3">
        <v>0</v>
      </c>
      <c r="Y420" s="3">
        <v>0</v>
      </c>
      <c r="Z420" s="3">
        <v>0</v>
      </c>
      <c r="AA420" s="3">
        <v>22</v>
      </c>
      <c r="AB420" s="3">
        <f t="shared" si="93"/>
        <v>22</v>
      </c>
      <c r="AC420" s="6">
        <f t="shared" si="101"/>
        <v>0</v>
      </c>
      <c r="AD420" s="6">
        <f t="shared" si="102"/>
        <v>0</v>
      </c>
      <c r="AE420" s="6">
        <f t="shared" si="103"/>
        <v>0</v>
      </c>
      <c r="AF420" s="6">
        <f t="shared" si="104"/>
        <v>0</v>
      </c>
      <c r="AG420" s="6">
        <f t="shared" si="105"/>
        <v>-5</v>
      </c>
      <c r="AH420" s="6">
        <f t="shared" si="94"/>
        <v>-5</v>
      </c>
      <c r="AI420" s="3"/>
      <c r="AJ420" s="3" t="e">
        <f>_xlfn.XLOOKUP(K420,工作表1!A:A,工作表1!C:C)</f>
        <v>#N/A</v>
      </c>
      <c r="AK420" s="3"/>
      <c r="AL420" s="6">
        <f t="shared" si="95"/>
        <v>0</v>
      </c>
      <c r="AM420" s="6">
        <f t="shared" si="96"/>
        <v>0</v>
      </c>
      <c r="AN420" s="6">
        <f t="shared" si="97"/>
        <v>0</v>
      </c>
      <c r="AO420" s="6">
        <f t="shared" si="98"/>
        <v>0</v>
      </c>
      <c r="AP420" s="6">
        <f t="shared" si="99"/>
        <v>17</v>
      </c>
      <c r="AQ420" s="6">
        <f t="shared" si="100"/>
        <v>17</v>
      </c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  <c r="BC420" s="6"/>
      <c r="BD420" s="6"/>
      <c r="BE420" s="6"/>
      <c r="BF420" s="6"/>
      <c r="BG420" s="6"/>
      <c r="BH420" s="6"/>
      <c r="BI420" s="6"/>
      <c r="BJ420" s="6">
        <v>17</v>
      </c>
      <c r="BK420" s="6"/>
      <c r="BL420" s="6"/>
      <c r="BM420" s="6"/>
      <c r="BN420" s="6"/>
      <c r="BO420" s="6"/>
      <c r="BP420" s="3">
        <v>22</v>
      </c>
      <c r="BQ420" s="6">
        <f t="shared" si="91"/>
        <v>17</v>
      </c>
      <c r="BR420">
        <v>17</v>
      </c>
    </row>
    <row r="421" spans="1:70" x14ac:dyDescent="0.3">
      <c r="A421" s="3" t="s">
        <v>685</v>
      </c>
      <c r="B421" s="3">
        <v>303</v>
      </c>
      <c r="C421" s="3" t="s">
        <v>702</v>
      </c>
      <c r="D421" s="3">
        <v>6</v>
      </c>
      <c r="E421" s="3" t="s">
        <v>19</v>
      </c>
      <c r="F421" s="3" t="s">
        <v>20</v>
      </c>
      <c r="G421" s="3" t="s">
        <v>19</v>
      </c>
      <c r="H421" s="3" t="s">
        <v>28</v>
      </c>
      <c r="I421" s="3">
        <v>7.11</v>
      </c>
      <c r="J421" s="3" t="s">
        <v>91</v>
      </c>
      <c r="K421" s="3" t="s">
        <v>703</v>
      </c>
      <c r="L421" s="3" t="s">
        <v>24</v>
      </c>
      <c r="M421" s="3">
        <v>6</v>
      </c>
      <c r="N421" s="6"/>
      <c r="O421" s="3">
        <v>6</v>
      </c>
      <c r="P421" s="3">
        <v>6</v>
      </c>
      <c r="Q421" s="3">
        <v>0</v>
      </c>
      <c r="R421" s="3">
        <v>0</v>
      </c>
      <c r="S421" s="3">
        <v>0</v>
      </c>
      <c r="T421" s="3">
        <v>0</v>
      </c>
      <c r="U421" s="3">
        <v>6</v>
      </c>
      <c r="V421" s="3">
        <f t="shared" si="92"/>
        <v>6</v>
      </c>
      <c r="W421" s="3">
        <v>0</v>
      </c>
      <c r="X421" s="3">
        <v>0</v>
      </c>
      <c r="Y421" s="3">
        <v>0</v>
      </c>
      <c r="Z421" s="3">
        <v>0</v>
      </c>
      <c r="AA421" s="3">
        <v>6</v>
      </c>
      <c r="AB421" s="3">
        <f t="shared" si="93"/>
        <v>6</v>
      </c>
      <c r="AC421" s="6">
        <f t="shared" si="101"/>
        <v>0</v>
      </c>
      <c r="AD421" s="6">
        <f t="shared" si="102"/>
        <v>0</v>
      </c>
      <c r="AE421" s="6">
        <f t="shared" si="103"/>
        <v>0</v>
      </c>
      <c r="AF421" s="6">
        <f t="shared" si="104"/>
        <v>0</v>
      </c>
      <c r="AG421" s="6">
        <f t="shared" si="105"/>
        <v>-6</v>
      </c>
      <c r="AH421" s="6">
        <f t="shared" si="94"/>
        <v>-6</v>
      </c>
      <c r="AI421" s="3"/>
      <c r="AJ421" s="3" t="e">
        <f>_xlfn.XLOOKUP(K421,工作表1!A:A,工作表1!C:C)</f>
        <v>#N/A</v>
      </c>
      <c r="AK421" s="3"/>
      <c r="AL421" s="6">
        <f t="shared" si="95"/>
        <v>0</v>
      </c>
      <c r="AM421" s="6">
        <f t="shared" si="96"/>
        <v>0</v>
      </c>
      <c r="AN421" s="6">
        <f t="shared" si="97"/>
        <v>0</v>
      </c>
      <c r="AO421" s="6">
        <f t="shared" si="98"/>
        <v>0</v>
      </c>
      <c r="AP421" s="6">
        <f t="shared" si="99"/>
        <v>0</v>
      </c>
      <c r="AQ421" s="6">
        <f t="shared" si="100"/>
        <v>0</v>
      </c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  <c r="BC421" s="6"/>
      <c r="BD421" s="6"/>
      <c r="BE421" s="6"/>
      <c r="BF421" s="6"/>
      <c r="BG421" s="6"/>
      <c r="BH421" s="6"/>
      <c r="BI421" s="6"/>
      <c r="BJ421" s="6"/>
      <c r="BK421" s="6"/>
      <c r="BL421" s="6"/>
      <c r="BM421" s="6"/>
      <c r="BN421" s="6"/>
      <c r="BO421" s="6"/>
      <c r="BP421" s="3">
        <v>6</v>
      </c>
      <c r="BQ421" s="6">
        <f t="shared" si="91"/>
        <v>0</v>
      </c>
    </row>
    <row r="422" spans="1:70" x14ac:dyDescent="0.3">
      <c r="A422" s="3" t="s">
        <v>685</v>
      </c>
      <c r="B422" s="3">
        <v>303</v>
      </c>
      <c r="C422" s="3" t="s">
        <v>702</v>
      </c>
      <c r="D422" s="3">
        <v>3</v>
      </c>
      <c r="E422" s="3" t="s">
        <v>19</v>
      </c>
      <c r="F422" s="3" t="s">
        <v>20</v>
      </c>
      <c r="G422" s="3" t="s">
        <v>19</v>
      </c>
      <c r="H422" s="3" t="s">
        <v>32</v>
      </c>
      <c r="I422" s="3">
        <v>5.49</v>
      </c>
      <c r="J422" s="3" t="s">
        <v>91</v>
      </c>
      <c r="K422" s="3" t="s">
        <v>704</v>
      </c>
      <c r="L422" s="3" t="s">
        <v>24</v>
      </c>
      <c r="M422" s="3">
        <v>5</v>
      </c>
      <c r="N422" s="6"/>
      <c r="O422" s="3">
        <v>5</v>
      </c>
      <c r="P422" s="3">
        <v>5</v>
      </c>
      <c r="Q422" s="3">
        <v>0</v>
      </c>
      <c r="R422" s="3">
        <v>0</v>
      </c>
      <c r="S422" s="3">
        <v>0</v>
      </c>
      <c r="T422" s="3">
        <v>0</v>
      </c>
      <c r="U422" s="3">
        <v>5</v>
      </c>
      <c r="V422" s="3">
        <f t="shared" si="92"/>
        <v>5</v>
      </c>
      <c r="W422" s="3">
        <v>0</v>
      </c>
      <c r="X422" s="3">
        <v>0</v>
      </c>
      <c r="Y422" s="3">
        <v>0</v>
      </c>
      <c r="Z422" s="3">
        <v>0</v>
      </c>
      <c r="AA422" s="3">
        <v>5</v>
      </c>
      <c r="AB422" s="3">
        <f t="shared" si="93"/>
        <v>5</v>
      </c>
      <c r="AC422" s="6">
        <f t="shared" si="101"/>
        <v>0</v>
      </c>
      <c r="AD422" s="6">
        <f t="shared" si="102"/>
        <v>0</v>
      </c>
      <c r="AE422" s="6">
        <f t="shared" si="103"/>
        <v>0</v>
      </c>
      <c r="AF422" s="6">
        <f t="shared" si="104"/>
        <v>0</v>
      </c>
      <c r="AG422" s="6">
        <f t="shared" si="105"/>
        <v>-5</v>
      </c>
      <c r="AH422" s="6">
        <f t="shared" si="94"/>
        <v>-5</v>
      </c>
      <c r="AI422" s="3"/>
      <c r="AJ422" s="3" t="e">
        <f>_xlfn.XLOOKUP(K422,工作表1!A:A,工作表1!C:C)</f>
        <v>#N/A</v>
      </c>
      <c r="AK422" s="3"/>
      <c r="AL422" s="6">
        <f t="shared" si="95"/>
        <v>0</v>
      </c>
      <c r="AM422" s="6">
        <f t="shared" si="96"/>
        <v>0</v>
      </c>
      <c r="AN422" s="6">
        <f t="shared" si="97"/>
        <v>0</v>
      </c>
      <c r="AO422" s="6">
        <f t="shared" si="98"/>
        <v>0</v>
      </c>
      <c r="AP422" s="6">
        <f t="shared" si="99"/>
        <v>0</v>
      </c>
      <c r="AQ422" s="6">
        <f t="shared" si="100"/>
        <v>0</v>
      </c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  <c r="BC422" s="6"/>
      <c r="BD422" s="6"/>
      <c r="BE422" s="6"/>
      <c r="BF422" s="6"/>
      <c r="BG422" s="6"/>
      <c r="BH422" s="6"/>
      <c r="BI422" s="6"/>
      <c r="BJ422" s="6"/>
      <c r="BK422" s="6"/>
      <c r="BL422" s="6"/>
      <c r="BM422" s="6"/>
      <c r="BN422" s="6"/>
      <c r="BO422" s="6"/>
      <c r="BP422" s="3">
        <v>5</v>
      </c>
      <c r="BQ422" s="6">
        <f t="shared" si="91"/>
        <v>0</v>
      </c>
    </row>
    <row r="423" spans="1:70" x14ac:dyDescent="0.3">
      <c r="A423" s="3" t="s">
        <v>685</v>
      </c>
      <c r="B423" s="3">
        <v>311</v>
      </c>
      <c r="C423" s="3" t="s">
        <v>705</v>
      </c>
      <c r="D423" s="3">
        <v>1.5</v>
      </c>
      <c r="E423" s="3" t="s">
        <v>19</v>
      </c>
      <c r="F423" s="3" t="s">
        <v>19</v>
      </c>
      <c r="G423" s="3" t="s">
        <v>19</v>
      </c>
      <c r="H423" s="3" t="s">
        <v>99</v>
      </c>
      <c r="I423" s="3"/>
      <c r="J423" s="3" t="s">
        <v>91</v>
      </c>
      <c r="K423" s="3" t="s">
        <v>706</v>
      </c>
      <c r="L423" s="3" t="s">
        <v>24</v>
      </c>
      <c r="M423" s="3">
        <v>4</v>
      </c>
      <c r="N423" s="6"/>
      <c r="O423" s="3">
        <v>4</v>
      </c>
      <c r="P423" s="3">
        <v>4</v>
      </c>
      <c r="Q423" s="3">
        <v>0</v>
      </c>
      <c r="R423" s="3">
        <v>0</v>
      </c>
      <c r="S423" s="3">
        <v>0</v>
      </c>
      <c r="T423" s="3">
        <v>0</v>
      </c>
      <c r="U423" s="3">
        <v>4</v>
      </c>
      <c r="V423" s="3">
        <f t="shared" si="92"/>
        <v>4</v>
      </c>
      <c r="W423" s="3">
        <v>0</v>
      </c>
      <c r="X423" s="3">
        <v>0</v>
      </c>
      <c r="Y423" s="3">
        <v>0</v>
      </c>
      <c r="Z423" s="3">
        <v>0</v>
      </c>
      <c r="AA423" s="3">
        <v>4</v>
      </c>
      <c r="AB423" s="3">
        <f t="shared" si="93"/>
        <v>4</v>
      </c>
      <c r="AC423" s="6">
        <f t="shared" si="101"/>
        <v>0</v>
      </c>
      <c r="AD423" s="6">
        <f t="shared" si="102"/>
        <v>0</v>
      </c>
      <c r="AE423" s="6">
        <f t="shared" si="103"/>
        <v>0</v>
      </c>
      <c r="AF423" s="6">
        <f t="shared" si="104"/>
        <v>0</v>
      </c>
      <c r="AG423" s="6">
        <f t="shared" si="105"/>
        <v>0</v>
      </c>
      <c r="AH423" s="6">
        <f t="shared" si="94"/>
        <v>0</v>
      </c>
      <c r="AI423" s="3"/>
      <c r="AJ423" s="3" t="e">
        <f>_xlfn.XLOOKUP(K423,工作表1!A:A,工作表1!C:C)</f>
        <v>#N/A</v>
      </c>
      <c r="AK423" s="3"/>
      <c r="AL423" s="6">
        <f t="shared" si="95"/>
        <v>0</v>
      </c>
      <c r="AM423" s="6">
        <f t="shared" si="96"/>
        <v>0</v>
      </c>
      <c r="AN423" s="6">
        <f t="shared" si="97"/>
        <v>0</v>
      </c>
      <c r="AO423" s="6">
        <f t="shared" si="98"/>
        <v>0</v>
      </c>
      <c r="AP423" s="6">
        <f t="shared" si="99"/>
        <v>4</v>
      </c>
      <c r="AQ423" s="6">
        <f t="shared" si="100"/>
        <v>4</v>
      </c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  <c r="BC423" s="6"/>
      <c r="BD423" s="6"/>
      <c r="BE423" s="6"/>
      <c r="BF423" s="6"/>
      <c r="BG423" s="6"/>
      <c r="BH423" s="6"/>
      <c r="BI423" s="6"/>
      <c r="BJ423" s="6">
        <v>4</v>
      </c>
      <c r="BK423" s="6"/>
      <c r="BL423" s="6"/>
      <c r="BM423" s="6"/>
      <c r="BN423" s="6"/>
      <c r="BO423" s="6"/>
      <c r="BP423" s="3">
        <v>4</v>
      </c>
      <c r="BQ423" s="6">
        <f t="shared" si="91"/>
        <v>4</v>
      </c>
      <c r="BR423">
        <v>4</v>
      </c>
    </row>
    <row r="424" spans="1:70" x14ac:dyDescent="0.3">
      <c r="A424" s="3" t="s">
        <v>685</v>
      </c>
      <c r="B424" s="3">
        <v>311</v>
      </c>
      <c r="C424" s="3" t="s">
        <v>705</v>
      </c>
      <c r="D424" s="3">
        <v>0.5</v>
      </c>
      <c r="E424" s="3" t="s">
        <v>19</v>
      </c>
      <c r="F424" s="3" t="s">
        <v>19</v>
      </c>
      <c r="G424" s="3" t="s">
        <v>19</v>
      </c>
      <c r="H424" s="3" t="s">
        <v>105</v>
      </c>
      <c r="I424" s="3"/>
      <c r="J424" s="3" t="s">
        <v>91</v>
      </c>
      <c r="K424" s="3" t="s">
        <v>707</v>
      </c>
      <c r="L424" s="3" t="s">
        <v>24</v>
      </c>
      <c r="M424" s="3">
        <v>97</v>
      </c>
      <c r="N424" s="6"/>
      <c r="O424" s="3">
        <v>32</v>
      </c>
      <c r="P424" s="3">
        <v>97</v>
      </c>
      <c r="Q424" s="3">
        <v>0</v>
      </c>
      <c r="R424" s="3">
        <v>0</v>
      </c>
      <c r="S424" s="3">
        <v>0</v>
      </c>
      <c r="T424" s="3">
        <v>0</v>
      </c>
      <c r="U424" s="3">
        <v>97</v>
      </c>
      <c r="V424" s="3">
        <f t="shared" si="92"/>
        <v>97</v>
      </c>
      <c r="W424" s="3">
        <v>0</v>
      </c>
      <c r="X424" s="3">
        <v>0</v>
      </c>
      <c r="Y424" s="3">
        <v>0</v>
      </c>
      <c r="Z424" s="3">
        <v>0</v>
      </c>
      <c r="AA424" s="3">
        <v>97</v>
      </c>
      <c r="AB424" s="3">
        <f t="shared" si="93"/>
        <v>97</v>
      </c>
      <c r="AC424" s="6">
        <f t="shared" si="101"/>
        <v>0</v>
      </c>
      <c r="AD424" s="6">
        <f t="shared" si="102"/>
        <v>0</v>
      </c>
      <c r="AE424" s="6">
        <f t="shared" si="103"/>
        <v>0</v>
      </c>
      <c r="AF424" s="6">
        <f t="shared" si="104"/>
        <v>0</v>
      </c>
      <c r="AG424" s="6">
        <f t="shared" si="105"/>
        <v>-65</v>
      </c>
      <c r="AH424" s="6">
        <f t="shared" si="94"/>
        <v>-65</v>
      </c>
      <c r="AI424" s="3"/>
      <c r="AJ424" s="3" t="e">
        <f>_xlfn.XLOOKUP(K424,工作表1!A:A,工作表1!C:C)</f>
        <v>#N/A</v>
      </c>
      <c r="AK424" s="3"/>
      <c r="AL424" s="6">
        <f t="shared" si="95"/>
        <v>0</v>
      </c>
      <c r="AM424" s="6">
        <f t="shared" si="96"/>
        <v>0</v>
      </c>
      <c r="AN424" s="6">
        <f t="shared" si="97"/>
        <v>0</v>
      </c>
      <c r="AO424" s="6">
        <f t="shared" si="98"/>
        <v>0</v>
      </c>
      <c r="AP424" s="6">
        <f t="shared" si="99"/>
        <v>32</v>
      </c>
      <c r="AQ424" s="6">
        <f t="shared" si="100"/>
        <v>32</v>
      </c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  <c r="BC424" s="6"/>
      <c r="BD424" s="6"/>
      <c r="BE424" s="6"/>
      <c r="BF424" s="6"/>
      <c r="BG424" s="6"/>
      <c r="BH424" s="6"/>
      <c r="BI424" s="6"/>
      <c r="BJ424" s="6">
        <v>32</v>
      </c>
      <c r="BK424" s="6"/>
      <c r="BL424" s="6"/>
      <c r="BM424" s="6"/>
      <c r="BN424" s="6"/>
      <c r="BO424" s="6"/>
      <c r="BP424" s="3">
        <v>97</v>
      </c>
      <c r="BQ424" s="6">
        <f t="shared" si="91"/>
        <v>32</v>
      </c>
      <c r="BR424">
        <v>32</v>
      </c>
    </row>
    <row r="425" spans="1:70" x14ac:dyDescent="0.3">
      <c r="A425" s="3" t="s">
        <v>685</v>
      </c>
      <c r="B425" s="3">
        <v>311</v>
      </c>
      <c r="C425" s="3" t="s">
        <v>708</v>
      </c>
      <c r="D425" s="3">
        <v>3</v>
      </c>
      <c r="E425" s="3" t="s">
        <v>19</v>
      </c>
      <c r="F425" s="3" t="s">
        <v>20</v>
      </c>
      <c r="G425" s="3" t="s">
        <v>19</v>
      </c>
      <c r="H425" s="3" t="s">
        <v>32</v>
      </c>
      <c r="I425" s="3">
        <v>5.49</v>
      </c>
      <c r="J425" s="3" t="s">
        <v>91</v>
      </c>
      <c r="K425" s="3" t="s">
        <v>709</v>
      </c>
      <c r="L425" s="3" t="s">
        <v>24</v>
      </c>
      <c r="M425" s="3">
        <v>20</v>
      </c>
      <c r="N425" s="6"/>
      <c r="O425" s="3">
        <v>19</v>
      </c>
      <c r="P425" s="3">
        <v>19</v>
      </c>
      <c r="Q425" s="3">
        <v>0</v>
      </c>
      <c r="R425" s="3">
        <v>0</v>
      </c>
      <c r="S425" s="3">
        <v>0</v>
      </c>
      <c r="T425" s="3">
        <v>0</v>
      </c>
      <c r="U425" s="3">
        <v>19</v>
      </c>
      <c r="V425" s="3">
        <f t="shared" si="92"/>
        <v>19</v>
      </c>
      <c r="W425" s="3">
        <v>0</v>
      </c>
      <c r="X425" s="3">
        <v>0</v>
      </c>
      <c r="Y425" s="3">
        <v>0</v>
      </c>
      <c r="Z425" s="3">
        <v>0</v>
      </c>
      <c r="AA425" s="3">
        <v>19</v>
      </c>
      <c r="AB425" s="3">
        <f t="shared" si="93"/>
        <v>19</v>
      </c>
      <c r="AC425" s="6">
        <f t="shared" si="101"/>
        <v>0</v>
      </c>
      <c r="AD425" s="6">
        <f t="shared" si="102"/>
        <v>0</v>
      </c>
      <c r="AE425" s="6">
        <f t="shared" si="103"/>
        <v>0</v>
      </c>
      <c r="AF425" s="6">
        <f t="shared" si="104"/>
        <v>0</v>
      </c>
      <c r="AG425" s="6">
        <f t="shared" si="105"/>
        <v>-19</v>
      </c>
      <c r="AH425" s="6">
        <f t="shared" si="94"/>
        <v>-19</v>
      </c>
      <c r="AI425" s="3"/>
      <c r="AJ425" s="3" t="e">
        <f>_xlfn.XLOOKUP(K425,工作表1!A:A,工作表1!C:C)</f>
        <v>#N/A</v>
      </c>
      <c r="AK425" s="3"/>
      <c r="AL425" s="6">
        <f t="shared" si="95"/>
        <v>0</v>
      </c>
      <c r="AM425" s="6">
        <f t="shared" si="96"/>
        <v>0</v>
      </c>
      <c r="AN425" s="6">
        <f t="shared" si="97"/>
        <v>0</v>
      </c>
      <c r="AO425" s="6">
        <f t="shared" si="98"/>
        <v>0</v>
      </c>
      <c r="AP425" s="6">
        <f t="shared" si="99"/>
        <v>0</v>
      </c>
      <c r="AQ425" s="6">
        <f t="shared" si="100"/>
        <v>0</v>
      </c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  <c r="BC425" s="6"/>
      <c r="BD425" s="6"/>
      <c r="BE425" s="6"/>
      <c r="BF425" s="6"/>
      <c r="BG425" s="6"/>
      <c r="BH425" s="6"/>
      <c r="BI425" s="6"/>
      <c r="BJ425" s="6"/>
      <c r="BK425" s="6"/>
      <c r="BL425" s="6"/>
      <c r="BM425" s="6"/>
      <c r="BN425" s="6"/>
      <c r="BO425" s="6"/>
      <c r="BP425" s="3">
        <v>19</v>
      </c>
      <c r="BQ425" s="6">
        <f t="shared" si="91"/>
        <v>0</v>
      </c>
    </row>
    <row r="426" spans="1:70" x14ac:dyDescent="0.3">
      <c r="A426" s="3" t="s">
        <v>685</v>
      </c>
      <c r="B426" s="3">
        <v>312</v>
      </c>
      <c r="C426" s="3" t="s">
        <v>710</v>
      </c>
      <c r="D426" s="3">
        <v>2</v>
      </c>
      <c r="E426" s="3">
        <v>1.5</v>
      </c>
      <c r="F426" s="3" t="s">
        <v>19</v>
      </c>
      <c r="G426" s="3" t="s">
        <v>19</v>
      </c>
      <c r="H426" s="3" t="s">
        <v>711</v>
      </c>
      <c r="I426" s="3"/>
      <c r="J426" s="3" t="s">
        <v>91</v>
      </c>
      <c r="K426" s="3" t="s">
        <v>712</v>
      </c>
      <c r="L426" s="3" t="s">
        <v>24</v>
      </c>
      <c r="M426" s="3">
        <v>3</v>
      </c>
      <c r="N426" s="6"/>
      <c r="O426" s="3">
        <v>2</v>
      </c>
      <c r="P426" s="3">
        <v>2</v>
      </c>
      <c r="Q426" s="3">
        <v>0</v>
      </c>
      <c r="R426" s="3">
        <v>0</v>
      </c>
      <c r="S426" s="3">
        <v>0</v>
      </c>
      <c r="T426" s="3">
        <v>0</v>
      </c>
      <c r="U426" s="3">
        <v>2</v>
      </c>
      <c r="V426" s="3">
        <f t="shared" si="92"/>
        <v>2</v>
      </c>
      <c r="W426" s="3">
        <v>0</v>
      </c>
      <c r="X426" s="3">
        <v>0</v>
      </c>
      <c r="Y426" s="3">
        <v>0</v>
      </c>
      <c r="Z426" s="3">
        <v>0</v>
      </c>
      <c r="AA426" s="3">
        <v>2</v>
      </c>
      <c r="AB426" s="3">
        <f t="shared" si="93"/>
        <v>2</v>
      </c>
      <c r="AC426" s="6">
        <f t="shared" si="101"/>
        <v>0</v>
      </c>
      <c r="AD426" s="6">
        <f t="shared" si="102"/>
        <v>0</v>
      </c>
      <c r="AE426" s="6">
        <f t="shared" si="103"/>
        <v>0</v>
      </c>
      <c r="AF426" s="6">
        <f t="shared" si="104"/>
        <v>0</v>
      </c>
      <c r="AG426" s="6">
        <f t="shared" si="105"/>
        <v>0</v>
      </c>
      <c r="AH426" s="6">
        <f t="shared" si="94"/>
        <v>0</v>
      </c>
      <c r="AI426" s="3"/>
      <c r="AJ426" s="3" t="e">
        <f>_xlfn.XLOOKUP(K426,工作表1!A:A,工作表1!C:C)</f>
        <v>#N/A</v>
      </c>
      <c r="AK426" s="3"/>
      <c r="AL426" s="6">
        <f t="shared" si="95"/>
        <v>0</v>
      </c>
      <c r="AM426" s="6">
        <f t="shared" si="96"/>
        <v>0</v>
      </c>
      <c r="AN426" s="6">
        <f t="shared" si="97"/>
        <v>0</v>
      </c>
      <c r="AO426" s="6">
        <f t="shared" si="98"/>
        <v>0</v>
      </c>
      <c r="AP426" s="6">
        <f t="shared" si="99"/>
        <v>2</v>
      </c>
      <c r="AQ426" s="6">
        <f t="shared" si="100"/>
        <v>2</v>
      </c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  <c r="BC426" s="6"/>
      <c r="BD426" s="6"/>
      <c r="BE426" s="6"/>
      <c r="BF426" s="6"/>
      <c r="BG426" s="6"/>
      <c r="BH426" s="6"/>
      <c r="BI426" s="6"/>
      <c r="BJ426" s="6">
        <v>2</v>
      </c>
      <c r="BK426" s="6"/>
      <c r="BL426" s="6"/>
      <c r="BM426" s="6"/>
      <c r="BN426" s="6"/>
      <c r="BO426" s="6"/>
      <c r="BP426" s="3">
        <v>2</v>
      </c>
      <c r="BQ426" s="6">
        <f t="shared" si="91"/>
        <v>2</v>
      </c>
      <c r="BR426">
        <v>2</v>
      </c>
    </row>
    <row r="427" spans="1:70" x14ac:dyDescent="0.3">
      <c r="A427" s="3" t="s">
        <v>685</v>
      </c>
      <c r="B427" s="3">
        <v>312</v>
      </c>
      <c r="C427" s="3" t="s">
        <v>710</v>
      </c>
      <c r="D427" s="3">
        <v>1.5</v>
      </c>
      <c r="E427" s="3">
        <v>0.5</v>
      </c>
      <c r="F427" s="3" t="s">
        <v>19</v>
      </c>
      <c r="G427" s="3" t="s">
        <v>19</v>
      </c>
      <c r="H427" s="3" t="s">
        <v>713</v>
      </c>
      <c r="I427" s="3"/>
      <c r="J427" s="3" t="s">
        <v>91</v>
      </c>
      <c r="K427" s="3" t="s">
        <v>714</v>
      </c>
      <c r="L427" s="3" t="s">
        <v>24</v>
      </c>
      <c r="M427" s="3">
        <v>84</v>
      </c>
      <c r="N427" s="6"/>
      <c r="O427" s="3">
        <v>8</v>
      </c>
      <c r="P427" s="3">
        <v>80</v>
      </c>
      <c r="Q427" s="3">
        <v>0</v>
      </c>
      <c r="R427" s="3">
        <v>0</v>
      </c>
      <c r="S427" s="3">
        <v>0</v>
      </c>
      <c r="T427" s="3">
        <v>0</v>
      </c>
      <c r="U427" s="3">
        <v>80</v>
      </c>
      <c r="V427" s="3">
        <f t="shared" si="92"/>
        <v>80</v>
      </c>
      <c r="W427" s="3">
        <v>0</v>
      </c>
      <c r="X427" s="3">
        <v>0</v>
      </c>
      <c r="Y427" s="3">
        <v>0</v>
      </c>
      <c r="Z427" s="3">
        <v>0</v>
      </c>
      <c r="AA427" s="3">
        <v>80</v>
      </c>
      <c r="AB427" s="3">
        <f t="shared" si="93"/>
        <v>80</v>
      </c>
      <c r="AC427" s="6">
        <f t="shared" si="101"/>
        <v>0</v>
      </c>
      <c r="AD427" s="6">
        <f t="shared" si="102"/>
        <v>0</v>
      </c>
      <c r="AE427" s="6">
        <f t="shared" si="103"/>
        <v>0</v>
      </c>
      <c r="AF427" s="6">
        <f t="shared" si="104"/>
        <v>0</v>
      </c>
      <c r="AG427" s="6">
        <f t="shared" si="105"/>
        <v>-72</v>
      </c>
      <c r="AH427" s="6">
        <f t="shared" si="94"/>
        <v>-72</v>
      </c>
      <c r="AI427" s="3"/>
      <c r="AJ427" s="3" t="e">
        <f>_xlfn.XLOOKUP(K427,工作表1!A:A,工作表1!C:C)</f>
        <v>#N/A</v>
      </c>
      <c r="AK427" s="3"/>
      <c r="AL427" s="6">
        <f t="shared" si="95"/>
        <v>0</v>
      </c>
      <c r="AM427" s="6">
        <f t="shared" si="96"/>
        <v>0</v>
      </c>
      <c r="AN427" s="6">
        <f t="shared" si="97"/>
        <v>0</v>
      </c>
      <c r="AO427" s="6">
        <f t="shared" si="98"/>
        <v>0</v>
      </c>
      <c r="AP427" s="6">
        <f t="shared" si="99"/>
        <v>8</v>
      </c>
      <c r="AQ427" s="6">
        <f t="shared" si="100"/>
        <v>8</v>
      </c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  <c r="BC427" s="6"/>
      <c r="BD427" s="6"/>
      <c r="BE427" s="6"/>
      <c r="BF427" s="6"/>
      <c r="BG427" s="6"/>
      <c r="BH427" s="6"/>
      <c r="BI427" s="6"/>
      <c r="BJ427" s="6">
        <v>8</v>
      </c>
      <c r="BK427" s="6"/>
      <c r="BL427" s="6"/>
      <c r="BM427" s="6"/>
      <c r="BN427" s="6"/>
      <c r="BO427" s="6"/>
      <c r="BP427" s="3">
        <v>80</v>
      </c>
      <c r="BQ427" s="6">
        <f t="shared" si="91"/>
        <v>8</v>
      </c>
      <c r="BR427">
        <v>8</v>
      </c>
    </row>
    <row r="428" spans="1:70" x14ac:dyDescent="0.3">
      <c r="A428" s="3" t="s">
        <v>685</v>
      </c>
      <c r="B428" s="3">
        <v>312</v>
      </c>
      <c r="C428" s="3" t="s">
        <v>715</v>
      </c>
      <c r="D428" s="3">
        <v>6</v>
      </c>
      <c r="E428" s="3">
        <v>3</v>
      </c>
      <c r="F428" s="3" t="s">
        <v>20</v>
      </c>
      <c r="G428" s="3" t="s">
        <v>20</v>
      </c>
      <c r="H428" s="3" t="s">
        <v>302</v>
      </c>
      <c r="I428" s="3"/>
      <c r="J428" s="3" t="s">
        <v>91</v>
      </c>
      <c r="K428" s="3" t="s">
        <v>716</v>
      </c>
      <c r="L428" s="3" t="s">
        <v>24</v>
      </c>
      <c r="M428" s="3">
        <v>9</v>
      </c>
      <c r="N428" s="6"/>
      <c r="O428" s="3">
        <v>9</v>
      </c>
      <c r="P428" s="3">
        <v>9</v>
      </c>
      <c r="Q428" s="3">
        <v>0</v>
      </c>
      <c r="R428" s="3">
        <v>0</v>
      </c>
      <c r="S428" s="3">
        <v>0</v>
      </c>
      <c r="T428" s="3">
        <v>0</v>
      </c>
      <c r="U428" s="3">
        <v>9</v>
      </c>
      <c r="V428" s="3">
        <f t="shared" si="92"/>
        <v>9</v>
      </c>
      <c r="W428" s="3">
        <v>0</v>
      </c>
      <c r="X428" s="3">
        <v>0</v>
      </c>
      <c r="Y428" s="3">
        <v>0</v>
      </c>
      <c r="Z428" s="3">
        <v>0</v>
      </c>
      <c r="AA428" s="3">
        <v>9</v>
      </c>
      <c r="AB428" s="3">
        <f t="shared" si="93"/>
        <v>9</v>
      </c>
      <c r="AC428" s="6">
        <f t="shared" si="101"/>
        <v>0</v>
      </c>
      <c r="AD428" s="6">
        <f t="shared" si="102"/>
        <v>0</v>
      </c>
      <c r="AE428" s="6">
        <f t="shared" si="103"/>
        <v>0</v>
      </c>
      <c r="AF428" s="6">
        <f t="shared" si="104"/>
        <v>0</v>
      </c>
      <c r="AG428" s="6">
        <f t="shared" si="105"/>
        <v>-9</v>
      </c>
      <c r="AH428" s="6">
        <f t="shared" si="94"/>
        <v>-9</v>
      </c>
      <c r="AI428" s="3"/>
      <c r="AJ428" s="3" t="e">
        <f>_xlfn.XLOOKUP(K428,工作表1!A:A,工作表1!C:C)</f>
        <v>#N/A</v>
      </c>
      <c r="AK428" s="3"/>
      <c r="AL428" s="6">
        <f t="shared" si="95"/>
        <v>0</v>
      </c>
      <c r="AM428" s="6">
        <f t="shared" si="96"/>
        <v>0</v>
      </c>
      <c r="AN428" s="6">
        <f t="shared" si="97"/>
        <v>0</v>
      </c>
      <c r="AO428" s="6">
        <f t="shared" si="98"/>
        <v>0</v>
      </c>
      <c r="AP428" s="6">
        <f t="shared" si="99"/>
        <v>0</v>
      </c>
      <c r="AQ428" s="6">
        <f t="shared" si="100"/>
        <v>0</v>
      </c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  <c r="BC428" s="6"/>
      <c r="BD428" s="6"/>
      <c r="BE428" s="6"/>
      <c r="BF428" s="6"/>
      <c r="BG428" s="6"/>
      <c r="BH428" s="6"/>
      <c r="BI428" s="6"/>
      <c r="BJ428" s="6"/>
      <c r="BK428" s="6"/>
      <c r="BL428" s="6"/>
      <c r="BM428" s="6"/>
      <c r="BN428" s="6"/>
      <c r="BO428" s="6"/>
      <c r="BP428" s="3">
        <v>9</v>
      </c>
      <c r="BQ428" s="6">
        <f t="shared" si="91"/>
        <v>0</v>
      </c>
    </row>
    <row r="429" spans="1:70" x14ac:dyDescent="0.3">
      <c r="A429" s="3" t="s">
        <v>685</v>
      </c>
      <c r="B429" s="3">
        <v>312</v>
      </c>
      <c r="C429" s="3" t="s">
        <v>715</v>
      </c>
      <c r="D429" s="3">
        <v>4</v>
      </c>
      <c r="E429" s="3">
        <v>3</v>
      </c>
      <c r="F429" s="3" t="s">
        <v>20</v>
      </c>
      <c r="G429" s="3" t="s">
        <v>20</v>
      </c>
      <c r="H429" s="3" t="s">
        <v>313</v>
      </c>
      <c r="I429" s="3"/>
      <c r="J429" s="3" t="s">
        <v>91</v>
      </c>
      <c r="K429" s="3" t="s">
        <v>717</v>
      </c>
      <c r="L429" s="3" t="s">
        <v>24</v>
      </c>
      <c r="M429" s="3">
        <v>6</v>
      </c>
      <c r="N429" s="6"/>
      <c r="O429" s="3">
        <v>6</v>
      </c>
      <c r="P429" s="3">
        <v>6</v>
      </c>
      <c r="Q429" s="3">
        <v>0</v>
      </c>
      <c r="R429" s="3">
        <v>0</v>
      </c>
      <c r="S429" s="3">
        <v>0</v>
      </c>
      <c r="T429" s="3">
        <v>0</v>
      </c>
      <c r="U429" s="3">
        <v>6</v>
      </c>
      <c r="V429" s="3">
        <f t="shared" si="92"/>
        <v>6</v>
      </c>
      <c r="W429" s="3">
        <v>0</v>
      </c>
      <c r="X429" s="3">
        <v>0</v>
      </c>
      <c r="Y429" s="3">
        <v>0</v>
      </c>
      <c r="Z429" s="3">
        <v>0</v>
      </c>
      <c r="AA429" s="3">
        <v>6</v>
      </c>
      <c r="AB429" s="3">
        <f t="shared" si="93"/>
        <v>6</v>
      </c>
      <c r="AC429" s="6">
        <f t="shared" si="101"/>
        <v>0</v>
      </c>
      <c r="AD429" s="6">
        <f t="shared" si="102"/>
        <v>0</v>
      </c>
      <c r="AE429" s="6">
        <f t="shared" si="103"/>
        <v>0</v>
      </c>
      <c r="AF429" s="6">
        <f t="shared" si="104"/>
        <v>0</v>
      </c>
      <c r="AG429" s="6">
        <f t="shared" si="105"/>
        <v>-6</v>
      </c>
      <c r="AH429" s="6">
        <f t="shared" si="94"/>
        <v>-6</v>
      </c>
      <c r="AI429" s="3"/>
      <c r="AJ429" s="3" t="e">
        <f>_xlfn.XLOOKUP(K429,工作表1!A:A,工作表1!C:C)</f>
        <v>#N/A</v>
      </c>
      <c r="AK429" s="3"/>
      <c r="AL429" s="6">
        <f t="shared" si="95"/>
        <v>0</v>
      </c>
      <c r="AM429" s="6">
        <f t="shared" si="96"/>
        <v>0</v>
      </c>
      <c r="AN429" s="6">
        <f t="shared" si="97"/>
        <v>0</v>
      </c>
      <c r="AO429" s="6">
        <f t="shared" si="98"/>
        <v>0</v>
      </c>
      <c r="AP429" s="6">
        <f t="shared" si="99"/>
        <v>0</v>
      </c>
      <c r="AQ429" s="6">
        <f t="shared" si="100"/>
        <v>0</v>
      </c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  <c r="BC429" s="6"/>
      <c r="BD429" s="6"/>
      <c r="BE429" s="6"/>
      <c r="BF429" s="6"/>
      <c r="BG429" s="6"/>
      <c r="BH429" s="6"/>
      <c r="BI429" s="6"/>
      <c r="BJ429" s="6"/>
      <c r="BK429" s="6"/>
      <c r="BL429" s="6"/>
      <c r="BM429" s="6"/>
      <c r="BN429" s="6"/>
      <c r="BO429" s="6"/>
      <c r="BP429" s="3">
        <v>6</v>
      </c>
      <c r="BQ429" s="6">
        <f t="shared" si="91"/>
        <v>0</v>
      </c>
    </row>
    <row r="430" spans="1:70" x14ac:dyDescent="0.3">
      <c r="A430" s="5" t="s">
        <v>685</v>
      </c>
      <c r="B430" s="3">
        <v>351</v>
      </c>
      <c r="C430" s="3" t="s">
        <v>1497</v>
      </c>
      <c r="D430" s="3">
        <v>1.5</v>
      </c>
      <c r="E430" s="3" t="s">
        <v>19</v>
      </c>
      <c r="F430" s="3" t="s">
        <v>19</v>
      </c>
      <c r="G430" s="3" t="s">
        <v>19</v>
      </c>
      <c r="H430" s="3" t="s">
        <v>1496</v>
      </c>
      <c r="I430" s="3"/>
      <c r="J430" s="3" t="s">
        <v>91</v>
      </c>
      <c r="K430" s="3" t="s">
        <v>1498</v>
      </c>
      <c r="L430" s="3" t="s">
        <v>24</v>
      </c>
      <c r="M430" s="3">
        <v>42</v>
      </c>
      <c r="N430" s="6"/>
      <c r="O430" s="3">
        <v>0</v>
      </c>
      <c r="P430" s="3">
        <v>36</v>
      </c>
      <c r="Q430" s="3">
        <v>0</v>
      </c>
      <c r="R430" s="3">
        <v>0</v>
      </c>
      <c r="S430" s="3">
        <v>0</v>
      </c>
      <c r="T430" s="3">
        <v>0</v>
      </c>
      <c r="U430" s="3">
        <v>36</v>
      </c>
      <c r="V430" s="3">
        <f t="shared" si="92"/>
        <v>36</v>
      </c>
      <c r="W430" s="3">
        <v>0</v>
      </c>
      <c r="X430" s="3">
        <v>0</v>
      </c>
      <c r="Y430" s="3">
        <v>0</v>
      </c>
      <c r="Z430" s="3">
        <v>0</v>
      </c>
      <c r="AA430" s="3">
        <v>36</v>
      </c>
      <c r="AB430" s="3">
        <f t="shared" si="93"/>
        <v>36</v>
      </c>
      <c r="AC430" s="6">
        <f t="shared" si="101"/>
        <v>0</v>
      </c>
      <c r="AD430" s="6">
        <f t="shared" si="102"/>
        <v>0</v>
      </c>
      <c r="AE430" s="6">
        <f t="shared" si="103"/>
        <v>0</v>
      </c>
      <c r="AF430" s="6">
        <f t="shared" si="104"/>
        <v>0</v>
      </c>
      <c r="AG430" s="6">
        <f t="shared" si="105"/>
        <v>-36</v>
      </c>
      <c r="AH430" s="6">
        <f t="shared" si="94"/>
        <v>-36</v>
      </c>
      <c r="AI430" s="3"/>
      <c r="AJ430" s="3" t="e">
        <f>_xlfn.XLOOKUP(K430,工作表1!A:A,工作表1!C:C)</f>
        <v>#N/A</v>
      </c>
      <c r="AK430" s="3"/>
      <c r="AL430" s="6">
        <f t="shared" si="95"/>
        <v>0</v>
      </c>
      <c r="AM430" s="6">
        <f t="shared" si="96"/>
        <v>0</v>
      </c>
      <c r="AN430" s="6">
        <f t="shared" si="97"/>
        <v>0</v>
      </c>
      <c r="AO430" s="6">
        <f t="shared" si="98"/>
        <v>0</v>
      </c>
      <c r="AP430" s="6">
        <f t="shared" si="99"/>
        <v>0</v>
      </c>
      <c r="AQ430" s="6">
        <f t="shared" si="100"/>
        <v>0</v>
      </c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  <c r="BC430" s="6"/>
      <c r="BD430" s="6"/>
      <c r="BE430" s="6"/>
      <c r="BF430" s="6"/>
      <c r="BG430" s="6"/>
      <c r="BH430" s="6"/>
      <c r="BI430" s="6"/>
      <c r="BJ430" s="6"/>
      <c r="BK430" s="6"/>
      <c r="BL430" s="6"/>
      <c r="BM430" s="6"/>
      <c r="BN430" s="6"/>
      <c r="BO430" s="6"/>
      <c r="BP430" s="3">
        <v>36</v>
      </c>
      <c r="BQ430" s="6">
        <f t="shared" si="91"/>
        <v>0</v>
      </c>
    </row>
    <row r="431" spans="1:70" x14ac:dyDescent="0.3">
      <c r="A431" s="3" t="s">
        <v>685</v>
      </c>
      <c r="B431" s="3">
        <v>351</v>
      </c>
      <c r="C431" s="3" t="s">
        <v>718</v>
      </c>
      <c r="D431" s="3">
        <v>1.5</v>
      </c>
      <c r="E431" s="3" t="s">
        <v>19</v>
      </c>
      <c r="F431" s="3" t="s">
        <v>19</v>
      </c>
      <c r="G431" s="3" t="s">
        <v>19</v>
      </c>
      <c r="H431" s="3" t="s">
        <v>99</v>
      </c>
      <c r="I431" s="3"/>
      <c r="J431" s="3" t="s">
        <v>91</v>
      </c>
      <c r="K431" s="3" t="s">
        <v>719</v>
      </c>
      <c r="L431" s="3" t="s">
        <v>24</v>
      </c>
      <c r="M431" s="3">
        <v>104</v>
      </c>
      <c r="N431" s="6"/>
      <c r="O431" s="3">
        <v>6</v>
      </c>
      <c r="P431" s="3">
        <v>60</v>
      </c>
      <c r="Q431" s="3">
        <v>0</v>
      </c>
      <c r="R431" s="3">
        <v>0</v>
      </c>
      <c r="S431" s="3">
        <v>0</v>
      </c>
      <c r="T431" s="3">
        <v>0</v>
      </c>
      <c r="U431" s="3">
        <v>60</v>
      </c>
      <c r="V431" s="3">
        <f t="shared" si="92"/>
        <v>60</v>
      </c>
      <c r="W431" s="3">
        <v>0</v>
      </c>
      <c r="X431" s="3">
        <v>0</v>
      </c>
      <c r="Y431" s="3">
        <v>0</v>
      </c>
      <c r="Z431" s="3">
        <v>0</v>
      </c>
      <c r="AA431" s="3">
        <v>60</v>
      </c>
      <c r="AB431" s="3">
        <f t="shared" si="93"/>
        <v>60</v>
      </c>
      <c r="AC431" s="6">
        <f t="shared" si="101"/>
        <v>0</v>
      </c>
      <c r="AD431" s="6">
        <f t="shared" si="102"/>
        <v>0</v>
      </c>
      <c r="AE431" s="6">
        <f t="shared" si="103"/>
        <v>0</v>
      </c>
      <c r="AF431" s="6">
        <f t="shared" si="104"/>
        <v>0</v>
      </c>
      <c r="AG431" s="6">
        <f t="shared" si="105"/>
        <v>-58</v>
      </c>
      <c r="AH431" s="6">
        <f t="shared" si="94"/>
        <v>-58</v>
      </c>
      <c r="AI431" s="3"/>
      <c r="AJ431" s="3" t="e">
        <f>_xlfn.XLOOKUP(K431,工作表1!A:A,工作表1!C:C)</f>
        <v>#N/A</v>
      </c>
      <c r="AK431" s="3"/>
      <c r="AL431" s="6">
        <f t="shared" si="95"/>
        <v>0</v>
      </c>
      <c r="AM431" s="6">
        <f t="shared" si="96"/>
        <v>0</v>
      </c>
      <c r="AN431" s="6">
        <f t="shared" si="97"/>
        <v>0</v>
      </c>
      <c r="AO431" s="6">
        <f t="shared" si="98"/>
        <v>0</v>
      </c>
      <c r="AP431" s="6">
        <f t="shared" si="99"/>
        <v>2</v>
      </c>
      <c r="AQ431" s="6">
        <f t="shared" si="100"/>
        <v>2</v>
      </c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  <c r="BC431" s="6"/>
      <c r="BD431" s="6"/>
      <c r="BE431" s="6"/>
      <c r="BF431" s="6"/>
      <c r="BG431" s="6"/>
      <c r="BH431" s="6"/>
      <c r="BI431" s="6"/>
      <c r="BJ431" s="6">
        <v>2</v>
      </c>
      <c r="BK431" s="6"/>
      <c r="BL431" s="6"/>
      <c r="BM431" s="6"/>
      <c r="BN431" s="6"/>
      <c r="BO431" s="6"/>
      <c r="BP431" s="3">
        <v>60</v>
      </c>
      <c r="BQ431" s="6">
        <f t="shared" si="91"/>
        <v>2</v>
      </c>
      <c r="BR431">
        <v>2</v>
      </c>
    </row>
    <row r="432" spans="1:70" x14ac:dyDescent="0.3">
      <c r="A432" s="3" t="s">
        <v>685</v>
      </c>
      <c r="B432" s="3">
        <v>351</v>
      </c>
      <c r="C432" s="3" t="s">
        <v>718</v>
      </c>
      <c r="D432" s="3">
        <v>0.5</v>
      </c>
      <c r="E432" s="3" t="s">
        <v>19</v>
      </c>
      <c r="F432" s="3" t="s">
        <v>19</v>
      </c>
      <c r="G432" s="3" t="s">
        <v>19</v>
      </c>
      <c r="H432" s="3" t="s">
        <v>105</v>
      </c>
      <c r="I432" s="3"/>
      <c r="J432" s="3" t="s">
        <v>91</v>
      </c>
      <c r="K432" s="3" t="s">
        <v>720</v>
      </c>
      <c r="L432" s="3" t="s">
        <v>24</v>
      </c>
      <c r="M432" s="3">
        <v>35</v>
      </c>
      <c r="N432" s="6"/>
      <c r="O432" s="3">
        <v>1</v>
      </c>
      <c r="P432" s="3">
        <v>2</v>
      </c>
      <c r="Q432" s="3">
        <v>0</v>
      </c>
      <c r="R432" s="3">
        <v>0</v>
      </c>
      <c r="S432" s="3">
        <v>0</v>
      </c>
      <c r="T432" s="3">
        <v>0</v>
      </c>
      <c r="U432" s="3">
        <v>2</v>
      </c>
      <c r="V432" s="3">
        <f t="shared" si="92"/>
        <v>2</v>
      </c>
      <c r="W432" s="3">
        <v>0</v>
      </c>
      <c r="X432" s="3">
        <v>0</v>
      </c>
      <c r="Y432" s="3">
        <v>0</v>
      </c>
      <c r="Z432" s="3">
        <v>0</v>
      </c>
      <c r="AA432" s="3">
        <v>2</v>
      </c>
      <c r="AB432" s="3">
        <f t="shared" si="93"/>
        <v>2</v>
      </c>
      <c r="AC432" s="6">
        <f t="shared" si="101"/>
        <v>0</v>
      </c>
      <c r="AD432" s="6">
        <f t="shared" si="102"/>
        <v>0</v>
      </c>
      <c r="AE432" s="6">
        <f t="shared" si="103"/>
        <v>0</v>
      </c>
      <c r="AF432" s="6">
        <f t="shared" si="104"/>
        <v>0</v>
      </c>
      <c r="AG432" s="6">
        <f t="shared" si="105"/>
        <v>-1</v>
      </c>
      <c r="AH432" s="6">
        <f t="shared" si="94"/>
        <v>-1</v>
      </c>
      <c r="AI432" s="3"/>
      <c r="AJ432" s="3" t="e">
        <f>_xlfn.XLOOKUP(K432,工作表1!A:A,工作表1!C:C)</f>
        <v>#N/A</v>
      </c>
      <c r="AK432" s="3"/>
      <c r="AL432" s="6">
        <f t="shared" si="95"/>
        <v>0</v>
      </c>
      <c r="AM432" s="6">
        <f t="shared" si="96"/>
        <v>0</v>
      </c>
      <c r="AN432" s="6">
        <f t="shared" si="97"/>
        <v>0</v>
      </c>
      <c r="AO432" s="6">
        <f t="shared" si="98"/>
        <v>0</v>
      </c>
      <c r="AP432" s="6">
        <f t="shared" si="99"/>
        <v>1</v>
      </c>
      <c r="AQ432" s="6">
        <f t="shared" si="100"/>
        <v>1</v>
      </c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  <c r="BC432" s="6"/>
      <c r="BD432" s="6"/>
      <c r="BE432" s="6"/>
      <c r="BF432" s="6"/>
      <c r="BG432" s="6"/>
      <c r="BH432" s="6"/>
      <c r="BI432" s="6"/>
      <c r="BJ432" s="6">
        <v>1</v>
      </c>
      <c r="BK432" s="6"/>
      <c r="BL432" s="6"/>
      <c r="BM432" s="6"/>
      <c r="BN432" s="6"/>
      <c r="BO432" s="6"/>
      <c r="BP432" s="3">
        <v>2</v>
      </c>
      <c r="BQ432" s="6">
        <f t="shared" si="91"/>
        <v>1</v>
      </c>
      <c r="BR432">
        <v>1</v>
      </c>
    </row>
    <row r="433" spans="1:73" x14ac:dyDescent="0.3">
      <c r="A433" s="3" t="s">
        <v>685</v>
      </c>
      <c r="B433" s="3">
        <v>351</v>
      </c>
      <c r="C433" s="3" t="s">
        <v>721</v>
      </c>
      <c r="D433" s="3">
        <v>2</v>
      </c>
      <c r="E433" s="3" t="s">
        <v>19</v>
      </c>
      <c r="F433" s="3" t="s">
        <v>19</v>
      </c>
      <c r="G433" s="3" t="s">
        <v>19</v>
      </c>
      <c r="H433" s="3" t="s">
        <v>340</v>
      </c>
      <c r="I433" s="3"/>
      <c r="J433" s="3" t="s">
        <v>91</v>
      </c>
      <c r="K433" s="3" t="s">
        <v>1505</v>
      </c>
      <c r="L433" s="3" t="s">
        <v>24</v>
      </c>
      <c r="M433" s="3">
        <v>38</v>
      </c>
      <c r="N433" s="6"/>
      <c r="O433" s="3">
        <v>2</v>
      </c>
      <c r="P433" s="3">
        <v>38</v>
      </c>
      <c r="Q433" s="3">
        <v>0</v>
      </c>
      <c r="R433" s="3">
        <v>0</v>
      </c>
      <c r="S433" s="3">
        <v>0</v>
      </c>
      <c r="T433" s="3">
        <v>0</v>
      </c>
      <c r="U433" s="3">
        <v>38</v>
      </c>
      <c r="V433" s="3">
        <f t="shared" si="92"/>
        <v>38</v>
      </c>
      <c r="W433" s="3">
        <v>0</v>
      </c>
      <c r="X433" s="3">
        <v>0</v>
      </c>
      <c r="Y433" s="3">
        <v>0</v>
      </c>
      <c r="Z433" s="3">
        <v>0</v>
      </c>
      <c r="AA433" s="3">
        <v>38</v>
      </c>
      <c r="AB433" s="3">
        <f t="shared" si="93"/>
        <v>38</v>
      </c>
      <c r="AC433" s="6">
        <f t="shared" si="101"/>
        <v>0</v>
      </c>
      <c r="AD433" s="6">
        <f t="shared" si="102"/>
        <v>0</v>
      </c>
      <c r="AE433" s="6">
        <f t="shared" si="103"/>
        <v>0</v>
      </c>
      <c r="AF433" s="6">
        <f t="shared" si="104"/>
        <v>0</v>
      </c>
      <c r="AG433" s="6">
        <f t="shared" si="105"/>
        <v>-36</v>
      </c>
      <c r="AH433" s="6">
        <f t="shared" si="94"/>
        <v>-36</v>
      </c>
      <c r="AI433" s="3"/>
      <c r="AJ433" s="3" t="e">
        <f>_xlfn.XLOOKUP(K433,工作表1!A:A,工作表1!C:C)</f>
        <v>#N/A</v>
      </c>
      <c r="AK433" s="3"/>
      <c r="AL433" s="6">
        <f t="shared" si="95"/>
        <v>0</v>
      </c>
      <c r="AM433" s="6">
        <f t="shared" si="96"/>
        <v>0</v>
      </c>
      <c r="AN433" s="6">
        <f t="shared" si="97"/>
        <v>0</v>
      </c>
      <c r="AO433" s="6">
        <f t="shared" si="98"/>
        <v>0</v>
      </c>
      <c r="AP433" s="6">
        <f t="shared" si="99"/>
        <v>2</v>
      </c>
      <c r="AQ433" s="6">
        <f t="shared" si="100"/>
        <v>2</v>
      </c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  <c r="BC433" s="6"/>
      <c r="BD433" s="6"/>
      <c r="BE433" s="6"/>
      <c r="BF433" s="6"/>
      <c r="BG433" s="6"/>
      <c r="BH433" s="6"/>
      <c r="BI433" s="6"/>
      <c r="BJ433" s="6">
        <v>2</v>
      </c>
      <c r="BK433" s="6"/>
      <c r="BL433" s="6"/>
      <c r="BM433" s="6"/>
      <c r="BN433" s="6"/>
      <c r="BO433" s="6"/>
      <c r="BP433" s="3">
        <v>38</v>
      </c>
      <c r="BQ433" s="6">
        <f t="shared" si="91"/>
        <v>2</v>
      </c>
      <c r="BR433">
        <v>2</v>
      </c>
    </row>
    <row r="434" spans="1:73" x14ac:dyDescent="0.3">
      <c r="A434" s="5" t="s">
        <v>685</v>
      </c>
      <c r="B434" s="3">
        <v>351</v>
      </c>
      <c r="C434" s="3" t="s">
        <v>1503</v>
      </c>
      <c r="D434" s="3">
        <v>2</v>
      </c>
      <c r="E434" s="3" t="s">
        <v>19</v>
      </c>
      <c r="F434" s="3" t="s">
        <v>19</v>
      </c>
      <c r="G434" s="3" t="s">
        <v>19</v>
      </c>
      <c r="H434" s="3" t="s">
        <v>105</v>
      </c>
      <c r="I434" s="3"/>
      <c r="J434" s="3" t="s">
        <v>91</v>
      </c>
      <c r="K434" s="3" t="s">
        <v>1504</v>
      </c>
      <c r="L434" s="3" t="s">
        <v>24</v>
      </c>
      <c r="M434" s="3">
        <v>30</v>
      </c>
      <c r="N434" s="6"/>
      <c r="O434" s="3">
        <v>0</v>
      </c>
      <c r="P434" s="3">
        <v>30</v>
      </c>
      <c r="Q434" s="3">
        <v>0</v>
      </c>
      <c r="R434" s="3">
        <v>0</v>
      </c>
      <c r="S434" s="3">
        <v>0</v>
      </c>
      <c r="T434" s="3">
        <v>0</v>
      </c>
      <c r="U434" s="3">
        <v>30</v>
      </c>
      <c r="V434" s="3">
        <f t="shared" si="92"/>
        <v>30</v>
      </c>
      <c r="W434" s="3">
        <v>0</v>
      </c>
      <c r="X434" s="3">
        <v>0</v>
      </c>
      <c r="Y434" s="3">
        <v>0</v>
      </c>
      <c r="Z434" s="3">
        <v>0</v>
      </c>
      <c r="AA434" s="3">
        <v>30</v>
      </c>
      <c r="AB434" s="3">
        <f t="shared" si="93"/>
        <v>30</v>
      </c>
      <c r="AC434" s="6">
        <f t="shared" si="101"/>
        <v>0</v>
      </c>
      <c r="AD434" s="6">
        <f t="shared" si="102"/>
        <v>0</v>
      </c>
      <c r="AE434" s="6">
        <f t="shared" si="103"/>
        <v>0</v>
      </c>
      <c r="AF434" s="6">
        <f t="shared" si="104"/>
        <v>0</v>
      </c>
      <c r="AG434" s="6">
        <f t="shared" si="105"/>
        <v>-30</v>
      </c>
      <c r="AH434" s="6">
        <f t="shared" si="94"/>
        <v>-30</v>
      </c>
      <c r="AI434" s="3"/>
      <c r="AJ434" s="3" t="e">
        <f>_xlfn.XLOOKUP(K434,工作表1!A:A,工作表1!C:C)</f>
        <v>#N/A</v>
      </c>
      <c r="AK434" s="3"/>
      <c r="AL434" s="6">
        <f t="shared" si="95"/>
        <v>0</v>
      </c>
      <c r="AM434" s="6">
        <f t="shared" si="96"/>
        <v>0</v>
      </c>
      <c r="AN434" s="6">
        <f t="shared" si="97"/>
        <v>0</v>
      </c>
      <c r="AO434" s="6">
        <f t="shared" si="98"/>
        <v>0</v>
      </c>
      <c r="AP434" s="6">
        <f t="shared" si="99"/>
        <v>0</v>
      </c>
      <c r="AQ434" s="6">
        <f t="shared" si="100"/>
        <v>0</v>
      </c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  <c r="BC434" s="6"/>
      <c r="BD434" s="6"/>
      <c r="BE434" s="6"/>
      <c r="BF434" s="6"/>
      <c r="BG434" s="6"/>
      <c r="BH434" s="6"/>
      <c r="BI434" s="6"/>
      <c r="BJ434" s="6"/>
      <c r="BK434" s="6"/>
      <c r="BL434" s="6"/>
      <c r="BM434" s="6"/>
      <c r="BN434" s="6"/>
      <c r="BO434" s="6"/>
      <c r="BP434" s="3">
        <v>30</v>
      </c>
      <c r="BQ434" s="6">
        <f t="shared" si="91"/>
        <v>0</v>
      </c>
    </row>
    <row r="435" spans="1:73" x14ac:dyDescent="0.3">
      <c r="A435" s="3" t="s">
        <v>685</v>
      </c>
      <c r="B435" s="3">
        <v>362</v>
      </c>
      <c r="C435" s="3" t="s">
        <v>722</v>
      </c>
      <c r="D435" s="3">
        <v>3</v>
      </c>
      <c r="E435" s="3">
        <v>2</v>
      </c>
      <c r="F435" s="3" t="s">
        <v>20</v>
      </c>
      <c r="G435" s="3" t="s">
        <v>25</v>
      </c>
      <c r="H435" s="3" t="s">
        <v>304</v>
      </c>
      <c r="I435" s="3"/>
      <c r="J435" s="3" t="s">
        <v>91</v>
      </c>
      <c r="K435" s="3" t="s">
        <v>723</v>
      </c>
      <c r="L435" s="3" t="s">
        <v>24</v>
      </c>
      <c r="M435" s="3">
        <v>2</v>
      </c>
      <c r="N435" s="6"/>
      <c r="O435" s="3">
        <v>2</v>
      </c>
      <c r="P435" s="3">
        <v>2</v>
      </c>
      <c r="Q435" s="3">
        <v>0</v>
      </c>
      <c r="R435" s="3">
        <v>0</v>
      </c>
      <c r="S435" s="3">
        <v>0</v>
      </c>
      <c r="T435" s="3">
        <v>0</v>
      </c>
      <c r="U435" s="3">
        <v>2</v>
      </c>
      <c r="V435" s="3">
        <f t="shared" si="92"/>
        <v>2</v>
      </c>
      <c r="W435" s="3">
        <v>0</v>
      </c>
      <c r="X435" s="3">
        <v>0</v>
      </c>
      <c r="Y435" s="3">
        <v>0</v>
      </c>
      <c r="Z435" s="3">
        <v>0</v>
      </c>
      <c r="AA435" s="3">
        <v>2</v>
      </c>
      <c r="AB435" s="3">
        <f t="shared" si="93"/>
        <v>2</v>
      </c>
      <c r="AC435" s="6">
        <f t="shared" si="101"/>
        <v>0</v>
      </c>
      <c r="AD435" s="6">
        <f t="shared" si="102"/>
        <v>0</v>
      </c>
      <c r="AE435" s="6">
        <f t="shared" si="103"/>
        <v>0</v>
      </c>
      <c r="AF435" s="6">
        <f t="shared" si="104"/>
        <v>0</v>
      </c>
      <c r="AG435" s="6">
        <f t="shared" si="105"/>
        <v>0</v>
      </c>
      <c r="AH435" s="6">
        <f t="shared" si="94"/>
        <v>0</v>
      </c>
      <c r="AI435" s="3"/>
      <c r="AJ435" s="3" t="e">
        <f>_xlfn.XLOOKUP(K435,工作表1!A:A,工作表1!C:C)</f>
        <v>#N/A</v>
      </c>
      <c r="AK435" s="3"/>
      <c r="AL435" s="6">
        <f t="shared" si="95"/>
        <v>0</v>
      </c>
      <c r="AM435" s="6">
        <f t="shared" si="96"/>
        <v>0</v>
      </c>
      <c r="AN435" s="6">
        <f t="shared" si="97"/>
        <v>0</v>
      </c>
      <c r="AO435" s="6">
        <f t="shared" si="98"/>
        <v>0</v>
      </c>
      <c r="AP435" s="6">
        <f t="shared" si="99"/>
        <v>2</v>
      </c>
      <c r="AQ435" s="6">
        <f t="shared" si="100"/>
        <v>2</v>
      </c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  <c r="BC435" s="6"/>
      <c r="BD435" s="6"/>
      <c r="BE435" s="6"/>
      <c r="BF435" s="6"/>
      <c r="BG435" s="6"/>
      <c r="BH435" s="6"/>
      <c r="BI435" s="6"/>
      <c r="BJ435" s="6"/>
      <c r="BK435" s="6"/>
      <c r="BL435" s="6">
        <v>2</v>
      </c>
      <c r="BM435" s="6"/>
      <c r="BN435" s="6"/>
      <c r="BO435" s="6"/>
      <c r="BP435" s="3">
        <v>2</v>
      </c>
      <c r="BQ435" s="6">
        <f t="shared" si="91"/>
        <v>2</v>
      </c>
      <c r="BU435">
        <v>2</v>
      </c>
    </row>
    <row r="436" spans="1:73" x14ac:dyDescent="0.3">
      <c r="A436" s="3" t="s">
        <v>685</v>
      </c>
      <c r="B436" s="3">
        <v>362</v>
      </c>
      <c r="C436" s="3" t="s">
        <v>724</v>
      </c>
      <c r="D436" s="3">
        <v>2</v>
      </c>
      <c r="E436" s="3">
        <v>1.5</v>
      </c>
      <c r="F436" s="3" t="s">
        <v>25</v>
      </c>
      <c r="G436" s="3" t="s">
        <v>25</v>
      </c>
      <c r="H436" s="3" t="s">
        <v>192</v>
      </c>
      <c r="I436" s="3"/>
      <c r="J436" s="3" t="s">
        <v>91</v>
      </c>
      <c r="K436" s="3" t="s">
        <v>725</v>
      </c>
      <c r="L436" s="3" t="s">
        <v>24</v>
      </c>
      <c r="M436" s="3">
        <v>39</v>
      </c>
      <c r="N436" s="6"/>
      <c r="O436" s="3">
        <v>2</v>
      </c>
      <c r="P436" s="3">
        <v>38</v>
      </c>
      <c r="Q436" s="3">
        <v>0</v>
      </c>
      <c r="R436" s="3">
        <v>0</v>
      </c>
      <c r="S436" s="3">
        <v>0</v>
      </c>
      <c r="T436" s="3">
        <v>0</v>
      </c>
      <c r="U436" s="3">
        <v>38</v>
      </c>
      <c r="V436" s="3">
        <f t="shared" si="92"/>
        <v>38</v>
      </c>
      <c r="W436" s="3">
        <v>0</v>
      </c>
      <c r="X436" s="3">
        <v>0</v>
      </c>
      <c r="Y436" s="3">
        <v>0</v>
      </c>
      <c r="Z436" s="3">
        <v>0</v>
      </c>
      <c r="AA436" s="3">
        <v>38</v>
      </c>
      <c r="AB436" s="3">
        <f t="shared" si="93"/>
        <v>38</v>
      </c>
      <c r="AC436" s="6">
        <f t="shared" si="101"/>
        <v>0</v>
      </c>
      <c r="AD436" s="6">
        <f t="shared" si="102"/>
        <v>0</v>
      </c>
      <c r="AE436" s="6">
        <f t="shared" si="103"/>
        <v>0</v>
      </c>
      <c r="AF436" s="6">
        <f t="shared" si="104"/>
        <v>0</v>
      </c>
      <c r="AG436" s="6">
        <f t="shared" si="105"/>
        <v>-38</v>
      </c>
      <c r="AH436" s="6">
        <f t="shared" si="94"/>
        <v>-38</v>
      </c>
      <c r="AI436" s="3"/>
      <c r="AJ436" s="3" t="e">
        <f>_xlfn.XLOOKUP(K436,工作表1!A:A,工作表1!C:C)</f>
        <v>#N/A</v>
      </c>
      <c r="AK436" s="3"/>
      <c r="AL436" s="6">
        <f t="shared" si="95"/>
        <v>0</v>
      </c>
      <c r="AM436" s="6">
        <f t="shared" si="96"/>
        <v>0</v>
      </c>
      <c r="AN436" s="6">
        <f t="shared" si="97"/>
        <v>0</v>
      </c>
      <c r="AO436" s="6">
        <f t="shared" si="98"/>
        <v>0</v>
      </c>
      <c r="AP436" s="6">
        <f t="shared" si="99"/>
        <v>0</v>
      </c>
      <c r="AQ436" s="6">
        <f t="shared" si="100"/>
        <v>0</v>
      </c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  <c r="BC436" s="6"/>
      <c r="BD436" s="6"/>
      <c r="BE436" s="6"/>
      <c r="BF436" s="6"/>
      <c r="BG436" s="6"/>
      <c r="BH436" s="6"/>
      <c r="BI436" s="6"/>
      <c r="BJ436" s="6"/>
      <c r="BK436" s="6"/>
      <c r="BL436" s="6"/>
      <c r="BM436" s="6"/>
      <c r="BN436" s="6"/>
      <c r="BO436" s="6"/>
      <c r="BP436" s="3">
        <v>38</v>
      </c>
      <c r="BQ436" s="6">
        <f t="shared" si="91"/>
        <v>0</v>
      </c>
    </row>
    <row r="437" spans="1:73" x14ac:dyDescent="0.3">
      <c r="A437" s="3" t="s">
        <v>685</v>
      </c>
      <c r="B437" s="3">
        <v>362</v>
      </c>
      <c r="C437" s="3" t="s">
        <v>724</v>
      </c>
      <c r="D437" s="3">
        <v>1.5</v>
      </c>
      <c r="E437" s="3">
        <v>0.75</v>
      </c>
      <c r="F437" s="3" t="s">
        <v>25</v>
      </c>
      <c r="G437" s="3" t="s">
        <v>25</v>
      </c>
      <c r="H437" s="3" t="s">
        <v>277</v>
      </c>
      <c r="I437" s="3"/>
      <c r="J437" s="3" t="s">
        <v>91</v>
      </c>
      <c r="K437" s="3" t="s">
        <v>726</v>
      </c>
      <c r="L437" s="3" t="s">
        <v>24</v>
      </c>
      <c r="M437" s="3">
        <v>1</v>
      </c>
      <c r="N437" s="6"/>
      <c r="O437" s="3">
        <v>1</v>
      </c>
      <c r="P437" s="3">
        <v>1</v>
      </c>
      <c r="Q437" s="3">
        <v>0</v>
      </c>
      <c r="R437" s="3">
        <v>0</v>
      </c>
      <c r="S437" s="3">
        <v>0</v>
      </c>
      <c r="T437" s="3">
        <v>0</v>
      </c>
      <c r="U437" s="3">
        <v>1</v>
      </c>
      <c r="V437" s="3">
        <f t="shared" si="92"/>
        <v>1</v>
      </c>
      <c r="W437" s="3">
        <v>0</v>
      </c>
      <c r="X437" s="3">
        <v>0</v>
      </c>
      <c r="Y437" s="3">
        <v>0</v>
      </c>
      <c r="Z437" s="3">
        <v>0</v>
      </c>
      <c r="AA437" s="3">
        <v>1</v>
      </c>
      <c r="AB437" s="3">
        <f t="shared" si="93"/>
        <v>1</v>
      </c>
      <c r="AC437" s="6">
        <f t="shared" si="101"/>
        <v>0</v>
      </c>
      <c r="AD437" s="6">
        <f t="shared" si="102"/>
        <v>0</v>
      </c>
      <c r="AE437" s="6">
        <f t="shared" si="103"/>
        <v>0</v>
      </c>
      <c r="AF437" s="6">
        <f t="shared" si="104"/>
        <v>0</v>
      </c>
      <c r="AG437" s="6">
        <f t="shared" si="105"/>
        <v>-1</v>
      </c>
      <c r="AH437" s="6">
        <f t="shared" si="94"/>
        <v>-1</v>
      </c>
      <c r="AI437" s="3"/>
      <c r="AJ437" s="3" t="e">
        <f>_xlfn.XLOOKUP(K437,工作表1!A:A,工作表1!C:C)</f>
        <v>#N/A</v>
      </c>
      <c r="AK437" s="3"/>
      <c r="AL437" s="6">
        <f t="shared" si="95"/>
        <v>0</v>
      </c>
      <c r="AM437" s="6">
        <f t="shared" si="96"/>
        <v>0</v>
      </c>
      <c r="AN437" s="6">
        <f t="shared" si="97"/>
        <v>0</v>
      </c>
      <c r="AO437" s="6">
        <f t="shared" si="98"/>
        <v>0</v>
      </c>
      <c r="AP437" s="6">
        <f t="shared" si="99"/>
        <v>0</v>
      </c>
      <c r="AQ437" s="6">
        <f t="shared" si="100"/>
        <v>0</v>
      </c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  <c r="BC437" s="6"/>
      <c r="BD437" s="6"/>
      <c r="BE437" s="6"/>
      <c r="BF437" s="6"/>
      <c r="BG437" s="6"/>
      <c r="BH437" s="6"/>
      <c r="BI437" s="6"/>
      <c r="BJ437" s="6"/>
      <c r="BK437" s="6"/>
      <c r="BL437" s="6"/>
      <c r="BM437" s="6"/>
      <c r="BN437" s="6"/>
      <c r="BO437" s="6"/>
      <c r="BP437" s="3">
        <v>1</v>
      </c>
      <c r="BQ437" s="6">
        <f t="shared" si="91"/>
        <v>0</v>
      </c>
    </row>
    <row r="438" spans="1:73" x14ac:dyDescent="0.3">
      <c r="A438" s="3" t="s">
        <v>685</v>
      </c>
      <c r="B438" s="3">
        <v>363</v>
      </c>
      <c r="C438" s="3" t="s">
        <v>727</v>
      </c>
      <c r="D438" s="3">
        <v>6</v>
      </c>
      <c r="E438" s="3">
        <v>4</v>
      </c>
      <c r="F438" s="3" t="s">
        <v>20</v>
      </c>
      <c r="G438" s="3" t="s">
        <v>20</v>
      </c>
      <c r="H438" s="3" t="s">
        <v>186</v>
      </c>
      <c r="I438" s="3"/>
      <c r="J438" s="3" t="s">
        <v>91</v>
      </c>
      <c r="K438" s="3" t="s">
        <v>728</v>
      </c>
      <c r="L438" s="3" t="s">
        <v>24</v>
      </c>
      <c r="M438" s="3">
        <v>3</v>
      </c>
      <c r="N438" s="6"/>
      <c r="O438" s="3">
        <v>3</v>
      </c>
      <c r="P438" s="3">
        <v>3</v>
      </c>
      <c r="Q438" s="3">
        <v>0</v>
      </c>
      <c r="R438" s="3">
        <v>0</v>
      </c>
      <c r="S438" s="3">
        <v>0</v>
      </c>
      <c r="T438" s="3">
        <v>0</v>
      </c>
      <c r="U438" s="3">
        <v>3</v>
      </c>
      <c r="V438" s="3">
        <f t="shared" si="92"/>
        <v>3</v>
      </c>
      <c r="W438" s="3">
        <v>0</v>
      </c>
      <c r="X438" s="3">
        <v>0</v>
      </c>
      <c r="Y438" s="3">
        <v>0</v>
      </c>
      <c r="Z438" s="3">
        <v>0</v>
      </c>
      <c r="AA438" s="3">
        <v>3</v>
      </c>
      <c r="AB438" s="3">
        <f t="shared" si="93"/>
        <v>3</v>
      </c>
      <c r="AC438" s="6">
        <f t="shared" si="101"/>
        <v>0</v>
      </c>
      <c r="AD438" s="6">
        <f t="shared" si="102"/>
        <v>0</v>
      </c>
      <c r="AE438" s="6">
        <f t="shared" si="103"/>
        <v>0</v>
      </c>
      <c r="AF438" s="6">
        <f t="shared" si="104"/>
        <v>0</v>
      </c>
      <c r="AG438" s="6">
        <f t="shared" si="105"/>
        <v>-3</v>
      </c>
      <c r="AH438" s="6">
        <f t="shared" si="94"/>
        <v>-3</v>
      </c>
      <c r="AI438" s="3"/>
      <c r="AJ438" s="3" t="e">
        <f>_xlfn.XLOOKUP(K438,工作表1!A:A,工作表1!C:C)</f>
        <v>#N/A</v>
      </c>
      <c r="AK438" s="3"/>
      <c r="AL438" s="6">
        <f t="shared" si="95"/>
        <v>0</v>
      </c>
      <c r="AM438" s="6">
        <f t="shared" si="96"/>
        <v>0</v>
      </c>
      <c r="AN438" s="6">
        <f t="shared" si="97"/>
        <v>0</v>
      </c>
      <c r="AO438" s="6">
        <f t="shared" si="98"/>
        <v>0</v>
      </c>
      <c r="AP438" s="6">
        <f t="shared" si="99"/>
        <v>0</v>
      </c>
      <c r="AQ438" s="6">
        <f t="shared" si="100"/>
        <v>0</v>
      </c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  <c r="BC438" s="6"/>
      <c r="BD438" s="6"/>
      <c r="BE438" s="6"/>
      <c r="BF438" s="6"/>
      <c r="BG438" s="6"/>
      <c r="BH438" s="6"/>
      <c r="BI438" s="6"/>
      <c r="BJ438" s="6"/>
      <c r="BK438" s="6"/>
      <c r="BL438" s="6"/>
      <c r="BM438" s="6"/>
      <c r="BN438" s="6"/>
      <c r="BO438" s="6"/>
      <c r="BP438" s="3">
        <v>3</v>
      </c>
      <c r="BQ438" s="6">
        <f t="shared" si="91"/>
        <v>0</v>
      </c>
    </row>
    <row r="439" spans="1:73" x14ac:dyDescent="0.3">
      <c r="A439" s="3" t="s">
        <v>685</v>
      </c>
      <c r="B439" s="3">
        <v>363</v>
      </c>
      <c r="C439" s="3" t="s">
        <v>727</v>
      </c>
      <c r="D439" s="3">
        <v>4</v>
      </c>
      <c r="E439" s="3">
        <v>3</v>
      </c>
      <c r="F439" s="3" t="s">
        <v>20</v>
      </c>
      <c r="G439" s="3" t="s">
        <v>20</v>
      </c>
      <c r="H439" s="3" t="s">
        <v>313</v>
      </c>
      <c r="I439" s="3"/>
      <c r="J439" s="3" t="s">
        <v>91</v>
      </c>
      <c r="K439" s="3" t="s">
        <v>729</v>
      </c>
      <c r="L439" s="3" t="s">
        <v>24</v>
      </c>
      <c r="M439" s="3">
        <v>3</v>
      </c>
      <c r="N439" s="6"/>
      <c r="O439" s="3">
        <v>3</v>
      </c>
      <c r="P439" s="3">
        <v>3</v>
      </c>
      <c r="Q439" s="3">
        <v>0</v>
      </c>
      <c r="R439" s="3">
        <v>0</v>
      </c>
      <c r="S439" s="3">
        <v>0</v>
      </c>
      <c r="T439" s="3">
        <v>0</v>
      </c>
      <c r="U439" s="3">
        <v>3</v>
      </c>
      <c r="V439" s="3">
        <f t="shared" si="92"/>
        <v>3</v>
      </c>
      <c r="W439" s="3">
        <v>0</v>
      </c>
      <c r="X439" s="3">
        <v>0</v>
      </c>
      <c r="Y439" s="3">
        <v>0</v>
      </c>
      <c r="Z439" s="3">
        <v>0</v>
      </c>
      <c r="AA439" s="3">
        <v>3</v>
      </c>
      <c r="AB439" s="3">
        <f t="shared" si="93"/>
        <v>3</v>
      </c>
      <c r="AC439" s="6">
        <f t="shared" si="101"/>
        <v>0</v>
      </c>
      <c r="AD439" s="6">
        <f t="shared" si="102"/>
        <v>0</v>
      </c>
      <c r="AE439" s="6">
        <f t="shared" si="103"/>
        <v>0</v>
      </c>
      <c r="AF439" s="6">
        <f t="shared" si="104"/>
        <v>0</v>
      </c>
      <c r="AG439" s="6">
        <f t="shared" si="105"/>
        <v>-3</v>
      </c>
      <c r="AH439" s="6">
        <f t="shared" si="94"/>
        <v>-3</v>
      </c>
      <c r="AI439" s="3"/>
      <c r="AJ439" s="3" t="e">
        <f>_xlfn.XLOOKUP(K439,工作表1!A:A,工作表1!C:C)</f>
        <v>#N/A</v>
      </c>
      <c r="AK439" s="3"/>
      <c r="AL439" s="6">
        <f t="shared" si="95"/>
        <v>0</v>
      </c>
      <c r="AM439" s="6">
        <f t="shared" si="96"/>
        <v>0</v>
      </c>
      <c r="AN439" s="6">
        <f t="shared" si="97"/>
        <v>0</v>
      </c>
      <c r="AO439" s="6">
        <f t="shared" si="98"/>
        <v>0</v>
      </c>
      <c r="AP439" s="6">
        <f t="shared" si="99"/>
        <v>0</v>
      </c>
      <c r="AQ439" s="6">
        <f t="shared" si="100"/>
        <v>0</v>
      </c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  <c r="BC439" s="6"/>
      <c r="BD439" s="6"/>
      <c r="BE439" s="6"/>
      <c r="BF439" s="6"/>
      <c r="BG439" s="6"/>
      <c r="BH439" s="6"/>
      <c r="BI439" s="6"/>
      <c r="BJ439" s="6"/>
      <c r="BK439" s="6"/>
      <c r="BL439" s="6"/>
      <c r="BM439" s="6"/>
      <c r="BN439" s="6"/>
      <c r="BO439" s="6"/>
      <c r="BP439" s="3">
        <v>3</v>
      </c>
      <c r="BQ439" s="6">
        <f t="shared" si="91"/>
        <v>0</v>
      </c>
    </row>
    <row r="440" spans="1:73" x14ac:dyDescent="0.3">
      <c r="A440" s="3" t="s">
        <v>685</v>
      </c>
      <c r="B440" s="3">
        <v>363</v>
      </c>
      <c r="C440" s="3" t="s">
        <v>727</v>
      </c>
      <c r="D440" s="3">
        <v>3</v>
      </c>
      <c r="E440" s="3">
        <v>2</v>
      </c>
      <c r="F440" s="3" t="s">
        <v>20</v>
      </c>
      <c r="G440" s="3" t="s">
        <v>25</v>
      </c>
      <c r="H440" s="3" t="s">
        <v>304</v>
      </c>
      <c r="I440" s="3"/>
      <c r="J440" s="3" t="s">
        <v>91</v>
      </c>
      <c r="K440" s="3" t="s">
        <v>730</v>
      </c>
      <c r="L440" s="3" t="s">
        <v>24</v>
      </c>
      <c r="M440" s="3">
        <v>37</v>
      </c>
      <c r="N440" s="6"/>
      <c r="O440" s="3">
        <v>36</v>
      </c>
      <c r="P440" s="3">
        <v>36</v>
      </c>
      <c r="Q440" s="3">
        <v>0</v>
      </c>
      <c r="R440" s="3">
        <v>0</v>
      </c>
      <c r="S440" s="3">
        <v>0</v>
      </c>
      <c r="T440" s="3">
        <v>0</v>
      </c>
      <c r="U440" s="3">
        <v>36</v>
      </c>
      <c r="V440" s="3">
        <f t="shared" si="92"/>
        <v>36</v>
      </c>
      <c r="W440" s="3">
        <v>0</v>
      </c>
      <c r="X440" s="3">
        <v>0</v>
      </c>
      <c r="Y440" s="3">
        <v>0</v>
      </c>
      <c r="Z440" s="3">
        <v>0</v>
      </c>
      <c r="AA440" s="3">
        <v>36</v>
      </c>
      <c r="AB440" s="3">
        <f t="shared" si="93"/>
        <v>36</v>
      </c>
      <c r="AC440" s="6">
        <f t="shared" si="101"/>
        <v>0</v>
      </c>
      <c r="AD440" s="6">
        <f t="shared" si="102"/>
        <v>0</v>
      </c>
      <c r="AE440" s="6">
        <f t="shared" si="103"/>
        <v>0</v>
      </c>
      <c r="AF440" s="6">
        <f t="shared" si="104"/>
        <v>0</v>
      </c>
      <c r="AG440" s="6">
        <f t="shared" si="105"/>
        <v>0</v>
      </c>
      <c r="AH440" s="6">
        <f t="shared" si="94"/>
        <v>0</v>
      </c>
      <c r="AI440" s="3"/>
      <c r="AJ440" s="3" t="str">
        <f>_xlfn.XLOOKUP(K440,工作表1!A:A,工作表1!C:C)</f>
        <v>1-A</v>
      </c>
      <c r="AK440" s="3" t="s">
        <v>1484</v>
      </c>
      <c r="AL440" s="6">
        <f t="shared" si="95"/>
        <v>0</v>
      </c>
      <c r="AM440" s="6">
        <f t="shared" si="96"/>
        <v>0</v>
      </c>
      <c r="AN440" s="6">
        <f t="shared" si="97"/>
        <v>0</v>
      </c>
      <c r="AO440" s="6">
        <f t="shared" si="98"/>
        <v>0</v>
      </c>
      <c r="AP440" s="6">
        <f t="shared" si="99"/>
        <v>36</v>
      </c>
      <c r="AQ440" s="6">
        <f t="shared" si="100"/>
        <v>36</v>
      </c>
      <c r="AR440" s="6"/>
      <c r="AS440" s="6"/>
      <c r="AT440" s="6"/>
      <c r="AU440" s="6"/>
      <c r="AV440" s="6"/>
      <c r="AW440" s="6"/>
      <c r="AX440" s="21"/>
      <c r="AY440" s="6"/>
      <c r="AZ440" s="6"/>
      <c r="BA440" s="6"/>
      <c r="BB440" s="6"/>
      <c r="BC440" s="6"/>
      <c r="BD440" s="6"/>
      <c r="BE440" s="6"/>
      <c r="BF440" s="6"/>
      <c r="BG440" s="6"/>
      <c r="BH440" s="6"/>
      <c r="BI440" s="6"/>
      <c r="BJ440" s="6"/>
      <c r="BK440" s="21">
        <v>36</v>
      </c>
      <c r="BL440" s="6"/>
      <c r="BM440" s="6"/>
      <c r="BN440" s="6"/>
      <c r="BO440" s="6"/>
      <c r="BP440" s="3">
        <v>36</v>
      </c>
      <c r="BQ440" s="6">
        <f t="shared" si="91"/>
        <v>36</v>
      </c>
      <c r="BT440">
        <v>36</v>
      </c>
    </row>
    <row r="441" spans="1:73" x14ac:dyDescent="0.3">
      <c r="A441" s="3" t="s">
        <v>685</v>
      </c>
      <c r="B441" s="3">
        <v>371</v>
      </c>
      <c r="C441" s="3" t="s">
        <v>731</v>
      </c>
      <c r="D441" s="3">
        <v>1.5</v>
      </c>
      <c r="E441" s="3" t="s">
        <v>19</v>
      </c>
      <c r="F441" s="3" t="s">
        <v>19</v>
      </c>
      <c r="G441" s="3" t="s">
        <v>19</v>
      </c>
      <c r="H441" s="3" t="s">
        <v>99</v>
      </c>
      <c r="I441" s="3"/>
      <c r="J441" s="3" t="s">
        <v>91</v>
      </c>
      <c r="K441" s="3" t="s">
        <v>732</v>
      </c>
      <c r="L441" s="3" t="s">
        <v>24</v>
      </c>
      <c r="M441" s="3">
        <v>44</v>
      </c>
      <c r="N441" s="6"/>
      <c r="O441" s="3">
        <v>8</v>
      </c>
      <c r="P441" s="3">
        <v>44</v>
      </c>
      <c r="Q441" s="3">
        <v>0</v>
      </c>
      <c r="R441" s="3">
        <v>0</v>
      </c>
      <c r="S441" s="3">
        <v>0</v>
      </c>
      <c r="T441" s="3">
        <v>0</v>
      </c>
      <c r="U441" s="3">
        <v>44</v>
      </c>
      <c r="V441" s="3">
        <f t="shared" si="92"/>
        <v>44</v>
      </c>
      <c r="W441" s="3">
        <v>0</v>
      </c>
      <c r="X441" s="3">
        <v>0</v>
      </c>
      <c r="Y441" s="3">
        <v>0</v>
      </c>
      <c r="Z441" s="3">
        <v>0</v>
      </c>
      <c r="AA441" s="3">
        <v>44</v>
      </c>
      <c r="AB441" s="3">
        <f t="shared" si="93"/>
        <v>44</v>
      </c>
      <c r="AC441" s="6">
        <f t="shared" si="101"/>
        <v>0</v>
      </c>
      <c r="AD441" s="6">
        <f t="shared" si="102"/>
        <v>0</v>
      </c>
      <c r="AE441" s="6">
        <f t="shared" si="103"/>
        <v>0</v>
      </c>
      <c r="AF441" s="6">
        <f t="shared" si="104"/>
        <v>0</v>
      </c>
      <c r="AG441" s="6">
        <f t="shared" si="105"/>
        <v>-37</v>
      </c>
      <c r="AH441" s="6">
        <f t="shared" si="94"/>
        <v>-37</v>
      </c>
      <c r="AI441" s="3"/>
      <c r="AJ441" s="3" t="e">
        <f>_xlfn.XLOOKUP(K441,工作表1!A:A,工作表1!C:C)</f>
        <v>#N/A</v>
      </c>
      <c r="AK441" s="3"/>
      <c r="AL441" s="6">
        <f t="shared" si="95"/>
        <v>0</v>
      </c>
      <c r="AM441" s="6">
        <f t="shared" si="96"/>
        <v>0</v>
      </c>
      <c r="AN441" s="6">
        <f t="shared" si="97"/>
        <v>0</v>
      </c>
      <c r="AO441" s="6">
        <f t="shared" si="98"/>
        <v>0</v>
      </c>
      <c r="AP441" s="6">
        <f t="shared" si="99"/>
        <v>7</v>
      </c>
      <c r="AQ441" s="6">
        <f t="shared" si="100"/>
        <v>7</v>
      </c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  <c r="BC441" s="6"/>
      <c r="BD441" s="6"/>
      <c r="BE441" s="6"/>
      <c r="BF441" s="6"/>
      <c r="BG441" s="6"/>
      <c r="BH441" s="6"/>
      <c r="BI441" s="6"/>
      <c r="BJ441" s="6">
        <v>7</v>
      </c>
      <c r="BK441" s="6"/>
      <c r="BL441" s="6"/>
      <c r="BM441" s="6"/>
      <c r="BN441" s="6"/>
      <c r="BO441" s="6"/>
      <c r="BP441" s="3">
        <v>44</v>
      </c>
      <c r="BQ441" s="6">
        <f t="shared" si="91"/>
        <v>7</v>
      </c>
      <c r="BR441">
        <v>7</v>
      </c>
    </row>
    <row r="442" spans="1:73" x14ac:dyDescent="0.3">
      <c r="A442" s="3" t="s">
        <v>685</v>
      </c>
      <c r="B442" s="3">
        <v>371</v>
      </c>
      <c r="C442" s="3" t="s">
        <v>731</v>
      </c>
      <c r="D442" s="3">
        <v>0.5</v>
      </c>
      <c r="E442" s="3" t="s">
        <v>19</v>
      </c>
      <c r="F442" s="3" t="s">
        <v>19</v>
      </c>
      <c r="G442" s="3" t="s">
        <v>19</v>
      </c>
      <c r="H442" s="3" t="s">
        <v>105</v>
      </c>
      <c r="I442" s="3"/>
      <c r="J442" s="3" t="s">
        <v>91</v>
      </c>
      <c r="K442" s="3" t="s">
        <v>733</v>
      </c>
      <c r="L442" s="3" t="s">
        <v>24</v>
      </c>
      <c r="M442" s="3">
        <v>32</v>
      </c>
      <c r="N442" s="6"/>
      <c r="O442" s="3">
        <v>2</v>
      </c>
      <c r="P442" s="3">
        <v>34</v>
      </c>
      <c r="Q442" s="3">
        <v>0</v>
      </c>
      <c r="R442" s="3">
        <v>0</v>
      </c>
      <c r="S442" s="3">
        <v>0</v>
      </c>
      <c r="T442" s="3">
        <v>0</v>
      </c>
      <c r="U442" s="3">
        <v>34</v>
      </c>
      <c r="V442" s="3">
        <f t="shared" si="92"/>
        <v>34</v>
      </c>
      <c r="W442" s="3">
        <v>0</v>
      </c>
      <c r="X442" s="3">
        <v>0</v>
      </c>
      <c r="Y442" s="3">
        <v>0</v>
      </c>
      <c r="Z442" s="3">
        <v>0</v>
      </c>
      <c r="AA442" s="3">
        <v>34</v>
      </c>
      <c r="AB442" s="3">
        <f t="shared" si="93"/>
        <v>34</v>
      </c>
      <c r="AC442" s="6">
        <f t="shared" si="101"/>
        <v>0</v>
      </c>
      <c r="AD442" s="6">
        <f t="shared" si="102"/>
        <v>0</v>
      </c>
      <c r="AE442" s="6">
        <f t="shared" si="103"/>
        <v>0</v>
      </c>
      <c r="AF442" s="6">
        <f t="shared" si="104"/>
        <v>0</v>
      </c>
      <c r="AG442" s="6">
        <f t="shared" si="105"/>
        <v>-32</v>
      </c>
      <c r="AH442" s="6">
        <f t="shared" si="94"/>
        <v>-32</v>
      </c>
      <c r="AI442" s="3"/>
      <c r="AJ442" s="3" t="e">
        <f>_xlfn.XLOOKUP(K442,工作表1!A:A,工作表1!C:C)</f>
        <v>#N/A</v>
      </c>
      <c r="AK442" s="3"/>
      <c r="AL442" s="6">
        <f t="shared" si="95"/>
        <v>0</v>
      </c>
      <c r="AM442" s="6">
        <f t="shared" si="96"/>
        <v>0</v>
      </c>
      <c r="AN442" s="6">
        <f t="shared" si="97"/>
        <v>0</v>
      </c>
      <c r="AO442" s="6">
        <f t="shared" si="98"/>
        <v>0</v>
      </c>
      <c r="AP442" s="6">
        <f t="shared" si="99"/>
        <v>2</v>
      </c>
      <c r="AQ442" s="6">
        <f t="shared" si="100"/>
        <v>2</v>
      </c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  <c r="BC442" s="6"/>
      <c r="BD442" s="6"/>
      <c r="BE442" s="6"/>
      <c r="BF442" s="6"/>
      <c r="BG442" s="6"/>
      <c r="BH442" s="6"/>
      <c r="BI442" s="6"/>
      <c r="BJ442" s="6">
        <v>2</v>
      </c>
      <c r="BK442" s="6"/>
      <c r="BL442" s="6"/>
      <c r="BM442" s="6"/>
      <c r="BN442" s="6"/>
      <c r="BO442" s="6"/>
      <c r="BP442" s="3">
        <v>34</v>
      </c>
      <c r="BQ442" s="6">
        <f t="shared" si="91"/>
        <v>2</v>
      </c>
      <c r="BR442">
        <v>2</v>
      </c>
    </row>
    <row r="443" spans="1:73" x14ac:dyDescent="0.3">
      <c r="A443" s="5" t="s">
        <v>685</v>
      </c>
      <c r="B443" s="3">
        <v>371</v>
      </c>
      <c r="C443" s="3" t="s">
        <v>1501</v>
      </c>
      <c r="D443" s="3">
        <v>0.5</v>
      </c>
      <c r="E443" s="3" t="s">
        <v>19</v>
      </c>
      <c r="F443" s="3" t="s">
        <v>19</v>
      </c>
      <c r="G443" s="3" t="s">
        <v>19</v>
      </c>
      <c r="H443" s="3" t="s">
        <v>1496</v>
      </c>
      <c r="I443" s="3"/>
      <c r="J443" s="3" t="s">
        <v>91</v>
      </c>
      <c r="K443" s="3" t="s">
        <v>1502</v>
      </c>
      <c r="L443" s="3" t="s">
        <v>24</v>
      </c>
      <c r="M443" s="3">
        <v>38</v>
      </c>
      <c r="N443" s="6"/>
      <c r="O443" s="3">
        <v>0</v>
      </c>
      <c r="P443" s="3">
        <v>36</v>
      </c>
      <c r="Q443" s="3">
        <v>0</v>
      </c>
      <c r="R443" s="3">
        <v>0</v>
      </c>
      <c r="S443" s="3">
        <v>0</v>
      </c>
      <c r="T443" s="3">
        <v>0</v>
      </c>
      <c r="U443" s="3">
        <v>36</v>
      </c>
      <c r="V443" s="3">
        <f t="shared" si="92"/>
        <v>36</v>
      </c>
      <c r="W443" s="3">
        <v>0</v>
      </c>
      <c r="X443" s="3">
        <v>0</v>
      </c>
      <c r="Y443" s="3">
        <v>0</v>
      </c>
      <c r="Z443" s="3">
        <v>0</v>
      </c>
      <c r="AA443" s="3">
        <v>36</v>
      </c>
      <c r="AB443" s="3">
        <f t="shared" si="93"/>
        <v>36</v>
      </c>
      <c r="AC443" s="6">
        <f t="shared" si="101"/>
        <v>0</v>
      </c>
      <c r="AD443" s="6">
        <f t="shared" si="102"/>
        <v>0</v>
      </c>
      <c r="AE443" s="6">
        <f t="shared" si="103"/>
        <v>0</v>
      </c>
      <c r="AF443" s="6">
        <f t="shared" si="104"/>
        <v>0</v>
      </c>
      <c r="AG443" s="6">
        <f t="shared" si="105"/>
        <v>-36</v>
      </c>
      <c r="AH443" s="6">
        <f t="shared" si="94"/>
        <v>-36</v>
      </c>
      <c r="AI443" s="3"/>
      <c r="AJ443" s="3" t="e">
        <f>_xlfn.XLOOKUP(K443,工作表1!A:A,工作表1!C:C)</f>
        <v>#N/A</v>
      </c>
      <c r="AK443" s="3"/>
      <c r="AL443" s="6">
        <f t="shared" si="95"/>
        <v>0</v>
      </c>
      <c r="AM443" s="6">
        <f t="shared" si="96"/>
        <v>0</v>
      </c>
      <c r="AN443" s="6">
        <f t="shared" si="97"/>
        <v>0</v>
      </c>
      <c r="AO443" s="6">
        <f t="shared" si="98"/>
        <v>0</v>
      </c>
      <c r="AP443" s="6">
        <f t="shared" si="99"/>
        <v>0</v>
      </c>
      <c r="AQ443" s="6">
        <f t="shared" si="100"/>
        <v>0</v>
      </c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  <c r="BC443" s="6"/>
      <c r="BD443" s="6"/>
      <c r="BE443" s="6"/>
      <c r="BF443" s="6"/>
      <c r="BG443" s="6"/>
      <c r="BH443" s="6"/>
      <c r="BI443" s="6"/>
      <c r="BJ443" s="6"/>
      <c r="BK443" s="6"/>
      <c r="BL443" s="6"/>
      <c r="BM443" s="6"/>
      <c r="BN443" s="6"/>
      <c r="BO443" s="6"/>
      <c r="BP443" s="3">
        <v>36</v>
      </c>
      <c r="BQ443" s="6">
        <f t="shared" si="91"/>
        <v>0</v>
      </c>
    </row>
    <row r="444" spans="1:73" x14ac:dyDescent="0.3">
      <c r="A444" s="3" t="s">
        <v>685</v>
      </c>
      <c r="B444" s="3">
        <v>413</v>
      </c>
      <c r="C444" s="3" t="s">
        <v>734</v>
      </c>
      <c r="D444" s="3">
        <v>1.5</v>
      </c>
      <c r="E444" s="3" t="s">
        <v>19</v>
      </c>
      <c r="F444" s="3" t="s">
        <v>19</v>
      </c>
      <c r="G444" s="3" t="s">
        <v>19</v>
      </c>
      <c r="H444" s="3" t="s">
        <v>99</v>
      </c>
      <c r="I444" s="3"/>
      <c r="J444" s="3" t="s">
        <v>91</v>
      </c>
      <c r="K444" s="3" t="s">
        <v>735</v>
      </c>
      <c r="L444" s="3" t="s">
        <v>24</v>
      </c>
      <c r="M444" s="3">
        <v>11</v>
      </c>
      <c r="N444" s="6"/>
      <c r="O444" s="3">
        <v>4</v>
      </c>
      <c r="P444" s="3">
        <v>4</v>
      </c>
      <c r="Q444" s="3">
        <v>0</v>
      </c>
      <c r="R444" s="3">
        <v>0</v>
      </c>
      <c r="S444" s="3">
        <v>0</v>
      </c>
      <c r="T444" s="3">
        <v>0</v>
      </c>
      <c r="U444" s="3">
        <v>4</v>
      </c>
      <c r="V444" s="3">
        <f t="shared" si="92"/>
        <v>4</v>
      </c>
      <c r="W444" s="3">
        <v>0</v>
      </c>
      <c r="X444" s="3">
        <v>0</v>
      </c>
      <c r="Y444" s="3">
        <v>0</v>
      </c>
      <c r="Z444" s="3">
        <v>0</v>
      </c>
      <c r="AA444" s="3">
        <v>4</v>
      </c>
      <c r="AB444" s="3">
        <f t="shared" si="93"/>
        <v>4</v>
      </c>
      <c r="AC444" s="6">
        <f t="shared" si="101"/>
        <v>0</v>
      </c>
      <c r="AD444" s="6">
        <f t="shared" si="102"/>
        <v>0</v>
      </c>
      <c r="AE444" s="6">
        <f t="shared" si="103"/>
        <v>0</v>
      </c>
      <c r="AF444" s="6">
        <f t="shared" si="104"/>
        <v>0</v>
      </c>
      <c r="AG444" s="6">
        <f t="shared" si="105"/>
        <v>-4</v>
      </c>
      <c r="AH444" s="6">
        <f t="shared" si="94"/>
        <v>-4</v>
      </c>
      <c r="AI444" s="3"/>
      <c r="AJ444" s="3" t="e">
        <f>_xlfn.XLOOKUP(K444,工作表1!A:A,工作表1!C:C)</f>
        <v>#N/A</v>
      </c>
      <c r="AK444" s="3"/>
      <c r="AL444" s="6">
        <f t="shared" si="95"/>
        <v>0</v>
      </c>
      <c r="AM444" s="6">
        <f t="shared" si="96"/>
        <v>0</v>
      </c>
      <c r="AN444" s="6">
        <f t="shared" si="97"/>
        <v>0</v>
      </c>
      <c r="AO444" s="6">
        <f t="shared" si="98"/>
        <v>0</v>
      </c>
      <c r="AP444" s="6">
        <f t="shared" si="99"/>
        <v>0</v>
      </c>
      <c r="AQ444" s="6">
        <f t="shared" si="100"/>
        <v>0</v>
      </c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  <c r="BC444" s="6"/>
      <c r="BD444" s="6"/>
      <c r="BE444" s="6"/>
      <c r="BF444" s="6"/>
      <c r="BG444" s="6"/>
      <c r="BH444" s="6"/>
      <c r="BI444" s="6"/>
      <c r="BJ444" s="6"/>
      <c r="BK444" s="6"/>
      <c r="BL444" s="6"/>
      <c r="BM444" s="6"/>
      <c r="BN444" s="6"/>
      <c r="BO444" s="6"/>
      <c r="BP444" s="3">
        <v>4</v>
      </c>
      <c r="BQ444" s="6">
        <f t="shared" si="91"/>
        <v>0</v>
      </c>
    </row>
    <row r="445" spans="1:73" x14ac:dyDescent="0.3">
      <c r="A445" s="3" t="s">
        <v>685</v>
      </c>
      <c r="B445" s="3">
        <v>413</v>
      </c>
      <c r="C445" s="3" t="s">
        <v>734</v>
      </c>
      <c r="D445" s="3">
        <v>0.5</v>
      </c>
      <c r="E445" s="3" t="s">
        <v>19</v>
      </c>
      <c r="F445" s="3" t="s">
        <v>19</v>
      </c>
      <c r="G445" s="3" t="s">
        <v>19</v>
      </c>
      <c r="H445" s="3" t="s">
        <v>105</v>
      </c>
      <c r="I445" s="3"/>
      <c r="J445" s="3" t="s">
        <v>91</v>
      </c>
      <c r="K445" s="3" t="s">
        <v>736</v>
      </c>
      <c r="L445" s="3" t="s">
        <v>24</v>
      </c>
      <c r="M445" s="3">
        <v>8</v>
      </c>
      <c r="N445" s="6"/>
      <c r="O445" s="3">
        <v>2</v>
      </c>
      <c r="P445" s="3">
        <v>4</v>
      </c>
      <c r="Q445" s="3">
        <v>0</v>
      </c>
      <c r="R445" s="3">
        <v>0</v>
      </c>
      <c r="S445" s="3">
        <v>0</v>
      </c>
      <c r="T445" s="3">
        <v>0</v>
      </c>
      <c r="U445" s="3">
        <v>4</v>
      </c>
      <c r="V445" s="3">
        <f t="shared" si="92"/>
        <v>4</v>
      </c>
      <c r="W445" s="3">
        <v>0</v>
      </c>
      <c r="X445" s="3">
        <v>0</v>
      </c>
      <c r="Y445" s="3">
        <v>0</v>
      </c>
      <c r="Z445" s="3">
        <v>0</v>
      </c>
      <c r="AA445" s="3">
        <v>4</v>
      </c>
      <c r="AB445" s="3">
        <f t="shared" si="93"/>
        <v>4</v>
      </c>
      <c r="AC445" s="6">
        <f t="shared" si="101"/>
        <v>0</v>
      </c>
      <c r="AD445" s="6">
        <f t="shared" si="102"/>
        <v>0</v>
      </c>
      <c r="AE445" s="6">
        <f t="shared" si="103"/>
        <v>0</v>
      </c>
      <c r="AF445" s="6">
        <f t="shared" si="104"/>
        <v>0</v>
      </c>
      <c r="AG445" s="6">
        <f t="shared" si="105"/>
        <v>-4</v>
      </c>
      <c r="AH445" s="6">
        <f t="shared" si="94"/>
        <v>-4</v>
      </c>
      <c r="AI445" s="3"/>
      <c r="AJ445" s="3" t="e">
        <f>_xlfn.XLOOKUP(K445,工作表1!A:A,工作表1!C:C)</f>
        <v>#N/A</v>
      </c>
      <c r="AK445" s="3"/>
      <c r="AL445" s="6">
        <f t="shared" si="95"/>
        <v>0</v>
      </c>
      <c r="AM445" s="6">
        <f t="shared" si="96"/>
        <v>0</v>
      </c>
      <c r="AN445" s="6">
        <f t="shared" si="97"/>
        <v>0</v>
      </c>
      <c r="AO445" s="6">
        <f t="shared" si="98"/>
        <v>0</v>
      </c>
      <c r="AP445" s="6">
        <f t="shared" si="99"/>
        <v>0</v>
      </c>
      <c r="AQ445" s="6">
        <f t="shared" si="100"/>
        <v>0</v>
      </c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  <c r="BC445" s="6"/>
      <c r="BD445" s="6"/>
      <c r="BE445" s="6"/>
      <c r="BF445" s="6"/>
      <c r="BG445" s="6"/>
      <c r="BH445" s="6"/>
      <c r="BI445" s="6"/>
      <c r="BJ445" s="6"/>
      <c r="BK445" s="6"/>
      <c r="BL445" s="6"/>
      <c r="BM445" s="6"/>
      <c r="BN445" s="6"/>
      <c r="BO445" s="6"/>
      <c r="BP445" s="3">
        <v>4</v>
      </c>
      <c r="BQ445" s="6">
        <f t="shared" si="91"/>
        <v>0</v>
      </c>
    </row>
    <row r="446" spans="1:73" x14ac:dyDescent="0.3">
      <c r="A446" s="3" t="s">
        <v>685</v>
      </c>
      <c r="B446" s="3">
        <v>415</v>
      </c>
      <c r="C446" s="3" t="s">
        <v>737</v>
      </c>
      <c r="D446" s="3">
        <v>6</v>
      </c>
      <c r="E446" s="3" t="s">
        <v>19</v>
      </c>
      <c r="F446" s="3" t="s">
        <v>20</v>
      </c>
      <c r="G446" s="3" t="s">
        <v>19</v>
      </c>
      <c r="H446" s="3" t="s">
        <v>28</v>
      </c>
      <c r="I446" s="3">
        <v>7.11</v>
      </c>
      <c r="J446" s="3" t="s">
        <v>91</v>
      </c>
      <c r="K446" s="3" t="s">
        <v>738</v>
      </c>
      <c r="L446" s="3" t="s">
        <v>24</v>
      </c>
      <c r="M446" s="3">
        <v>6</v>
      </c>
      <c r="N446" s="6"/>
      <c r="O446" s="3">
        <v>3</v>
      </c>
      <c r="P446" s="3">
        <v>3</v>
      </c>
      <c r="Q446" s="3">
        <v>0</v>
      </c>
      <c r="R446" s="3">
        <v>0</v>
      </c>
      <c r="S446" s="3">
        <v>0</v>
      </c>
      <c r="T446" s="3">
        <v>0</v>
      </c>
      <c r="U446" s="3">
        <v>3</v>
      </c>
      <c r="V446" s="3">
        <f t="shared" si="92"/>
        <v>3</v>
      </c>
      <c r="W446" s="3">
        <v>0</v>
      </c>
      <c r="X446" s="3">
        <v>0</v>
      </c>
      <c r="Y446" s="3">
        <v>0</v>
      </c>
      <c r="Z446" s="3">
        <v>0</v>
      </c>
      <c r="AA446" s="3">
        <v>3</v>
      </c>
      <c r="AB446" s="3">
        <f t="shared" si="93"/>
        <v>3</v>
      </c>
      <c r="AC446" s="6">
        <f t="shared" si="101"/>
        <v>0</v>
      </c>
      <c r="AD446" s="6">
        <f t="shared" si="102"/>
        <v>0</v>
      </c>
      <c r="AE446" s="6">
        <f t="shared" si="103"/>
        <v>0</v>
      </c>
      <c r="AF446" s="6">
        <f t="shared" si="104"/>
        <v>0</v>
      </c>
      <c r="AG446" s="6">
        <f t="shared" si="105"/>
        <v>-3</v>
      </c>
      <c r="AH446" s="6">
        <f t="shared" si="94"/>
        <v>-3</v>
      </c>
      <c r="AI446" s="3"/>
      <c r="AJ446" s="3" t="e">
        <f>_xlfn.XLOOKUP(K446,工作表1!A:A,工作表1!C:C)</f>
        <v>#N/A</v>
      </c>
      <c r="AK446" s="3"/>
      <c r="AL446" s="6">
        <f t="shared" si="95"/>
        <v>0</v>
      </c>
      <c r="AM446" s="6">
        <f t="shared" si="96"/>
        <v>0</v>
      </c>
      <c r="AN446" s="6">
        <f t="shared" si="97"/>
        <v>0</v>
      </c>
      <c r="AO446" s="6">
        <f t="shared" si="98"/>
        <v>0</v>
      </c>
      <c r="AP446" s="6">
        <f t="shared" si="99"/>
        <v>0</v>
      </c>
      <c r="AQ446" s="6">
        <f t="shared" si="100"/>
        <v>0</v>
      </c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  <c r="BC446" s="6"/>
      <c r="BD446" s="6"/>
      <c r="BE446" s="6"/>
      <c r="BF446" s="6"/>
      <c r="BG446" s="6"/>
      <c r="BH446" s="6"/>
      <c r="BI446" s="6"/>
      <c r="BJ446" s="6"/>
      <c r="BK446" s="6"/>
      <c r="BL446" s="6"/>
      <c r="BM446" s="6"/>
      <c r="BN446" s="6"/>
      <c r="BO446" s="6"/>
      <c r="BP446" s="3">
        <v>3</v>
      </c>
      <c r="BQ446" s="6">
        <f t="shared" si="91"/>
        <v>0</v>
      </c>
    </row>
    <row r="447" spans="1:73" x14ac:dyDescent="0.3">
      <c r="A447" s="3" t="s">
        <v>685</v>
      </c>
      <c r="B447" s="3">
        <v>415</v>
      </c>
      <c r="C447" s="3" t="s">
        <v>737</v>
      </c>
      <c r="D447" s="3">
        <v>3</v>
      </c>
      <c r="E447" s="3" t="s">
        <v>19</v>
      </c>
      <c r="F447" s="3" t="s">
        <v>20</v>
      </c>
      <c r="G447" s="3" t="s">
        <v>19</v>
      </c>
      <c r="H447" s="3" t="s">
        <v>32</v>
      </c>
      <c r="I447" s="3">
        <v>5.49</v>
      </c>
      <c r="J447" s="3" t="s">
        <v>91</v>
      </c>
      <c r="K447" s="3" t="s">
        <v>739</v>
      </c>
      <c r="L447" s="3" t="s">
        <v>24</v>
      </c>
      <c r="M447" s="3">
        <v>4</v>
      </c>
      <c r="N447" s="6"/>
      <c r="O447" s="3">
        <v>1</v>
      </c>
      <c r="P447" s="3">
        <v>1</v>
      </c>
      <c r="Q447" s="3">
        <v>0</v>
      </c>
      <c r="R447" s="3">
        <v>0</v>
      </c>
      <c r="S447" s="3">
        <v>0</v>
      </c>
      <c r="T447" s="3">
        <v>0</v>
      </c>
      <c r="U447" s="3">
        <v>1</v>
      </c>
      <c r="V447" s="3">
        <f t="shared" si="92"/>
        <v>1</v>
      </c>
      <c r="W447" s="3">
        <v>0</v>
      </c>
      <c r="X447" s="3">
        <v>0</v>
      </c>
      <c r="Y447" s="3">
        <v>0</v>
      </c>
      <c r="Z447" s="3">
        <v>0</v>
      </c>
      <c r="AA447" s="3">
        <v>1</v>
      </c>
      <c r="AB447" s="3">
        <f t="shared" si="93"/>
        <v>1</v>
      </c>
      <c r="AC447" s="6">
        <f t="shared" si="101"/>
        <v>0</v>
      </c>
      <c r="AD447" s="6">
        <f t="shared" si="102"/>
        <v>0</v>
      </c>
      <c r="AE447" s="6">
        <f t="shared" si="103"/>
        <v>0</v>
      </c>
      <c r="AF447" s="6">
        <f t="shared" si="104"/>
        <v>0</v>
      </c>
      <c r="AG447" s="6">
        <f t="shared" si="105"/>
        <v>-1</v>
      </c>
      <c r="AH447" s="6">
        <f t="shared" si="94"/>
        <v>-1</v>
      </c>
      <c r="AI447" s="3"/>
      <c r="AJ447" s="3" t="e">
        <f>_xlfn.XLOOKUP(K447,工作表1!A:A,工作表1!C:C)</f>
        <v>#N/A</v>
      </c>
      <c r="AK447" s="3"/>
      <c r="AL447" s="6">
        <f t="shared" si="95"/>
        <v>0</v>
      </c>
      <c r="AM447" s="6">
        <f t="shared" si="96"/>
        <v>0</v>
      </c>
      <c r="AN447" s="6">
        <f t="shared" si="97"/>
        <v>0</v>
      </c>
      <c r="AO447" s="6">
        <f t="shared" si="98"/>
        <v>0</v>
      </c>
      <c r="AP447" s="6">
        <f t="shared" si="99"/>
        <v>0</v>
      </c>
      <c r="AQ447" s="6">
        <f t="shared" si="100"/>
        <v>0</v>
      </c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  <c r="BC447" s="6"/>
      <c r="BD447" s="6"/>
      <c r="BE447" s="6"/>
      <c r="BF447" s="6"/>
      <c r="BG447" s="6"/>
      <c r="BH447" s="6"/>
      <c r="BI447" s="6"/>
      <c r="BJ447" s="6"/>
      <c r="BK447" s="6"/>
      <c r="BL447" s="6"/>
      <c r="BM447" s="6"/>
      <c r="BN447" s="6"/>
      <c r="BO447" s="6"/>
      <c r="BP447" s="3">
        <v>1</v>
      </c>
      <c r="BQ447" s="6">
        <f t="shared" si="91"/>
        <v>0</v>
      </c>
    </row>
    <row r="448" spans="1:73" x14ac:dyDescent="0.3">
      <c r="A448" s="3" t="s">
        <v>685</v>
      </c>
      <c r="B448" s="3">
        <v>471</v>
      </c>
      <c r="C448" s="3" t="s">
        <v>440</v>
      </c>
      <c r="D448" s="3">
        <v>0.5</v>
      </c>
      <c r="E448" s="3" t="s">
        <v>19</v>
      </c>
      <c r="F448" s="3" t="s">
        <v>19</v>
      </c>
      <c r="G448" s="3" t="s">
        <v>19</v>
      </c>
      <c r="H448" s="3" t="s">
        <v>105</v>
      </c>
      <c r="I448" s="3"/>
      <c r="J448" s="3" t="s">
        <v>91</v>
      </c>
      <c r="K448" s="3" t="s">
        <v>451</v>
      </c>
      <c r="L448" s="3" t="s">
        <v>335</v>
      </c>
      <c r="M448" s="3">
        <v>590</v>
      </c>
      <c r="N448" s="6"/>
      <c r="O448" s="3">
        <v>29</v>
      </c>
      <c r="P448" s="3">
        <v>30</v>
      </c>
      <c r="Q448" s="3">
        <v>0</v>
      </c>
      <c r="R448" s="3">
        <v>28</v>
      </c>
      <c r="S448" s="3">
        <v>0</v>
      </c>
      <c r="T448" s="3">
        <v>0</v>
      </c>
      <c r="U448" s="3">
        <v>2</v>
      </c>
      <c r="V448" s="3">
        <f t="shared" si="92"/>
        <v>30</v>
      </c>
      <c r="W448" s="3">
        <v>0</v>
      </c>
      <c r="X448" s="3">
        <v>28</v>
      </c>
      <c r="Y448" s="3">
        <v>0</v>
      </c>
      <c r="Z448" s="3">
        <v>0</v>
      </c>
      <c r="AA448" s="3">
        <v>2</v>
      </c>
      <c r="AB448" s="3">
        <f t="shared" si="93"/>
        <v>30</v>
      </c>
      <c r="AC448" s="6">
        <f t="shared" si="101"/>
        <v>0</v>
      </c>
      <c r="AD448" s="6">
        <f t="shared" si="102"/>
        <v>-28</v>
      </c>
      <c r="AE448" s="6">
        <f t="shared" si="103"/>
        <v>0</v>
      </c>
      <c r="AF448" s="6">
        <f t="shared" si="104"/>
        <v>0</v>
      </c>
      <c r="AG448" s="6">
        <f t="shared" si="105"/>
        <v>-2</v>
      </c>
      <c r="AH448" s="6">
        <f t="shared" si="94"/>
        <v>-30</v>
      </c>
      <c r="AI448" s="3"/>
      <c r="AJ448" s="3" t="e">
        <f>_xlfn.XLOOKUP(K448,工作表1!A:A,工作表1!C:C)</f>
        <v>#N/A</v>
      </c>
      <c r="AK448" s="3"/>
      <c r="AL448" s="6">
        <f t="shared" si="95"/>
        <v>0</v>
      </c>
      <c r="AM448" s="6">
        <f t="shared" si="96"/>
        <v>0</v>
      </c>
      <c r="AN448" s="6">
        <f t="shared" si="97"/>
        <v>0</v>
      </c>
      <c r="AO448" s="6">
        <f t="shared" si="98"/>
        <v>0</v>
      </c>
      <c r="AP448" s="6">
        <f t="shared" si="99"/>
        <v>0</v>
      </c>
      <c r="AQ448" s="6">
        <f t="shared" si="100"/>
        <v>0</v>
      </c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  <c r="BC448" s="6"/>
      <c r="BD448" s="6"/>
      <c r="BE448" s="6"/>
      <c r="BF448" s="6"/>
      <c r="BG448" s="6"/>
      <c r="BH448" s="6"/>
      <c r="BI448" s="6"/>
      <c r="BJ448" s="6"/>
      <c r="BK448" s="6"/>
      <c r="BL448" s="6"/>
      <c r="BM448" s="6"/>
      <c r="BN448" s="6"/>
      <c r="BO448" s="6"/>
      <c r="BP448" s="3">
        <v>30</v>
      </c>
      <c r="BQ448" s="6">
        <f t="shared" si="91"/>
        <v>0</v>
      </c>
    </row>
    <row r="449" spans="1:73" x14ac:dyDescent="0.3">
      <c r="A449" s="3" t="s">
        <v>685</v>
      </c>
      <c r="B449" s="3">
        <v>472</v>
      </c>
      <c r="C449" s="3" t="s">
        <v>485</v>
      </c>
      <c r="D449" s="3">
        <v>6</v>
      </c>
      <c r="E449" s="3" t="s">
        <v>19</v>
      </c>
      <c r="F449" s="3" t="s">
        <v>19</v>
      </c>
      <c r="G449" s="3" t="s">
        <v>19</v>
      </c>
      <c r="H449" s="3" t="s">
        <v>443</v>
      </c>
      <c r="I449" s="3"/>
      <c r="J449" s="3" t="s">
        <v>486</v>
      </c>
      <c r="K449" s="3" t="s">
        <v>740</v>
      </c>
      <c r="L449" s="3" t="s">
        <v>335</v>
      </c>
      <c r="M449" s="3">
        <v>0</v>
      </c>
      <c r="N449" s="6"/>
      <c r="O449" s="3">
        <v>3</v>
      </c>
      <c r="P449" s="3">
        <v>3</v>
      </c>
      <c r="Q449" s="3">
        <v>0</v>
      </c>
      <c r="R449" s="3">
        <v>0</v>
      </c>
      <c r="S449" s="3">
        <v>0</v>
      </c>
      <c r="T449" s="3">
        <v>0</v>
      </c>
      <c r="U449" s="3">
        <v>3</v>
      </c>
      <c r="V449" s="3">
        <f t="shared" si="92"/>
        <v>3</v>
      </c>
      <c r="W449" s="3">
        <v>0</v>
      </c>
      <c r="X449" s="3">
        <v>0</v>
      </c>
      <c r="Y449" s="3">
        <v>0</v>
      </c>
      <c r="Z449" s="3">
        <v>0</v>
      </c>
      <c r="AA449" s="3">
        <v>3</v>
      </c>
      <c r="AB449" s="3">
        <f t="shared" si="93"/>
        <v>3</v>
      </c>
      <c r="AC449" s="6">
        <f t="shared" si="101"/>
        <v>0</v>
      </c>
      <c r="AD449" s="6">
        <f t="shared" si="102"/>
        <v>0</v>
      </c>
      <c r="AE449" s="6">
        <f t="shared" si="103"/>
        <v>0</v>
      </c>
      <c r="AF449" s="6">
        <f t="shared" si="104"/>
        <v>0</v>
      </c>
      <c r="AG449" s="6">
        <f t="shared" si="105"/>
        <v>-3</v>
      </c>
      <c r="AH449" s="6">
        <f t="shared" si="94"/>
        <v>-3</v>
      </c>
      <c r="AI449" s="3"/>
      <c r="AJ449" s="3" t="e">
        <f>_xlfn.XLOOKUP(K449,工作表1!A:A,工作表1!C:C)</f>
        <v>#N/A</v>
      </c>
      <c r="AK449" s="3"/>
      <c r="AL449" s="6">
        <f t="shared" si="95"/>
        <v>0</v>
      </c>
      <c r="AM449" s="6">
        <f t="shared" si="96"/>
        <v>0</v>
      </c>
      <c r="AN449" s="6">
        <f t="shared" si="97"/>
        <v>0</v>
      </c>
      <c r="AO449" s="6">
        <f t="shared" si="98"/>
        <v>0</v>
      </c>
      <c r="AP449" s="6">
        <f t="shared" si="99"/>
        <v>0</v>
      </c>
      <c r="AQ449" s="6">
        <f t="shared" si="100"/>
        <v>0</v>
      </c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  <c r="BC449" s="6"/>
      <c r="BD449" s="6"/>
      <c r="BE449" s="6"/>
      <c r="BF449" s="6"/>
      <c r="BG449" s="6"/>
      <c r="BH449" s="6"/>
      <c r="BI449" s="6"/>
      <c r="BJ449" s="6"/>
      <c r="BK449" s="6"/>
      <c r="BL449" s="6"/>
      <c r="BM449" s="6"/>
      <c r="BN449" s="6"/>
      <c r="BO449" s="6"/>
      <c r="BP449" s="3">
        <v>3</v>
      </c>
      <c r="BQ449" s="6">
        <f t="shared" si="91"/>
        <v>0</v>
      </c>
    </row>
    <row r="450" spans="1:73" x14ac:dyDescent="0.3">
      <c r="A450" s="3" t="s">
        <v>685</v>
      </c>
      <c r="B450" s="3">
        <v>472</v>
      </c>
      <c r="C450" s="3" t="s">
        <v>485</v>
      </c>
      <c r="D450" s="3">
        <v>3</v>
      </c>
      <c r="E450" s="3" t="s">
        <v>19</v>
      </c>
      <c r="F450" s="3" t="s">
        <v>19</v>
      </c>
      <c r="G450" s="3" t="s">
        <v>19</v>
      </c>
      <c r="H450" s="3" t="s">
        <v>338</v>
      </c>
      <c r="I450" s="3"/>
      <c r="J450" s="3" t="s">
        <v>486</v>
      </c>
      <c r="K450" s="3" t="s">
        <v>487</v>
      </c>
      <c r="L450" s="3" t="s">
        <v>335</v>
      </c>
      <c r="M450" s="3">
        <v>2</v>
      </c>
      <c r="N450" s="6"/>
      <c r="O450" s="3">
        <v>2</v>
      </c>
      <c r="P450" s="3">
        <v>2</v>
      </c>
      <c r="Q450" s="3">
        <v>0</v>
      </c>
      <c r="R450" s="3">
        <v>0</v>
      </c>
      <c r="S450" s="3">
        <v>1</v>
      </c>
      <c r="T450" s="3">
        <v>0</v>
      </c>
      <c r="U450" s="3">
        <v>1</v>
      </c>
      <c r="V450" s="3">
        <f t="shared" si="92"/>
        <v>2</v>
      </c>
      <c r="W450" s="3">
        <v>0</v>
      </c>
      <c r="X450" s="3">
        <v>0</v>
      </c>
      <c r="Y450" s="3">
        <v>1</v>
      </c>
      <c r="Z450" s="3">
        <v>0</v>
      </c>
      <c r="AA450" s="3">
        <v>1</v>
      </c>
      <c r="AB450" s="3">
        <f t="shared" si="93"/>
        <v>2</v>
      </c>
      <c r="AC450" s="6">
        <f t="shared" si="101"/>
        <v>0</v>
      </c>
      <c r="AD450" s="6">
        <f t="shared" si="102"/>
        <v>0</v>
      </c>
      <c r="AE450" s="6">
        <f t="shared" si="103"/>
        <v>-1</v>
      </c>
      <c r="AF450" s="6">
        <f t="shared" si="104"/>
        <v>0</v>
      </c>
      <c r="AG450" s="6">
        <f t="shared" si="105"/>
        <v>-1</v>
      </c>
      <c r="AH450" s="6">
        <f t="shared" si="94"/>
        <v>-2</v>
      </c>
      <c r="AI450" s="3"/>
      <c r="AJ450" s="3" t="e">
        <f>_xlfn.XLOOKUP(K450,工作表1!A:A,工作表1!C:C)</f>
        <v>#N/A</v>
      </c>
      <c r="AK450" s="3"/>
      <c r="AL450" s="6">
        <f t="shared" si="95"/>
        <v>0</v>
      </c>
      <c r="AM450" s="6">
        <f t="shared" si="96"/>
        <v>0</v>
      </c>
      <c r="AN450" s="6">
        <f t="shared" si="97"/>
        <v>0</v>
      </c>
      <c r="AO450" s="6">
        <f t="shared" si="98"/>
        <v>0</v>
      </c>
      <c r="AP450" s="6">
        <f t="shared" si="99"/>
        <v>0</v>
      </c>
      <c r="AQ450" s="6">
        <f t="shared" si="100"/>
        <v>0</v>
      </c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  <c r="BC450" s="6"/>
      <c r="BD450" s="6"/>
      <c r="BE450" s="6"/>
      <c r="BF450" s="6"/>
      <c r="BG450" s="6"/>
      <c r="BH450" s="6"/>
      <c r="BI450" s="6"/>
      <c r="BJ450" s="6"/>
      <c r="BK450" s="6"/>
      <c r="BL450" s="6"/>
      <c r="BM450" s="6"/>
      <c r="BN450" s="6"/>
      <c r="BO450" s="6"/>
      <c r="BP450" s="3">
        <v>2</v>
      </c>
      <c r="BQ450" s="6">
        <f t="shared" si="91"/>
        <v>0</v>
      </c>
    </row>
    <row r="451" spans="1:73" x14ac:dyDescent="0.3">
      <c r="A451" s="3" t="s">
        <v>685</v>
      </c>
      <c r="B451" s="3">
        <v>481</v>
      </c>
      <c r="C451" s="3" t="s">
        <v>741</v>
      </c>
      <c r="D451" s="3">
        <v>0.5</v>
      </c>
      <c r="E451" s="3">
        <v>65</v>
      </c>
      <c r="F451" s="3" t="s">
        <v>19</v>
      </c>
      <c r="G451" s="3" t="s">
        <v>19</v>
      </c>
      <c r="H451" s="3" t="s">
        <v>531</v>
      </c>
      <c r="I451" s="3"/>
      <c r="J451" s="3" t="s">
        <v>486</v>
      </c>
      <c r="K451" s="3" t="s">
        <v>742</v>
      </c>
      <c r="L451" s="3" t="s">
        <v>335</v>
      </c>
      <c r="M451" s="3">
        <v>24</v>
      </c>
      <c r="N451" s="6"/>
      <c r="O451" s="3">
        <v>4</v>
      </c>
      <c r="P451" s="3">
        <v>8</v>
      </c>
      <c r="Q451" s="3">
        <v>0</v>
      </c>
      <c r="R451" s="3">
        <v>0</v>
      </c>
      <c r="S451" s="3">
        <v>0</v>
      </c>
      <c r="T451" s="3">
        <v>0</v>
      </c>
      <c r="U451" s="3">
        <v>8</v>
      </c>
      <c r="V451" s="3">
        <f t="shared" si="92"/>
        <v>8</v>
      </c>
      <c r="W451" s="3">
        <v>0</v>
      </c>
      <c r="X451" s="3">
        <v>0</v>
      </c>
      <c r="Y451" s="3">
        <v>0</v>
      </c>
      <c r="Z451" s="3">
        <v>0</v>
      </c>
      <c r="AA451" s="3">
        <v>8</v>
      </c>
      <c r="AB451" s="3">
        <f t="shared" si="93"/>
        <v>8</v>
      </c>
      <c r="AC451" s="6">
        <f t="shared" si="101"/>
        <v>0</v>
      </c>
      <c r="AD451" s="6">
        <f t="shared" si="102"/>
        <v>0</v>
      </c>
      <c r="AE451" s="6">
        <f t="shared" si="103"/>
        <v>0</v>
      </c>
      <c r="AF451" s="6">
        <f t="shared" si="104"/>
        <v>0</v>
      </c>
      <c r="AG451" s="6">
        <f t="shared" si="105"/>
        <v>-8</v>
      </c>
      <c r="AH451" s="6">
        <f t="shared" si="94"/>
        <v>-8</v>
      </c>
      <c r="AI451" s="3"/>
      <c r="AJ451" s="3" t="e">
        <f>_xlfn.XLOOKUP(K451,工作表1!A:A,工作表1!C:C)</f>
        <v>#N/A</v>
      </c>
      <c r="AK451" s="3"/>
      <c r="AL451" s="6">
        <f t="shared" si="95"/>
        <v>0</v>
      </c>
      <c r="AM451" s="6">
        <f t="shared" si="96"/>
        <v>0</v>
      </c>
      <c r="AN451" s="6">
        <f t="shared" si="97"/>
        <v>0</v>
      </c>
      <c r="AO451" s="6">
        <f t="shared" si="98"/>
        <v>0</v>
      </c>
      <c r="AP451" s="6">
        <f t="shared" si="99"/>
        <v>0</v>
      </c>
      <c r="AQ451" s="6">
        <f t="shared" si="100"/>
        <v>0</v>
      </c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  <c r="BC451" s="6"/>
      <c r="BD451" s="6"/>
      <c r="BE451" s="6"/>
      <c r="BF451" s="6"/>
      <c r="BG451" s="6"/>
      <c r="BH451" s="6"/>
      <c r="BI451" s="6"/>
      <c r="BJ451" s="6"/>
      <c r="BK451" s="6"/>
      <c r="BL451" s="6"/>
      <c r="BM451" s="6"/>
      <c r="BN451" s="6"/>
      <c r="BO451" s="6"/>
      <c r="BP451" s="3">
        <v>8</v>
      </c>
      <c r="BQ451" s="6">
        <f t="shared" si="91"/>
        <v>0</v>
      </c>
    </row>
    <row r="452" spans="1:73" x14ac:dyDescent="0.3">
      <c r="A452" s="3" t="s">
        <v>685</v>
      </c>
      <c r="B452" s="3">
        <v>481</v>
      </c>
      <c r="C452" s="3" t="s">
        <v>741</v>
      </c>
      <c r="D452" s="3">
        <v>0.5</v>
      </c>
      <c r="E452" s="3">
        <v>75</v>
      </c>
      <c r="F452" s="3" t="s">
        <v>19</v>
      </c>
      <c r="G452" s="3" t="s">
        <v>19</v>
      </c>
      <c r="H452" s="3" t="s">
        <v>539</v>
      </c>
      <c r="I452" s="3"/>
      <c r="J452" s="3" t="s">
        <v>486</v>
      </c>
      <c r="K452" s="3" t="s">
        <v>743</v>
      </c>
      <c r="L452" s="3" t="s">
        <v>335</v>
      </c>
      <c r="M452" s="3">
        <v>14</v>
      </c>
      <c r="N452" s="6"/>
      <c r="O452" s="3">
        <v>4</v>
      </c>
      <c r="P452" s="3">
        <v>4</v>
      </c>
      <c r="Q452" s="3">
        <v>0</v>
      </c>
      <c r="R452" s="3">
        <v>0</v>
      </c>
      <c r="S452" s="3">
        <v>0</v>
      </c>
      <c r="T452" s="3">
        <v>0</v>
      </c>
      <c r="U452" s="3">
        <v>4</v>
      </c>
      <c r="V452" s="3">
        <f t="shared" si="92"/>
        <v>4</v>
      </c>
      <c r="W452" s="3">
        <v>0</v>
      </c>
      <c r="X452" s="3">
        <v>0</v>
      </c>
      <c r="Y452" s="3">
        <v>0</v>
      </c>
      <c r="Z452" s="3">
        <v>0</v>
      </c>
      <c r="AA452" s="3">
        <v>4</v>
      </c>
      <c r="AB452" s="3">
        <f t="shared" si="93"/>
        <v>4</v>
      </c>
      <c r="AC452" s="6">
        <f t="shared" si="101"/>
        <v>0</v>
      </c>
      <c r="AD452" s="6">
        <f t="shared" si="102"/>
        <v>0</v>
      </c>
      <c r="AE452" s="6">
        <f t="shared" si="103"/>
        <v>0</v>
      </c>
      <c r="AF452" s="6">
        <f t="shared" si="104"/>
        <v>0</v>
      </c>
      <c r="AG452" s="6">
        <f t="shared" si="105"/>
        <v>-4</v>
      </c>
      <c r="AH452" s="6">
        <f t="shared" si="94"/>
        <v>-4</v>
      </c>
      <c r="AI452" s="3"/>
      <c r="AJ452" s="3" t="e">
        <f>_xlfn.XLOOKUP(K452,工作表1!A:A,工作表1!C:C)</f>
        <v>#N/A</v>
      </c>
      <c r="AK452" s="3"/>
      <c r="AL452" s="6">
        <f t="shared" si="95"/>
        <v>0</v>
      </c>
      <c r="AM452" s="6">
        <f t="shared" si="96"/>
        <v>0</v>
      </c>
      <c r="AN452" s="6">
        <f t="shared" si="97"/>
        <v>0</v>
      </c>
      <c r="AO452" s="6">
        <f t="shared" si="98"/>
        <v>0</v>
      </c>
      <c r="AP452" s="6">
        <f t="shared" si="99"/>
        <v>0</v>
      </c>
      <c r="AQ452" s="6">
        <f t="shared" si="100"/>
        <v>0</v>
      </c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  <c r="BC452" s="6"/>
      <c r="BD452" s="6"/>
      <c r="BE452" s="6"/>
      <c r="BF452" s="6"/>
      <c r="BG452" s="6"/>
      <c r="BH452" s="6"/>
      <c r="BI452" s="6"/>
      <c r="BJ452" s="6"/>
      <c r="BK452" s="6"/>
      <c r="BL452" s="6"/>
      <c r="BM452" s="6"/>
      <c r="BN452" s="6"/>
      <c r="BO452" s="6"/>
      <c r="BP452" s="3">
        <v>4</v>
      </c>
      <c r="BQ452" s="6">
        <f t="shared" si="91"/>
        <v>0</v>
      </c>
    </row>
    <row r="453" spans="1:73" x14ac:dyDescent="0.3">
      <c r="A453" s="3" t="s">
        <v>685</v>
      </c>
      <c r="B453" s="3">
        <v>610</v>
      </c>
      <c r="C453" s="3" t="s">
        <v>744</v>
      </c>
      <c r="D453" s="3">
        <v>1.5</v>
      </c>
      <c r="E453" s="3" t="s">
        <v>19</v>
      </c>
      <c r="F453" s="3" t="s">
        <v>19</v>
      </c>
      <c r="G453" s="3" t="s">
        <v>19</v>
      </c>
      <c r="H453" s="3" t="s">
        <v>99</v>
      </c>
      <c r="I453" s="3"/>
      <c r="J453" s="3" t="s">
        <v>91</v>
      </c>
      <c r="K453" s="3" t="s">
        <v>745</v>
      </c>
      <c r="L453" s="3" t="s">
        <v>1467</v>
      </c>
      <c r="M453" s="3">
        <v>1</v>
      </c>
      <c r="N453" s="6"/>
      <c r="O453" s="3">
        <v>1</v>
      </c>
      <c r="P453" s="3">
        <v>1</v>
      </c>
      <c r="Q453" s="3">
        <v>0</v>
      </c>
      <c r="R453" s="3">
        <v>0</v>
      </c>
      <c r="S453" s="3">
        <v>0</v>
      </c>
      <c r="T453" s="3">
        <v>0</v>
      </c>
      <c r="U453" s="3">
        <v>1</v>
      </c>
      <c r="V453" s="3">
        <f t="shared" si="92"/>
        <v>1</v>
      </c>
      <c r="W453" s="3">
        <v>0</v>
      </c>
      <c r="X453" s="3">
        <v>0</v>
      </c>
      <c r="Y453" s="3">
        <v>0</v>
      </c>
      <c r="Z453" s="3">
        <v>0</v>
      </c>
      <c r="AA453" s="3">
        <v>1</v>
      </c>
      <c r="AB453" s="3">
        <f t="shared" si="93"/>
        <v>1</v>
      </c>
      <c r="AC453" s="6">
        <f t="shared" si="101"/>
        <v>0</v>
      </c>
      <c r="AD453" s="6">
        <f t="shared" si="102"/>
        <v>0</v>
      </c>
      <c r="AE453" s="6">
        <f t="shared" si="103"/>
        <v>0</v>
      </c>
      <c r="AF453" s="6">
        <f t="shared" si="104"/>
        <v>0</v>
      </c>
      <c r="AG453" s="6">
        <f t="shared" si="105"/>
        <v>-1</v>
      </c>
      <c r="AH453" s="6">
        <f t="shared" si="94"/>
        <v>-1</v>
      </c>
      <c r="AI453" s="3"/>
      <c r="AJ453" s="3" t="e">
        <f>_xlfn.XLOOKUP(K453,工作表1!A:A,工作表1!C:C)</f>
        <v>#N/A</v>
      </c>
      <c r="AK453" s="3"/>
      <c r="AL453" s="6">
        <f t="shared" si="95"/>
        <v>0</v>
      </c>
      <c r="AM453" s="6">
        <f t="shared" si="96"/>
        <v>0</v>
      </c>
      <c r="AN453" s="6">
        <f t="shared" si="97"/>
        <v>0</v>
      </c>
      <c r="AO453" s="6">
        <f t="shared" si="98"/>
        <v>0</v>
      </c>
      <c r="AP453" s="6">
        <f t="shared" si="99"/>
        <v>0</v>
      </c>
      <c r="AQ453" s="6">
        <f t="shared" si="100"/>
        <v>0</v>
      </c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  <c r="BC453" s="6"/>
      <c r="BD453" s="6"/>
      <c r="BE453" s="6"/>
      <c r="BF453" s="6"/>
      <c r="BG453" s="6"/>
      <c r="BH453" s="6"/>
      <c r="BI453" s="6"/>
      <c r="BJ453" s="6"/>
      <c r="BK453" s="6"/>
      <c r="BL453" s="6"/>
      <c r="BM453" s="6"/>
      <c r="BN453" s="6"/>
      <c r="BO453" s="6"/>
      <c r="BP453" s="3">
        <v>1</v>
      </c>
      <c r="BQ453" s="6">
        <f t="shared" si="91"/>
        <v>0</v>
      </c>
    </row>
    <row r="454" spans="1:73" x14ac:dyDescent="0.3">
      <c r="A454" s="3" t="s">
        <v>685</v>
      </c>
      <c r="B454" s="3">
        <v>821</v>
      </c>
      <c r="C454" s="3" t="s">
        <v>746</v>
      </c>
      <c r="D454" s="3">
        <v>0.5</v>
      </c>
      <c r="E454" s="3" t="s">
        <v>19</v>
      </c>
      <c r="F454" s="3" t="s">
        <v>19</v>
      </c>
      <c r="G454" s="3" t="s">
        <v>19</v>
      </c>
      <c r="H454" s="3" t="s">
        <v>105</v>
      </c>
      <c r="I454" s="3"/>
      <c r="J454" s="3" t="s">
        <v>91</v>
      </c>
      <c r="K454" s="3" t="s">
        <v>747</v>
      </c>
      <c r="L454" s="3" t="s">
        <v>335</v>
      </c>
      <c r="M454" s="3">
        <v>128</v>
      </c>
      <c r="N454" s="6"/>
      <c r="O454" s="3">
        <v>4</v>
      </c>
      <c r="P454" s="3">
        <v>68</v>
      </c>
      <c r="Q454" s="3">
        <v>0</v>
      </c>
      <c r="R454" s="3">
        <v>0</v>
      </c>
      <c r="S454" s="3">
        <v>0</v>
      </c>
      <c r="T454" s="3">
        <v>0</v>
      </c>
      <c r="U454" s="3">
        <v>68</v>
      </c>
      <c r="V454" s="3">
        <f t="shared" si="92"/>
        <v>68</v>
      </c>
      <c r="W454" s="3">
        <v>0</v>
      </c>
      <c r="X454" s="3">
        <v>0</v>
      </c>
      <c r="Y454" s="3">
        <v>0</v>
      </c>
      <c r="Z454" s="3">
        <v>0</v>
      </c>
      <c r="AA454" s="3">
        <v>68</v>
      </c>
      <c r="AB454" s="3">
        <f t="shared" si="93"/>
        <v>68</v>
      </c>
      <c r="AC454" s="6">
        <f t="shared" si="101"/>
        <v>0</v>
      </c>
      <c r="AD454" s="6">
        <f t="shared" si="102"/>
        <v>0</v>
      </c>
      <c r="AE454" s="6">
        <f t="shared" si="103"/>
        <v>0</v>
      </c>
      <c r="AF454" s="6">
        <f t="shared" si="104"/>
        <v>0</v>
      </c>
      <c r="AG454" s="6">
        <f t="shared" si="105"/>
        <v>-68</v>
      </c>
      <c r="AH454" s="6">
        <f t="shared" si="94"/>
        <v>-68</v>
      </c>
      <c r="AI454" s="3"/>
      <c r="AJ454" s="3" t="e">
        <f>_xlfn.XLOOKUP(K454,工作表1!A:A,工作表1!C:C)</f>
        <v>#N/A</v>
      </c>
      <c r="AK454" s="3"/>
      <c r="AL454" s="6">
        <f t="shared" si="95"/>
        <v>0</v>
      </c>
      <c r="AM454" s="6">
        <f t="shared" si="96"/>
        <v>0</v>
      </c>
      <c r="AN454" s="6">
        <f t="shared" si="97"/>
        <v>0</v>
      </c>
      <c r="AO454" s="6">
        <f t="shared" si="98"/>
        <v>0</v>
      </c>
      <c r="AP454" s="6">
        <f t="shared" si="99"/>
        <v>0</v>
      </c>
      <c r="AQ454" s="6">
        <f t="shared" si="100"/>
        <v>0</v>
      </c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  <c r="BC454" s="6"/>
      <c r="BD454" s="6"/>
      <c r="BE454" s="6"/>
      <c r="BF454" s="6"/>
      <c r="BG454" s="6"/>
      <c r="BH454" s="6"/>
      <c r="BI454" s="6"/>
      <c r="BJ454" s="6"/>
      <c r="BK454" s="6"/>
      <c r="BL454" s="6"/>
      <c r="BM454" s="6"/>
      <c r="BN454" s="6"/>
      <c r="BO454" s="6"/>
      <c r="BP454" s="3">
        <v>68</v>
      </c>
      <c r="BQ454" s="6">
        <f t="shared" si="91"/>
        <v>0</v>
      </c>
    </row>
    <row r="455" spans="1:73" x14ac:dyDescent="0.3">
      <c r="A455" s="3" t="s">
        <v>685</v>
      </c>
      <c r="B455" s="3">
        <v>823</v>
      </c>
      <c r="C455" s="3" t="s">
        <v>748</v>
      </c>
      <c r="D455" s="3">
        <v>0.5</v>
      </c>
      <c r="E455" s="3" t="s">
        <v>19</v>
      </c>
      <c r="F455" s="3" t="s">
        <v>19</v>
      </c>
      <c r="G455" s="3" t="s">
        <v>19</v>
      </c>
      <c r="H455" s="3" t="s">
        <v>105</v>
      </c>
      <c r="I455" s="3"/>
      <c r="J455" s="3" t="s">
        <v>91</v>
      </c>
      <c r="K455" s="3" t="s">
        <v>749</v>
      </c>
      <c r="L455" s="3" t="s">
        <v>335</v>
      </c>
      <c r="M455" s="3">
        <v>133</v>
      </c>
      <c r="N455" s="6"/>
      <c r="O455" s="3">
        <v>8</v>
      </c>
      <c r="P455" s="3">
        <v>116</v>
      </c>
      <c r="Q455" s="3">
        <v>0</v>
      </c>
      <c r="R455" s="3">
        <v>0</v>
      </c>
      <c r="S455" s="3">
        <v>0</v>
      </c>
      <c r="T455" s="3">
        <v>0</v>
      </c>
      <c r="U455" s="3">
        <v>116</v>
      </c>
      <c r="V455" s="3">
        <f t="shared" si="92"/>
        <v>116</v>
      </c>
      <c r="W455" s="3">
        <v>0</v>
      </c>
      <c r="X455" s="3">
        <v>0</v>
      </c>
      <c r="Y455" s="3">
        <v>0</v>
      </c>
      <c r="Z455" s="3">
        <v>0</v>
      </c>
      <c r="AA455" s="3">
        <v>116</v>
      </c>
      <c r="AB455" s="3">
        <f t="shared" si="93"/>
        <v>116</v>
      </c>
      <c r="AC455" s="6">
        <f t="shared" si="101"/>
        <v>0</v>
      </c>
      <c r="AD455" s="6">
        <f t="shared" si="102"/>
        <v>0</v>
      </c>
      <c r="AE455" s="6">
        <f t="shared" si="103"/>
        <v>0</v>
      </c>
      <c r="AF455" s="6">
        <f t="shared" si="104"/>
        <v>0</v>
      </c>
      <c r="AG455" s="6">
        <f t="shared" si="105"/>
        <v>-116</v>
      </c>
      <c r="AH455" s="6">
        <f t="shared" si="94"/>
        <v>-116</v>
      </c>
      <c r="AI455" s="3"/>
      <c r="AJ455" s="3" t="e">
        <f>_xlfn.XLOOKUP(K455,工作表1!A:A,工作表1!C:C)</f>
        <v>#N/A</v>
      </c>
      <c r="AK455" s="3"/>
      <c r="AL455" s="6">
        <f t="shared" si="95"/>
        <v>0</v>
      </c>
      <c r="AM455" s="6">
        <f t="shared" si="96"/>
        <v>0</v>
      </c>
      <c r="AN455" s="6">
        <f t="shared" si="97"/>
        <v>0</v>
      </c>
      <c r="AO455" s="6">
        <f t="shared" si="98"/>
        <v>0</v>
      </c>
      <c r="AP455" s="6">
        <f t="shared" si="99"/>
        <v>0</v>
      </c>
      <c r="AQ455" s="6">
        <f t="shared" si="100"/>
        <v>0</v>
      </c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  <c r="BC455" s="6"/>
      <c r="BD455" s="6"/>
      <c r="BE455" s="6"/>
      <c r="BF455" s="6"/>
      <c r="BG455" s="6"/>
      <c r="BH455" s="6"/>
      <c r="BI455" s="6"/>
      <c r="BJ455" s="6"/>
      <c r="BK455" s="6"/>
      <c r="BL455" s="6"/>
      <c r="BM455" s="6"/>
      <c r="BN455" s="6"/>
      <c r="BO455" s="6"/>
      <c r="BP455" s="3">
        <v>116</v>
      </c>
      <c r="BQ455" s="6">
        <f t="shared" ref="BQ455:BQ518" si="106">SUM(BR455:FN455)</f>
        <v>0</v>
      </c>
    </row>
    <row r="456" spans="1:73" x14ac:dyDescent="0.3">
      <c r="A456" s="3" t="s">
        <v>750</v>
      </c>
      <c r="B456" s="3">
        <v>102</v>
      </c>
      <c r="C456" s="3" t="s">
        <v>751</v>
      </c>
      <c r="D456" s="3">
        <v>1.5</v>
      </c>
      <c r="E456" s="3" t="s">
        <v>19</v>
      </c>
      <c r="F456" s="3" t="s">
        <v>752</v>
      </c>
      <c r="G456" s="3" t="s">
        <v>19</v>
      </c>
      <c r="H456" s="3" t="s">
        <v>753</v>
      </c>
      <c r="I456" s="3">
        <v>5.08</v>
      </c>
      <c r="J456" s="3" t="s">
        <v>22</v>
      </c>
      <c r="K456" s="3" t="s">
        <v>754</v>
      </c>
      <c r="L456" s="3" t="s">
        <v>24</v>
      </c>
      <c r="M456" s="3">
        <v>96</v>
      </c>
      <c r="N456" s="6"/>
      <c r="O456" s="3">
        <v>31.5</v>
      </c>
      <c r="P456" s="3">
        <v>31.5</v>
      </c>
      <c r="Q456" s="3">
        <v>31.5</v>
      </c>
      <c r="R456" s="3">
        <v>0</v>
      </c>
      <c r="S456" s="3">
        <v>0</v>
      </c>
      <c r="T456" s="3">
        <v>0</v>
      </c>
      <c r="U456" s="3">
        <v>0</v>
      </c>
      <c r="V456" s="3">
        <f t="shared" ref="V456:V519" si="107">SUM(Q456:U456)</f>
        <v>31.5</v>
      </c>
      <c r="W456" s="3">
        <v>36</v>
      </c>
      <c r="X456" s="3">
        <v>0</v>
      </c>
      <c r="Y456" s="3">
        <v>0</v>
      </c>
      <c r="Z456" s="3">
        <v>0</v>
      </c>
      <c r="AA456" s="3">
        <v>0</v>
      </c>
      <c r="AB456" s="3">
        <f t="shared" ref="AB456:AB519" si="108">SUM(W456:AA456)</f>
        <v>36</v>
      </c>
      <c r="AC456" s="6">
        <f t="shared" si="101"/>
        <v>-18</v>
      </c>
      <c r="AD456" s="6">
        <f t="shared" si="102"/>
        <v>0</v>
      </c>
      <c r="AE456" s="6">
        <f t="shared" si="103"/>
        <v>0</v>
      </c>
      <c r="AF456" s="6">
        <f t="shared" si="104"/>
        <v>0</v>
      </c>
      <c r="AG456" s="6">
        <f t="shared" si="105"/>
        <v>0</v>
      </c>
      <c r="AH456" s="6">
        <f t="shared" ref="AH456:AH519" si="109">AQ456-AB456</f>
        <v>-18</v>
      </c>
      <c r="AI456" s="3"/>
      <c r="AJ456" s="3" t="e">
        <f>_xlfn.XLOOKUP(K456,工作表1!A:A,工作表1!C:C)</f>
        <v>#N/A</v>
      </c>
      <c r="AK456" s="3"/>
      <c r="AL456" s="6">
        <f t="shared" ref="AL456:AL519" si="110">SUM(AR456:AV456)</f>
        <v>18</v>
      </c>
      <c r="AM456" s="6">
        <f t="shared" ref="AM456:AM519" si="111">SUM(AW456:AZ456)</f>
        <v>0</v>
      </c>
      <c r="AN456" s="6">
        <f t="shared" ref="AN456:AN519" si="112">SUM(BA456:BE456)</f>
        <v>0</v>
      </c>
      <c r="AO456" s="6">
        <f t="shared" ref="AO456:AO519" si="113">SUM(BF456:BI456)</f>
        <v>0</v>
      </c>
      <c r="AP456" s="6">
        <f t="shared" ref="AP456:AP519" si="114">SUM(BJ456:BN456)</f>
        <v>0</v>
      </c>
      <c r="AQ456" s="6">
        <f t="shared" ref="AQ456:AQ519" si="115">SUM(AL456:AP456)</f>
        <v>18</v>
      </c>
      <c r="AR456" s="6"/>
      <c r="AS456" s="6">
        <v>18</v>
      </c>
      <c r="AT456" s="6"/>
      <c r="AU456" s="6"/>
      <c r="AV456" s="6"/>
      <c r="AW456" s="6"/>
      <c r="AX456" s="6"/>
      <c r="AY456" s="6"/>
      <c r="AZ456" s="6"/>
      <c r="BA456" s="6"/>
      <c r="BB456" s="6"/>
      <c r="BC456" s="6"/>
      <c r="BD456" s="6"/>
      <c r="BE456" s="6"/>
      <c r="BF456" s="6"/>
      <c r="BG456" s="6"/>
      <c r="BH456" s="6"/>
      <c r="BI456" s="6"/>
      <c r="BJ456" s="6"/>
      <c r="BK456" s="6"/>
      <c r="BL456" s="6"/>
      <c r="BM456" s="6"/>
      <c r="BN456" s="6"/>
      <c r="BO456" s="6"/>
      <c r="BP456" s="3">
        <v>36</v>
      </c>
      <c r="BQ456" s="6">
        <f t="shared" si="106"/>
        <v>18</v>
      </c>
      <c r="BS456">
        <v>18</v>
      </c>
    </row>
    <row r="457" spans="1:73" x14ac:dyDescent="0.3">
      <c r="A457" s="3" t="s">
        <v>750</v>
      </c>
      <c r="B457" s="3">
        <v>301</v>
      </c>
      <c r="C457" s="3" t="s">
        <v>755</v>
      </c>
      <c r="D457" s="3">
        <v>1.5</v>
      </c>
      <c r="E457" s="3" t="s">
        <v>19</v>
      </c>
      <c r="F457" s="3" t="s">
        <v>19</v>
      </c>
      <c r="G457" s="3" t="s">
        <v>19</v>
      </c>
      <c r="H457" s="3" t="s">
        <v>99</v>
      </c>
      <c r="I457" s="3"/>
      <c r="J457" s="3" t="s">
        <v>91</v>
      </c>
      <c r="K457" s="3" t="s">
        <v>756</v>
      </c>
      <c r="L457" s="3" t="s">
        <v>24</v>
      </c>
      <c r="M457" s="3">
        <v>2</v>
      </c>
      <c r="N457" s="6"/>
      <c r="O457" s="3">
        <v>2</v>
      </c>
      <c r="P457" s="3">
        <v>2</v>
      </c>
      <c r="Q457" s="3">
        <v>2</v>
      </c>
      <c r="R457" s="3">
        <v>0</v>
      </c>
      <c r="S457" s="3">
        <v>0</v>
      </c>
      <c r="T457" s="3">
        <v>0</v>
      </c>
      <c r="U457" s="3">
        <v>0</v>
      </c>
      <c r="V457" s="3">
        <f t="shared" si="107"/>
        <v>2</v>
      </c>
      <c r="W457" s="3">
        <v>2</v>
      </c>
      <c r="X457" s="3">
        <v>0</v>
      </c>
      <c r="Y457" s="3">
        <v>0</v>
      </c>
      <c r="Z457" s="3">
        <v>0</v>
      </c>
      <c r="AA457" s="3">
        <v>0</v>
      </c>
      <c r="AB457" s="3">
        <f t="shared" si="108"/>
        <v>2</v>
      </c>
      <c r="AC457" s="6">
        <f t="shared" si="101"/>
        <v>-2</v>
      </c>
      <c r="AD457" s="6">
        <f t="shared" si="102"/>
        <v>0</v>
      </c>
      <c r="AE457" s="6">
        <f t="shared" si="103"/>
        <v>0</v>
      </c>
      <c r="AF457" s="6">
        <f t="shared" si="104"/>
        <v>0</v>
      </c>
      <c r="AG457" s="6">
        <f t="shared" si="105"/>
        <v>0</v>
      </c>
      <c r="AH457" s="6">
        <f t="shared" si="109"/>
        <v>-2</v>
      </c>
      <c r="AI457" s="3"/>
      <c r="AJ457" s="3" t="e">
        <f>_xlfn.XLOOKUP(K457,工作表1!A:A,工作表1!C:C)</f>
        <v>#N/A</v>
      </c>
      <c r="AK457" s="3"/>
      <c r="AL457" s="6">
        <f t="shared" si="110"/>
        <v>0</v>
      </c>
      <c r="AM457" s="6">
        <f t="shared" si="111"/>
        <v>0</v>
      </c>
      <c r="AN457" s="6">
        <f t="shared" si="112"/>
        <v>0</v>
      </c>
      <c r="AO457" s="6">
        <f t="shared" si="113"/>
        <v>0</v>
      </c>
      <c r="AP457" s="6">
        <f t="shared" si="114"/>
        <v>0</v>
      </c>
      <c r="AQ457" s="6">
        <f t="shared" si="115"/>
        <v>0</v>
      </c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  <c r="BC457" s="6"/>
      <c r="BD457" s="6"/>
      <c r="BE457" s="6"/>
      <c r="BF457" s="6"/>
      <c r="BG457" s="6"/>
      <c r="BH457" s="6"/>
      <c r="BI457" s="6"/>
      <c r="BJ457" s="6"/>
      <c r="BK457" s="6"/>
      <c r="BL457" s="6"/>
      <c r="BM457" s="6"/>
      <c r="BN457" s="6"/>
      <c r="BO457" s="6"/>
      <c r="BP457" s="3">
        <v>2</v>
      </c>
      <c r="BQ457" s="6">
        <f t="shared" si="106"/>
        <v>0</v>
      </c>
    </row>
    <row r="458" spans="1:73" x14ac:dyDescent="0.3">
      <c r="A458" s="3" t="s">
        <v>750</v>
      </c>
      <c r="B458" s="3">
        <v>303</v>
      </c>
      <c r="C458" s="3" t="s">
        <v>757</v>
      </c>
      <c r="D458" s="3">
        <v>1.5</v>
      </c>
      <c r="E458" s="3" t="s">
        <v>19</v>
      </c>
      <c r="F458" s="3" t="s">
        <v>19</v>
      </c>
      <c r="G458" s="3" t="s">
        <v>19</v>
      </c>
      <c r="H458" s="3" t="s">
        <v>99</v>
      </c>
      <c r="I458" s="3"/>
      <c r="J458" s="3" t="s">
        <v>91</v>
      </c>
      <c r="K458" s="3" t="s">
        <v>758</v>
      </c>
      <c r="L458" s="3" t="s">
        <v>24</v>
      </c>
      <c r="M458" s="3">
        <v>35</v>
      </c>
      <c r="N458" s="6"/>
      <c r="O458" s="3">
        <v>9</v>
      </c>
      <c r="P458" s="3">
        <v>9</v>
      </c>
      <c r="Q458" s="3">
        <v>9</v>
      </c>
      <c r="R458" s="3">
        <v>0</v>
      </c>
      <c r="S458" s="3">
        <v>0</v>
      </c>
      <c r="T458" s="3">
        <v>0</v>
      </c>
      <c r="U458" s="3">
        <v>0</v>
      </c>
      <c r="V458" s="3">
        <f t="shared" si="107"/>
        <v>9</v>
      </c>
      <c r="W458" s="3">
        <v>9</v>
      </c>
      <c r="X458" s="3">
        <v>0</v>
      </c>
      <c r="Y458" s="3">
        <v>0</v>
      </c>
      <c r="Z458" s="3">
        <v>0</v>
      </c>
      <c r="AA458" s="3">
        <v>0</v>
      </c>
      <c r="AB458" s="3">
        <f t="shared" si="108"/>
        <v>9</v>
      </c>
      <c r="AC458" s="6">
        <f t="shared" si="101"/>
        <v>-9</v>
      </c>
      <c r="AD458" s="6">
        <f t="shared" si="102"/>
        <v>0</v>
      </c>
      <c r="AE458" s="6">
        <f t="shared" si="103"/>
        <v>0</v>
      </c>
      <c r="AF458" s="6">
        <f t="shared" si="104"/>
        <v>0</v>
      </c>
      <c r="AG458" s="6">
        <f t="shared" si="105"/>
        <v>0</v>
      </c>
      <c r="AH458" s="6">
        <f t="shared" si="109"/>
        <v>-9</v>
      </c>
      <c r="AI458" s="3"/>
      <c r="AJ458" s="3" t="e">
        <f>_xlfn.XLOOKUP(K458,工作表1!A:A,工作表1!C:C)</f>
        <v>#N/A</v>
      </c>
      <c r="AK458" s="3"/>
      <c r="AL458" s="6">
        <f t="shared" si="110"/>
        <v>0</v>
      </c>
      <c r="AM458" s="6">
        <f t="shared" si="111"/>
        <v>0</v>
      </c>
      <c r="AN458" s="6">
        <f t="shared" si="112"/>
        <v>0</v>
      </c>
      <c r="AO458" s="6">
        <f t="shared" si="113"/>
        <v>0</v>
      </c>
      <c r="AP458" s="6">
        <f t="shared" si="114"/>
        <v>0</v>
      </c>
      <c r="AQ458" s="6">
        <f t="shared" si="115"/>
        <v>0</v>
      </c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  <c r="BC458" s="6"/>
      <c r="BD458" s="6"/>
      <c r="BE458" s="6"/>
      <c r="BF458" s="6"/>
      <c r="BG458" s="6"/>
      <c r="BH458" s="6"/>
      <c r="BI458" s="6"/>
      <c r="BJ458" s="6"/>
      <c r="BK458" s="6"/>
      <c r="BL458" s="6"/>
      <c r="BM458" s="6"/>
      <c r="BN458" s="6"/>
      <c r="BO458" s="6"/>
      <c r="BP458" s="3">
        <v>9</v>
      </c>
      <c r="BQ458" s="6">
        <f t="shared" si="106"/>
        <v>0</v>
      </c>
    </row>
    <row r="459" spans="1:73" x14ac:dyDescent="0.3">
      <c r="A459" s="3" t="s">
        <v>750</v>
      </c>
      <c r="B459" s="3">
        <v>311</v>
      </c>
      <c r="C459" s="3" t="s">
        <v>759</v>
      </c>
      <c r="D459" s="3">
        <v>1.5</v>
      </c>
      <c r="E459" s="3" t="s">
        <v>19</v>
      </c>
      <c r="F459" s="3" t="s">
        <v>19</v>
      </c>
      <c r="G459" s="3" t="s">
        <v>19</v>
      </c>
      <c r="H459" s="3" t="s">
        <v>99</v>
      </c>
      <c r="I459" s="3"/>
      <c r="J459" s="3" t="s">
        <v>91</v>
      </c>
      <c r="K459" s="3" t="s">
        <v>760</v>
      </c>
      <c r="L459" s="3" t="s">
        <v>24</v>
      </c>
      <c r="M459" s="3">
        <v>6</v>
      </c>
      <c r="N459" s="6"/>
      <c r="O459" s="3">
        <v>2</v>
      </c>
      <c r="P459" s="3">
        <v>2</v>
      </c>
      <c r="Q459" s="3">
        <v>2</v>
      </c>
      <c r="R459" s="3">
        <v>0</v>
      </c>
      <c r="S459" s="3">
        <v>0</v>
      </c>
      <c r="T459" s="3">
        <v>0</v>
      </c>
      <c r="U459" s="3">
        <v>0</v>
      </c>
      <c r="V459" s="3">
        <f t="shared" si="107"/>
        <v>2</v>
      </c>
      <c r="W459" s="3">
        <v>2</v>
      </c>
      <c r="X459" s="3">
        <v>0</v>
      </c>
      <c r="Y459" s="3">
        <v>0</v>
      </c>
      <c r="Z459" s="3">
        <v>0</v>
      </c>
      <c r="AA459" s="3">
        <v>0</v>
      </c>
      <c r="AB459" s="3">
        <f t="shared" si="108"/>
        <v>2</v>
      </c>
      <c r="AC459" s="6">
        <f t="shared" si="101"/>
        <v>-2</v>
      </c>
      <c r="AD459" s="6">
        <f t="shared" si="102"/>
        <v>0</v>
      </c>
      <c r="AE459" s="6">
        <f t="shared" si="103"/>
        <v>0</v>
      </c>
      <c r="AF459" s="6">
        <f t="shared" si="104"/>
        <v>0</v>
      </c>
      <c r="AG459" s="6">
        <f t="shared" si="105"/>
        <v>0</v>
      </c>
      <c r="AH459" s="6">
        <f t="shared" si="109"/>
        <v>-2</v>
      </c>
      <c r="AI459" s="3"/>
      <c r="AJ459" s="3" t="e">
        <f>_xlfn.XLOOKUP(K459,工作表1!A:A,工作表1!C:C)</f>
        <v>#N/A</v>
      </c>
      <c r="AK459" s="3"/>
      <c r="AL459" s="6">
        <f t="shared" si="110"/>
        <v>0</v>
      </c>
      <c r="AM459" s="6">
        <f t="shared" si="111"/>
        <v>0</v>
      </c>
      <c r="AN459" s="6">
        <f t="shared" si="112"/>
        <v>0</v>
      </c>
      <c r="AO459" s="6">
        <f t="shared" si="113"/>
        <v>0</v>
      </c>
      <c r="AP459" s="6">
        <f t="shared" si="114"/>
        <v>0</v>
      </c>
      <c r="AQ459" s="6">
        <f t="shared" si="115"/>
        <v>0</v>
      </c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  <c r="BC459" s="6"/>
      <c r="BD459" s="6"/>
      <c r="BE459" s="6"/>
      <c r="BF459" s="6"/>
      <c r="BG459" s="6"/>
      <c r="BH459" s="6"/>
      <c r="BI459" s="6"/>
      <c r="BJ459" s="6"/>
      <c r="BK459" s="6"/>
      <c r="BL459" s="6"/>
      <c r="BM459" s="6"/>
      <c r="BN459" s="6"/>
      <c r="BO459" s="6"/>
      <c r="BP459" s="3">
        <v>2</v>
      </c>
      <c r="BQ459" s="6">
        <f t="shared" si="106"/>
        <v>0</v>
      </c>
    </row>
    <row r="460" spans="1:73" x14ac:dyDescent="0.3">
      <c r="A460" s="3" t="s">
        <v>750</v>
      </c>
      <c r="B460" s="3">
        <v>351</v>
      </c>
      <c r="C460" s="3" t="s">
        <v>761</v>
      </c>
      <c r="D460" s="3">
        <v>1.5</v>
      </c>
      <c r="E460" s="3" t="s">
        <v>19</v>
      </c>
      <c r="F460" s="3" t="s">
        <v>19</v>
      </c>
      <c r="G460" s="3" t="s">
        <v>19</v>
      </c>
      <c r="H460" s="3" t="s">
        <v>99</v>
      </c>
      <c r="I460" s="3"/>
      <c r="J460" s="3" t="s">
        <v>91</v>
      </c>
      <c r="K460" s="3" t="s">
        <v>762</v>
      </c>
      <c r="L460" s="3" t="s">
        <v>24</v>
      </c>
      <c r="M460" s="3">
        <v>8</v>
      </c>
      <c r="N460" s="6"/>
      <c r="O460" s="3">
        <v>2</v>
      </c>
      <c r="P460" s="3">
        <v>2</v>
      </c>
      <c r="Q460" s="3">
        <v>2</v>
      </c>
      <c r="R460" s="3">
        <v>0</v>
      </c>
      <c r="S460" s="3">
        <v>0</v>
      </c>
      <c r="T460" s="3">
        <v>0</v>
      </c>
      <c r="U460" s="3">
        <v>0</v>
      </c>
      <c r="V460" s="3">
        <f t="shared" si="107"/>
        <v>2</v>
      </c>
      <c r="W460" s="3">
        <v>2</v>
      </c>
      <c r="X460" s="3">
        <v>0</v>
      </c>
      <c r="Y460" s="3">
        <v>0</v>
      </c>
      <c r="Z460" s="3">
        <v>0</v>
      </c>
      <c r="AA460" s="3">
        <v>0</v>
      </c>
      <c r="AB460" s="3">
        <f t="shared" si="108"/>
        <v>2</v>
      </c>
      <c r="AC460" s="6">
        <f t="shared" si="101"/>
        <v>-2</v>
      </c>
      <c r="AD460" s="6">
        <f t="shared" si="102"/>
        <v>0</v>
      </c>
      <c r="AE460" s="6">
        <f t="shared" si="103"/>
        <v>0</v>
      </c>
      <c r="AF460" s="6">
        <f t="shared" si="104"/>
        <v>0</v>
      </c>
      <c r="AG460" s="6">
        <f t="shared" si="105"/>
        <v>0</v>
      </c>
      <c r="AH460" s="6">
        <f t="shared" si="109"/>
        <v>-2</v>
      </c>
      <c r="AI460" s="3"/>
      <c r="AJ460" s="3" t="e">
        <f>_xlfn.XLOOKUP(K460,工作表1!A:A,工作表1!C:C)</f>
        <v>#N/A</v>
      </c>
      <c r="AK460" s="3"/>
      <c r="AL460" s="6">
        <f t="shared" si="110"/>
        <v>0</v>
      </c>
      <c r="AM460" s="6">
        <f t="shared" si="111"/>
        <v>0</v>
      </c>
      <c r="AN460" s="6">
        <f t="shared" si="112"/>
        <v>0</v>
      </c>
      <c r="AO460" s="6">
        <f t="shared" si="113"/>
        <v>0</v>
      </c>
      <c r="AP460" s="6">
        <f t="shared" si="114"/>
        <v>0</v>
      </c>
      <c r="AQ460" s="6">
        <f t="shared" si="115"/>
        <v>0</v>
      </c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  <c r="BC460" s="6"/>
      <c r="BD460" s="6"/>
      <c r="BE460" s="6"/>
      <c r="BF460" s="6"/>
      <c r="BG460" s="6"/>
      <c r="BH460" s="6"/>
      <c r="BI460" s="6"/>
      <c r="BJ460" s="6"/>
      <c r="BK460" s="6"/>
      <c r="BL460" s="6"/>
      <c r="BM460" s="6"/>
      <c r="BN460" s="6"/>
      <c r="BO460" s="6"/>
      <c r="BP460" s="3">
        <v>2</v>
      </c>
      <c r="BQ460" s="6">
        <f t="shared" si="106"/>
        <v>0</v>
      </c>
    </row>
    <row r="461" spans="1:73" x14ac:dyDescent="0.3">
      <c r="A461" s="3" t="s">
        <v>750</v>
      </c>
      <c r="B461" s="3">
        <v>362</v>
      </c>
      <c r="C461" s="3" t="s">
        <v>763</v>
      </c>
      <c r="D461" s="3">
        <v>1</v>
      </c>
      <c r="E461" s="3">
        <v>0.75</v>
      </c>
      <c r="F461" s="3" t="s">
        <v>752</v>
      </c>
      <c r="G461" s="3" t="s">
        <v>752</v>
      </c>
      <c r="H461" s="3" t="s">
        <v>764</v>
      </c>
      <c r="I461" s="3"/>
      <c r="J461" s="3" t="s">
        <v>91</v>
      </c>
      <c r="K461" s="3" t="s">
        <v>765</v>
      </c>
      <c r="L461" s="3" t="s">
        <v>24</v>
      </c>
      <c r="M461" s="3">
        <v>34</v>
      </c>
      <c r="N461" s="6"/>
      <c r="O461" s="3">
        <v>19</v>
      </c>
      <c r="P461" s="3">
        <v>19</v>
      </c>
      <c r="Q461" s="3">
        <v>19</v>
      </c>
      <c r="R461" s="3">
        <v>0</v>
      </c>
      <c r="S461" s="3">
        <v>0</v>
      </c>
      <c r="T461" s="3">
        <v>0</v>
      </c>
      <c r="U461" s="3">
        <v>0</v>
      </c>
      <c r="V461" s="3">
        <f t="shared" si="107"/>
        <v>19</v>
      </c>
      <c r="W461" s="3">
        <v>19</v>
      </c>
      <c r="X461" s="3">
        <v>0</v>
      </c>
      <c r="Y461" s="3">
        <v>0</v>
      </c>
      <c r="Z461" s="3">
        <v>0</v>
      </c>
      <c r="AA461" s="3">
        <v>0</v>
      </c>
      <c r="AB461" s="3">
        <f t="shared" si="108"/>
        <v>19</v>
      </c>
      <c r="AC461" s="6">
        <f t="shared" si="101"/>
        <v>0</v>
      </c>
      <c r="AD461" s="6">
        <f t="shared" si="102"/>
        <v>0</v>
      </c>
      <c r="AE461" s="6">
        <f t="shared" si="103"/>
        <v>0</v>
      </c>
      <c r="AF461" s="6">
        <f t="shared" si="104"/>
        <v>0</v>
      </c>
      <c r="AG461" s="6">
        <f t="shared" si="105"/>
        <v>0</v>
      </c>
      <c r="AH461" s="6">
        <f t="shared" si="109"/>
        <v>0</v>
      </c>
      <c r="AI461" s="3"/>
      <c r="AJ461" s="3" t="e">
        <f>_xlfn.XLOOKUP(K461,工作表1!A:A,工作表1!C:C)</f>
        <v>#N/A</v>
      </c>
      <c r="AK461" s="3"/>
      <c r="AL461" s="6">
        <f t="shared" si="110"/>
        <v>19</v>
      </c>
      <c r="AM461" s="6">
        <f t="shared" si="111"/>
        <v>0</v>
      </c>
      <c r="AN461" s="6">
        <f t="shared" si="112"/>
        <v>0</v>
      </c>
      <c r="AO461" s="6">
        <f t="shared" si="113"/>
        <v>0</v>
      </c>
      <c r="AP461" s="6">
        <f t="shared" si="114"/>
        <v>0</v>
      </c>
      <c r="AQ461" s="6">
        <f t="shared" si="115"/>
        <v>19</v>
      </c>
      <c r="AR461" s="6"/>
      <c r="AS461" s="6"/>
      <c r="AT461" s="6">
        <v>19</v>
      </c>
      <c r="AU461" s="6"/>
      <c r="AV461" s="6"/>
      <c r="AW461" s="6"/>
      <c r="AX461" s="6"/>
      <c r="AY461" s="6"/>
      <c r="AZ461" s="6"/>
      <c r="BA461" s="6"/>
      <c r="BB461" s="6"/>
      <c r="BC461" s="6"/>
      <c r="BD461" s="6"/>
      <c r="BE461" s="6"/>
      <c r="BF461" s="6"/>
      <c r="BG461" s="6"/>
      <c r="BH461" s="6"/>
      <c r="BI461" s="6"/>
      <c r="BJ461" s="6"/>
      <c r="BK461" s="6"/>
      <c r="BL461" s="6"/>
      <c r="BM461" s="6"/>
      <c r="BN461" s="6"/>
      <c r="BO461" s="6"/>
      <c r="BP461" s="3">
        <v>19</v>
      </c>
      <c r="BQ461" s="6">
        <f t="shared" si="106"/>
        <v>19</v>
      </c>
      <c r="BU461">
        <v>19</v>
      </c>
    </row>
    <row r="462" spans="1:73" x14ac:dyDescent="0.3">
      <c r="A462" s="3" t="s">
        <v>750</v>
      </c>
      <c r="B462" s="3">
        <v>362</v>
      </c>
      <c r="C462" s="3" t="s">
        <v>766</v>
      </c>
      <c r="D462" s="3">
        <v>1.5</v>
      </c>
      <c r="E462" s="3">
        <v>1.25</v>
      </c>
      <c r="F462" s="3" t="s">
        <v>767</v>
      </c>
      <c r="G462" s="3" t="s">
        <v>752</v>
      </c>
      <c r="H462" s="3" t="s">
        <v>768</v>
      </c>
      <c r="I462" s="3"/>
      <c r="J462" s="3" t="s">
        <v>91</v>
      </c>
      <c r="K462" s="3" t="s">
        <v>769</v>
      </c>
      <c r="L462" s="3" t="s">
        <v>24</v>
      </c>
      <c r="M462" s="3">
        <v>0</v>
      </c>
      <c r="N462" s="6"/>
      <c r="O462" s="3">
        <v>1</v>
      </c>
      <c r="P462" s="3">
        <v>1</v>
      </c>
      <c r="Q462" s="3">
        <v>1</v>
      </c>
      <c r="R462" s="3">
        <v>0</v>
      </c>
      <c r="S462" s="3">
        <v>0</v>
      </c>
      <c r="T462" s="3">
        <v>0</v>
      </c>
      <c r="U462" s="3">
        <v>0</v>
      </c>
      <c r="V462" s="3">
        <f t="shared" si="107"/>
        <v>1</v>
      </c>
      <c r="W462" s="3">
        <v>1</v>
      </c>
      <c r="X462" s="3">
        <v>0</v>
      </c>
      <c r="Y462" s="3">
        <v>0</v>
      </c>
      <c r="Z462" s="3">
        <v>0</v>
      </c>
      <c r="AA462" s="3">
        <v>0</v>
      </c>
      <c r="AB462" s="3">
        <f t="shared" si="108"/>
        <v>1</v>
      </c>
      <c r="AC462" s="6">
        <f t="shared" si="101"/>
        <v>-1</v>
      </c>
      <c r="AD462" s="6">
        <f t="shared" si="102"/>
        <v>0</v>
      </c>
      <c r="AE462" s="6">
        <f t="shared" si="103"/>
        <v>0</v>
      </c>
      <c r="AF462" s="6">
        <f t="shared" si="104"/>
        <v>0</v>
      </c>
      <c r="AG462" s="6">
        <f t="shared" si="105"/>
        <v>0</v>
      </c>
      <c r="AH462" s="6">
        <f t="shared" si="109"/>
        <v>-1</v>
      </c>
      <c r="AI462" s="3"/>
      <c r="AJ462" s="3" t="e">
        <f>_xlfn.XLOOKUP(K462,工作表1!A:A,工作表1!C:C)</f>
        <v>#N/A</v>
      </c>
      <c r="AK462" s="3"/>
      <c r="AL462" s="6">
        <f t="shared" si="110"/>
        <v>0</v>
      </c>
      <c r="AM462" s="6">
        <f t="shared" si="111"/>
        <v>0</v>
      </c>
      <c r="AN462" s="6">
        <f t="shared" si="112"/>
        <v>0</v>
      </c>
      <c r="AO462" s="6">
        <f t="shared" si="113"/>
        <v>0</v>
      </c>
      <c r="AP462" s="6">
        <f t="shared" si="114"/>
        <v>0</v>
      </c>
      <c r="AQ462" s="6">
        <f t="shared" si="115"/>
        <v>0</v>
      </c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  <c r="BC462" s="6"/>
      <c r="BD462" s="6"/>
      <c r="BE462" s="6"/>
      <c r="BF462" s="6"/>
      <c r="BG462" s="6"/>
      <c r="BH462" s="6"/>
      <c r="BI462" s="6"/>
      <c r="BJ462" s="6"/>
      <c r="BK462" s="6"/>
      <c r="BL462" s="6"/>
      <c r="BM462" s="6"/>
      <c r="BN462" s="6"/>
      <c r="BO462" s="6"/>
      <c r="BP462" s="3">
        <v>1</v>
      </c>
      <c r="BQ462" s="6">
        <f t="shared" si="106"/>
        <v>0</v>
      </c>
    </row>
    <row r="463" spans="1:73" x14ac:dyDescent="0.3">
      <c r="A463" s="3" t="s">
        <v>750</v>
      </c>
      <c r="B463" s="3">
        <v>412</v>
      </c>
      <c r="C463" s="3" t="s">
        <v>770</v>
      </c>
      <c r="D463" s="3">
        <v>1.5</v>
      </c>
      <c r="E463" s="3" t="s">
        <v>19</v>
      </c>
      <c r="F463" s="3" t="s">
        <v>752</v>
      </c>
      <c r="G463" s="3" t="s">
        <v>19</v>
      </c>
      <c r="H463" s="3" t="s">
        <v>753</v>
      </c>
      <c r="I463" s="3">
        <v>5.08</v>
      </c>
      <c r="J463" s="3" t="s">
        <v>91</v>
      </c>
      <c r="K463" s="3" t="s">
        <v>771</v>
      </c>
      <c r="L463" s="3" t="s">
        <v>24</v>
      </c>
      <c r="M463" s="3">
        <v>7</v>
      </c>
      <c r="N463" s="6"/>
      <c r="O463" s="3">
        <v>3</v>
      </c>
      <c r="P463" s="3">
        <v>3</v>
      </c>
      <c r="Q463" s="3">
        <v>3</v>
      </c>
      <c r="R463" s="3">
        <v>0</v>
      </c>
      <c r="S463" s="3">
        <v>0</v>
      </c>
      <c r="T463" s="3">
        <v>0</v>
      </c>
      <c r="U463" s="3">
        <v>0</v>
      </c>
      <c r="V463" s="3">
        <f t="shared" si="107"/>
        <v>3</v>
      </c>
      <c r="W463" s="3">
        <v>3</v>
      </c>
      <c r="X463" s="3">
        <v>0</v>
      </c>
      <c r="Y463" s="3">
        <v>0</v>
      </c>
      <c r="Z463" s="3">
        <v>0</v>
      </c>
      <c r="AA463" s="3">
        <v>0</v>
      </c>
      <c r="AB463" s="3">
        <f t="shared" si="108"/>
        <v>3</v>
      </c>
      <c r="AC463" s="6">
        <f t="shared" si="101"/>
        <v>-3</v>
      </c>
      <c r="AD463" s="6">
        <f t="shared" si="102"/>
        <v>0</v>
      </c>
      <c r="AE463" s="6">
        <f t="shared" si="103"/>
        <v>0</v>
      </c>
      <c r="AF463" s="6">
        <f t="shared" si="104"/>
        <v>0</v>
      </c>
      <c r="AG463" s="6">
        <f t="shared" si="105"/>
        <v>0</v>
      </c>
      <c r="AH463" s="6">
        <f t="shared" si="109"/>
        <v>-3</v>
      </c>
      <c r="AI463" s="3"/>
      <c r="AJ463" s="3" t="e">
        <f>_xlfn.XLOOKUP(K463,工作表1!A:A,工作表1!C:C)</f>
        <v>#N/A</v>
      </c>
      <c r="AK463" s="3"/>
      <c r="AL463" s="6">
        <f t="shared" si="110"/>
        <v>0</v>
      </c>
      <c r="AM463" s="6">
        <f t="shared" si="111"/>
        <v>0</v>
      </c>
      <c r="AN463" s="6">
        <f t="shared" si="112"/>
        <v>0</v>
      </c>
      <c r="AO463" s="6">
        <f t="shared" si="113"/>
        <v>0</v>
      </c>
      <c r="AP463" s="6">
        <f t="shared" si="114"/>
        <v>0</v>
      </c>
      <c r="AQ463" s="6">
        <f t="shared" si="115"/>
        <v>0</v>
      </c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  <c r="BC463" s="6"/>
      <c r="BD463" s="6"/>
      <c r="BE463" s="6"/>
      <c r="BF463" s="6"/>
      <c r="BG463" s="6"/>
      <c r="BH463" s="6"/>
      <c r="BI463" s="6"/>
      <c r="BJ463" s="6"/>
      <c r="BK463" s="6"/>
      <c r="BL463" s="6"/>
      <c r="BM463" s="6"/>
      <c r="BN463" s="6"/>
      <c r="BO463" s="6"/>
      <c r="BP463" s="3">
        <v>3</v>
      </c>
      <c r="BQ463" s="6">
        <f t="shared" si="106"/>
        <v>0</v>
      </c>
    </row>
    <row r="464" spans="1:73" x14ac:dyDescent="0.3">
      <c r="A464" s="3" t="s">
        <v>750</v>
      </c>
      <c r="B464" s="3">
        <v>471</v>
      </c>
      <c r="C464" s="3" t="s">
        <v>440</v>
      </c>
      <c r="D464" s="3">
        <v>1.5</v>
      </c>
      <c r="E464" s="3" t="s">
        <v>19</v>
      </c>
      <c r="F464" s="3" t="s">
        <v>19</v>
      </c>
      <c r="G464" s="3" t="s">
        <v>19</v>
      </c>
      <c r="H464" s="3" t="s">
        <v>99</v>
      </c>
      <c r="I464" s="3"/>
      <c r="J464" s="3" t="s">
        <v>91</v>
      </c>
      <c r="K464" s="3" t="s">
        <v>448</v>
      </c>
      <c r="L464" s="3" t="s">
        <v>335</v>
      </c>
      <c r="M464" s="3">
        <v>60</v>
      </c>
      <c r="N464" s="6"/>
      <c r="O464" s="3">
        <v>19</v>
      </c>
      <c r="P464" s="3">
        <v>19</v>
      </c>
      <c r="Q464" s="3">
        <v>3</v>
      </c>
      <c r="R464" s="3">
        <v>13</v>
      </c>
      <c r="S464" s="3">
        <v>1</v>
      </c>
      <c r="T464" s="3">
        <v>1</v>
      </c>
      <c r="U464" s="3">
        <v>1</v>
      </c>
      <c r="V464" s="3">
        <f t="shared" si="107"/>
        <v>19</v>
      </c>
      <c r="W464" s="3">
        <v>3</v>
      </c>
      <c r="X464" s="3">
        <v>13</v>
      </c>
      <c r="Y464" s="3">
        <v>1</v>
      </c>
      <c r="Z464" s="3">
        <v>1</v>
      </c>
      <c r="AA464" s="3">
        <v>1</v>
      </c>
      <c r="AB464" s="3">
        <f t="shared" si="108"/>
        <v>19</v>
      </c>
      <c r="AC464" s="6">
        <f t="shared" si="101"/>
        <v>-3</v>
      </c>
      <c r="AD464" s="6">
        <f t="shared" si="102"/>
        <v>-13</v>
      </c>
      <c r="AE464" s="6">
        <f t="shared" si="103"/>
        <v>-1</v>
      </c>
      <c r="AF464" s="6">
        <f t="shared" si="104"/>
        <v>-1</v>
      </c>
      <c r="AG464" s="6">
        <f t="shared" si="105"/>
        <v>-1</v>
      </c>
      <c r="AH464" s="6">
        <f t="shared" si="109"/>
        <v>-19</v>
      </c>
      <c r="AI464" s="3"/>
      <c r="AJ464" s="3" t="e">
        <f>_xlfn.XLOOKUP(K464,工作表1!A:A,工作表1!C:C)</f>
        <v>#N/A</v>
      </c>
      <c r="AK464" s="3"/>
      <c r="AL464" s="6">
        <f t="shared" si="110"/>
        <v>0</v>
      </c>
      <c r="AM464" s="6">
        <f t="shared" si="111"/>
        <v>0</v>
      </c>
      <c r="AN464" s="6">
        <f t="shared" si="112"/>
        <v>0</v>
      </c>
      <c r="AO464" s="6">
        <f t="shared" si="113"/>
        <v>0</v>
      </c>
      <c r="AP464" s="6">
        <f t="shared" si="114"/>
        <v>0</v>
      </c>
      <c r="AQ464" s="6">
        <f t="shared" si="115"/>
        <v>0</v>
      </c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  <c r="BC464" s="6"/>
      <c r="BD464" s="6"/>
      <c r="BE464" s="6"/>
      <c r="BF464" s="6"/>
      <c r="BG464" s="6"/>
      <c r="BH464" s="6"/>
      <c r="BI464" s="6"/>
      <c r="BJ464" s="6"/>
      <c r="BK464" s="6"/>
      <c r="BL464" s="6"/>
      <c r="BM464" s="6"/>
      <c r="BN464" s="6"/>
      <c r="BO464" s="6"/>
      <c r="BP464" s="3">
        <v>19</v>
      </c>
      <c r="BQ464" s="6">
        <f t="shared" si="106"/>
        <v>0</v>
      </c>
    </row>
    <row r="465" spans="1:71" x14ac:dyDescent="0.3">
      <c r="A465" s="3" t="s">
        <v>750</v>
      </c>
      <c r="B465" s="3">
        <v>481</v>
      </c>
      <c r="C465" s="3" t="s">
        <v>772</v>
      </c>
      <c r="D465" s="3">
        <v>0.5</v>
      </c>
      <c r="E465" s="3">
        <v>75</v>
      </c>
      <c r="F465" s="3" t="s">
        <v>19</v>
      </c>
      <c r="G465" s="3" t="s">
        <v>19</v>
      </c>
      <c r="H465" s="3" t="s">
        <v>539</v>
      </c>
      <c r="I465" s="3"/>
      <c r="J465" s="3" t="s">
        <v>486</v>
      </c>
      <c r="K465" s="3" t="s">
        <v>773</v>
      </c>
      <c r="L465" s="3" t="s">
        <v>335</v>
      </c>
      <c r="M465" s="3">
        <v>29</v>
      </c>
      <c r="N465" s="6"/>
      <c r="O465" s="3">
        <v>12</v>
      </c>
      <c r="P465" s="3">
        <v>12</v>
      </c>
      <c r="Q465" s="3">
        <v>12</v>
      </c>
      <c r="R465" s="3">
        <v>0</v>
      </c>
      <c r="S465" s="3">
        <v>0</v>
      </c>
      <c r="T465" s="3">
        <v>0</v>
      </c>
      <c r="U465" s="3">
        <v>0</v>
      </c>
      <c r="V465" s="3">
        <f t="shared" si="107"/>
        <v>12</v>
      </c>
      <c r="W465" s="3">
        <v>12</v>
      </c>
      <c r="X465" s="3">
        <v>0</v>
      </c>
      <c r="Y465" s="3">
        <v>0</v>
      </c>
      <c r="Z465" s="3">
        <v>0</v>
      </c>
      <c r="AA465" s="3">
        <v>0</v>
      </c>
      <c r="AB465" s="3">
        <f t="shared" si="108"/>
        <v>12</v>
      </c>
      <c r="AC465" s="6">
        <f t="shared" si="101"/>
        <v>-12</v>
      </c>
      <c r="AD465" s="6">
        <f t="shared" si="102"/>
        <v>0</v>
      </c>
      <c r="AE465" s="6">
        <f t="shared" si="103"/>
        <v>0</v>
      </c>
      <c r="AF465" s="6">
        <f t="shared" si="104"/>
        <v>0</v>
      </c>
      <c r="AG465" s="6">
        <f t="shared" si="105"/>
        <v>0</v>
      </c>
      <c r="AH465" s="6">
        <f t="shared" si="109"/>
        <v>-12</v>
      </c>
      <c r="AI465" s="3"/>
      <c r="AJ465" s="3" t="e">
        <f>_xlfn.XLOOKUP(K465,工作表1!A:A,工作表1!C:C)</f>
        <v>#N/A</v>
      </c>
      <c r="AK465" s="3"/>
      <c r="AL465" s="6">
        <f t="shared" si="110"/>
        <v>0</v>
      </c>
      <c r="AM465" s="6">
        <f t="shared" si="111"/>
        <v>0</v>
      </c>
      <c r="AN465" s="6">
        <f t="shared" si="112"/>
        <v>0</v>
      </c>
      <c r="AO465" s="6">
        <f t="shared" si="113"/>
        <v>0</v>
      </c>
      <c r="AP465" s="6">
        <f t="shared" si="114"/>
        <v>0</v>
      </c>
      <c r="AQ465" s="6">
        <f t="shared" si="115"/>
        <v>0</v>
      </c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  <c r="BC465" s="6"/>
      <c r="BD465" s="6"/>
      <c r="BE465" s="6"/>
      <c r="BF465" s="6"/>
      <c r="BG465" s="6"/>
      <c r="BH465" s="6"/>
      <c r="BI465" s="6"/>
      <c r="BJ465" s="6"/>
      <c r="BK465" s="6"/>
      <c r="BL465" s="6"/>
      <c r="BM465" s="6"/>
      <c r="BN465" s="6"/>
      <c r="BO465" s="6"/>
      <c r="BP465" s="3">
        <v>12</v>
      </c>
      <c r="BQ465" s="6">
        <f t="shared" si="106"/>
        <v>0</v>
      </c>
    </row>
    <row r="466" spans="1:71" x14ac:dyDescent="0.3">
      <c r="A466" s="3" t="s">
        <v>750</v>
      </c>
      <c r="B466" s="3">
        <v>610</v>
      </c>
      <c r="C466" s="3" t="s">
        <v>774</v>
      </c>
      <c r="D466" s="3">
        <v>1.5</v>
      </c>
      <c r="E466" s="3" t="s">
        <v>19</v>
      </c>
      <c r="F466" s="3" t="s">
        <v>19</v>
      </c>
      <c r="G466" s="3" t="s">
        <v>19</v>
      </c>
      <c r="H466" s="3" t="s">
        <v>99</v>
      </c>
      <c r="I466" s="3"/>
      <c r="J466" s="3" t="s">
        <v>91</v>
      </c>
      <c r="K466" s="3" t="s">
        <v>775</v>
      </c>
      <c r="L466" s="3" t="s">
        <v>1468</v>
      </c>
      <c r="M466" s="3">
        <v>13</v>
      </c>
      <c r="N466" s="6"/>
      <c r="O466" s="3">
        <v>4</v>
      </c>
      <c r="P466" s="3">
        <v>4</v>
      </c>
      <c r="Q466" s="3">
        <v>4</v>
      </c>
      <c r="R466" s="3">
        <v>0</v>
      </c>
      <c r="S466" s="3">
        <v>0</v>
      </c>
      <c r="T466" s="3">
        <v>0</v>
      </c>
      <c r="U466" s="3">
        <v>0</v>
      </c>
      <c r="V466" s="3">
        <f t="shared" si="107"/>
        <v>4</v>
      </c>
      <c r="W466" s="3">
        <v>4</v>
      </c>
      <c r="X466" s="3">
        <v>0</v>
      </c>
      <c r="Y466" s="3">
        <v>0</v>
      </c>
      <c r="Z466" s="3">
        <v>0</v>
      </c>
      <c r="AA466" s="3">
        <v>0</v>
      </c>
      <c r="AB466" s="3">
        <f t="shared" si="108"/>
        <v>4</v>
      </c>
      <c r="AC466" s="6">
        <f t="shared" si="101"/>
        <v>-4</v>
      </c>
      <c r="AD466" s="6">
        <f t="shared" si="102"/>
        <v>0</v>
      </c>
      <c r="AE466" s="6">
        <f t="shared" si="103"/>
        <v>0</v>
      </c>
      <c r="AF466" s="6">
        <f t="shared" si="104"/>
        <v>0</v>
      </c>
      <c r="AG466" s="6">
        <f t="shared" si="105"/>
        <v>0</v>
      </c>
      <c r="AH466" s="6">
        <f t="shared" si="109"/>
        <v>-4</v>
      </c>
      <c r="AI466" s="3"/>
      <c r="AJ466" s="3" t="e">
        <f>_xlfn.XLOOKUP(K466,工作表1!A:A,工作表1!C:C)</f>
        <v>#N/A</v>
      </c>
      <c r="AK466" s="3"/>
      <c r="AL466" s="6">
        <f t="shared" si="110"/>
        <v>0</v>
      </c>
      <c r="AM466" s="6">
        <f t="shared" si="111"/>
        <v>0</v>
      </c>
      <c r="AN466" s="6">
        <f t="shared" si="112"/>
        <v>0</v>
      </c>
      <c r="AO466" s="6">
        <f t="shared" si="113"/>
        <v>0</v>
      </c>
      <c r="AP466" s="6">
        <f t="shared" si="114"/>
        <v>0</v>
      </c>
      <c r="AQ466" s="6">
        <f t="shared" si="115"/>
        <v>0</v>
      </c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  <c r="BC466" s="6"/>
      <c r="BD466" s="6"/>
      <c r="BE466" s="6"/>
      <c r="BF466" s="6"/>
      <c r="BG466" s="6"/>
      <c r="BH466" s="6"/>
      <c r="BI466" s="6"/>
      <c r="BJ466" s="6"/>
      <c r="BK466" s="6"/>
      <c r="BL466" s="6"/>
      <c r="BM466" s="6"/>
      <c r="BN466" s="6"/>
      <c r="BO466" s="6"/>
      <c r="BP466" s="3">
        <v>4</v>
      </c>
      <c r="BQ466" s="6">
        <f t="shared" si="106"/>
        <v>0</v>
      </c>
    </row>
    <row r="467" spans="1:71" x14ac:dyDescent="0.3">
      <c r="A467" s="3" t="s">
        <v>776</v>
      </c>
      <c r="B467" s="3">
        <v>102</v>
      </c>
      <c r="C467" s="3" t="s">
        <v>777</v>
      </c>
      <c r="D467" s="3">
        <v>6</v>
      </c>
      <c r="E467" s="3" t="s">
        <v>19</v>
      </c>
      <c r="F467" s="3" t="s">
        <v>778</v>
      </c>
      <c r="G467" s="3" t="s">
        <v>19</v>
      </c>
      <c r="H467" s="3" t="s">
        <v>779</v>
      </c>
      <c r="I467" s="3">
        <v>3.4</v>
      </c>
      <c r="J467" s="3" t="s">
        <v>22</v>
      </c>
      <c r="K467" s="3" t="s">
        <v>780</v>
      </c>
      <c r="L467" s="3" t="s">
        <v>24</v>
      </c>
      <c r="M467" s="3">
        <v>6</v>
      </c>
      <c r="N467" s="6"/>
      <c r="O467" s="3">
        <v>0.7</v>
      </c>
      <c r="P467" s="3">
        <v>0.7</v>
      </c>
      <c r="Q467" s="3">
        <v>0.7</v>
      </c>
      <c r="R467" s="3">
        <v>0</v>
      </c>
      <c r="S467" s="3">
        <v>0</v>
      </c>
      <c r="T467" s="3">
        <v>0</v>
      </c>
      <c r="U467" s="3">
        <v>0</v>
      </c>
      <c r="V467" s="3">
        <f t="shared" si="107"/>
        <v>0.7</v>
      </c>
      <c r="W467" s="3">
        <v>6</v>
      </c>
      <c r="X467" s="3">
        <v>0</v>
      </c>
      <c r="Y467" s="3">
        <v>0</v>
      </c>
      <c r="Z467" s="3">
        <v>0</v>
      </c>
      <c r="AA467" s="3">
        <v>0</v>
      </c>
      <c r="AB467" s="3">
        <f t="shared" si="108"/>
        <v>6</v>
      </c>
      <c r="AC467" s="6">
        <f t="shared" si="101"/>
        <v>0</v>
      </c>
      <c r="AD467" s="6">
        <f t="shared" si="102"/>
        <v>0</v>
      </c>
      <c r="AE467" s="6">
        <f t="shared" si="103"/>
        <v>0</v>
      </c>
      <c r="AF467" s="6">
        <f t="shared" si="104"/>
        <v>0</v>
      </c>
      <c r="AG467" s="6">
        <f t="shared" si="105"/>
        <v>0</v>
      </c>
      <c r="AH467" s="6">
        <f t="shared" si="109"/>
        <v>0</v>
      </c>
      <c r="AI467" s="3"/>
      <c r="AJ467" s="3" t="e">
        <f>_xlfn.XLOOKUP(K467,工作表1!A:A,工作表1!C:C)</f>
        <v>#N/A</v>
      </c>
      <c r="AK467" s="3"/>
      <c r="AL467" s="6">
        <f t="shared" si="110"/>
        <v>6</v>
      </c>
      <c r="AM467" s="6">
        <f t="shared" si="111"/>
        <v>0</v>
      </c>
      <c r="AN467" s="6">
        <f t="shared" si="112"/>
        <v>0</v>
      </c>
      <c r="AO467" s="6">
        <f t="shared" si="113"/>
        <v>0</v>
      </c>
      <c r="AP467" s="6">
        <f t="shared" si="114"/>
        <v>0</v>
      </c>
      <c r="AQ467" s="6">
        <f t="shared" si="115"/>
        <v>6</v>
      </c>
      <c r="AR467" s="6"/>
      <c r="AS467" s="6">
        <v>6</v>
      </c>
      <c r="AT467" s="6"/>
      <c r="AU467" s="6"/>
      <c r="AV467" s="6"/>
      <c r="AW467" s="6"/>
      <c r="AX467" s="6"/>
      <c r="AY467" s="6"/>
      <c r="AZ467" s="6"/>
      <c r="BA467" s="6"/>
      <c r="BB467" s="6"/>
      <c r="BC467" s="6"/>
      <c r="BD467" s="6"/>
      <c r="BE467" s="6"/>
      <c r="BF467" s="6"/>
      <c r="BG467" s="6"/>
      <c r="BH467" s="6"/>
      <c r="BI467" s="6"/>
      <c r="BJ467" s="6"/>
      <c r="BK467" s="6"/>
      <c r="BL467" s="6"/>
      <c r="BM467" s="6"/>
      <c r="BN467" s="6"/>
      <c r="BO467" s="6"/>
      <c r="BP467" s="3">
        <v>6</v>
      </c>
      <c r="BQ467" s="6">
        <f t="shared" si="106"/>
        <v>6</v>
      </c>
      <c r="BS467">
        <v>6</v>
      </c>
    </row>
    <row r="468" spans="1:71" x14ac:dyDescent="0.3">
      <c r="A468" s="3" t="s">
        <v>776</v>
      </c>
      <c r="B468" s="3">
        <v>102</v>
      </c>
      <c r="C468" s="3" t="s">
        <v>777</v>
      </c>
      <c r="D468" s="3">
        <v>6</v>
      </c>
      <c r="E468" s="3" t="s">
        <v>19</v>
      </c>
      <c r="F468" s="3" t="s">
        <v>41</v>
      </c>
      <c r="G468" s="3" t="s">
        <v>19</v>
      </c>
      <c r="H468" s="3" t="s">
        <v>42</v>
      </c>
      <c r="I468" s="3">
        <v>18.260000000000002</v>
      </c>
      <c r="J468" s="3" t="s">
        <v>22</v>
      </c>
      <c r="K468" s="3" t="s">
        <v>781</v>
      </c>
      <c r="L468" s="3" t="s">
        <v>24</v>
      </c>
      <c r="M468" s="3">
        <v>12</v>
      </c>
      <c r="N468" s="6"/>
      <c r="O468" s="3">
        <v>7.5</v>
      </c>
      <c r="P468" s="3">
        <v>7.4999999999999991</v>
      </c>
      <c r="Q468" s="3">
        <v>7.4999999999999991</v>
      </c>
      <c r="R468" s="3">
        <v>0</v>
      </c>
      <c r="S468" s="3">
        <v>0</v>
      </c>
      <c r="T468" s="3">
        <v>0</v>
      </c>
      <c r="U468" s="3">
        <v>0</v>
      </c>
      <c r="V468" s="3">
        <f t="shared" si="107"/>
        <v>7.4999999999999991</v>
      </c>
      <c r="W468" s="3">
        <v>12</v>
      </c>
      <c r="X468" s="3">
        <v>0</v>
      </c>
      <c r="Y468" s="3">
        <v>0</v>
      </c>
      <c r="Z468" s="3">
        <v>0</v>
      </c>
      <c r="AA468" s="3">
        <v>0</v>
      </c>
      <c r="AB468" s="3">
        <f t="shared" si="108"/>
        <v>12</v>
      </c>
      <c r="AC468" s="6">
        <f t="shared" si="101"/>
        <v>0</v>
      </c>
      <c r="AD468" s="6">
        <f t="shared" si="102"/>
        <v>0</v>
      </c>
      <c r="AE468" s="6">
        <f t="shared" si="103"/>
        <v>0</v>
      </c>
      <c r="AF468" s="6">
        <f t="shared" si="104"/>
        <v>0</v>
      </c>
      <c r="AG468" s="6">
        <f t="shared" si="105"/>
        <v>0</v>
      </c>
      <c r="AH468" s="6">
        <f t="shared" si="109"/>
        <v>0</v>
      </c>
      <c r="AI468" s="3"/>
      <c r="AJ468" s="3" t="e">
        <f>_xlfn.XLOOKUP(K468,工作表1!A:A,工作表1!C:C)</f>
        <v>#N/A</v>
      </c>
      <c r="AK468" s="3"/>
      <c r="AL468" s="6">
        <f t="shared" si="110"/>
        <v>12</v>
      </c>
      <c r="AM468" s="6">
        <f t="shared" si="111"/>
        <v>0</v>
      </c>
      <c r="AN468" s="6">
        <f t="shared" si="112"/>
        <v>0</v>
      </c>
      <c r="AO468" s="6">
        <f t="shared" si="113"/>
        <v>0</v>
      </c>
      <c r="AP468" s="6">
        <f t="shared" si="114"/>
        <v>0</v>
      </c>
      <c r="AQ468" s="6">
        <f t="shared" si="115"/>
        <v>12</v>
      </c>
      <c r="AR468" s="6"/>
      <c r="AS468" s="6">
        <v>12</v>
      </c>
      <c r="AT468" s="6"/>
      <c r="AU468" s="6"/>
      <c r="AV468" s="6"/>
      <c r="AW468" s="6"/>
      <c r="AX468" s="6"/>
      <c r="AY468" s="6"/>
      <c r="AZ468" s="6"/>
      <c r="BA468" s="6"/>
      <c r="BB468" s="6"/>
      <c r="BC468" s="6"/>
      <c r="BD468" s="6"/>
      <c r="BE468" s="6"/>
      <c r="BF468" s="6"/>
      <c r="BG468" s="6"/>
      <c r="BH468" s="6"/>
      <c r="BI468" s="6"/>
      <c r="BJ468" s="6"/>
      <c r="BK468" s="6"/>
      <c r="BL468" s="6"/>
      <c r="BM468" s="6"/>
      <c r="BN468" s="6"/>
      <c r="BO468" s="6"/>
      <c r="BP468" s="3">
        <v>12</v>
      </c>
      <c r="BQ468" s="6">
        <f t="shared" si="106"/>
        <v>12</v>
      </c>
      <c r="BS468">
        <v>12</v>
      </c>
    </row>
    <row r="469" spans="1:71" x14ac:dyDescent="0.3">
      <c r="A469" s="3" t="s">
        <v>776</v>
      </c>
      <c r="B469" s="3">
        <v>102</v>
      </c>
      <c r="C469" s="3" t="s">
        <v>777</v>
      </c>
      <c r="D469" s="3">
        <v>4</v>
      </c>
      <c r="E469" s="3" t="s">
        <v>19</v>
      </c>
      <c r="F469" s="3" t="s">
        <v>778</v>
      </c>
      <c r="G469" s="3" t="s">
        <v>19</v>
      </c>
      <c r="H469" s="3" t="s">
        <v>782</v>
      </c>
      <c r="I469" s="3">
        <v>3.05</v>
      </c>
      <c r="J469" s="3" t="s">
        <v>22</v>
      </c>
      <c r="K469" s="3" t="s">
        <v>783</v>
      </c>
      <c r="L469" s="3" t="s">
        <v>24</v>
      </c>
      <c r="M469" s="3">
        <v>6</v>
      </c>
      <c r="N469" s="6"/>
      <c r="O469" s="3">
        <v>4.8000000000000007</v>
      </c>
      <c r="P469" s="3">
        <v>4.8000000000000007</v>
      </c>
      <c r="Q469" s="3">
        <v>4.8000000000000007</v>
      </c>
      <c r="R469" s="3">
        <v>0</v>
      </c>
      <c r="S469" s="3">
        <v>0</v>
      </c>
      <c r="T469" s="3">
        <v>0</v>
      </c>
      <c r="U469" s="3">
        <v>0</v>
      </c>
      <c r="V469" s="3">
        <f t="shared" si="107"/>
        <v>4.8000000000000007</v>
      </c>
      <c r="W469" s="3">
        <v>6</v>
      </c>
      <c r="X469" s="3">
        <v>0</v>
      </c>
      <c r="Y469" s="3">
        <v>0</v>
      </c>
      <c r="Z469" s="3">
        <v>0</v>
      </c>
      <c r="AA469" s="3">
        <v>0</v>
      </c>
      <c r="AB469" s="3">
        <f t="shared" si="108"/>
        <v>6</v>
      </c>
      <c r="AC469" s="6">
        <f t="shared" si="101"/>
        <v>0</v>
      </c>
      <c r="AD469" s="6">
        <f t="shared" si="102"/>
        <v>0</v>
      </c>
      <c r="AE469" s="6">
        <f t="shared" si="103"/>
        <v>0</v>
      </c>
      <c r="AF469" s="6">
        <f t="shared" si="104"/>
        <v>0</v>
      </c>
      <c r="AG469" s="6">
        <f t="shared" si="105"/>
        <v>0</v>
      </c>
      <c r="AH469" s="6">
        <f t="shared" si="109"/>
        <v>0</v>
      </c>
      <c r="AI469" s="3"/>
      <c r="AJ469" s="3" t="e">
        <f>_xlfn.XLOOKUP(K469,工作表1!A:A,工作表1!C:C)</f>
        <v>#N/A</v>
      </c>
      <c r="AK469" s="3"/>
      <c r="AL469" s="6">
        <f t="shared" si="110"/>
        <v>6</v>
      </c>
      <c r="AM469" s="6">
        <f t="shared" si="111"/>
        <v>0</v>
      </c>
      <c r="AN469" s="6">
        <f t="shared" si="112"/>
        <v>0</v>
      </c>
      <c r="AO469" s="6">
        <f t="shared" si="113"/>
        <v>0</v>
      </c>
      <c r="AP469" s="6">
        <f t="shared" si="114"/>
        <v>0</v>
      </c>
      <c r="AQ469" s="6">
        <f t="shared" si="115"/>
        <v>6</v>
      </c>
      <c r="AR469" s="6"/>
      <c r="AS469" s="6">
        <v>6</v>
      </c>
      <c r="AT469" s="6"/>
      <c r="AU469" s="6"/>
      <c r="AV469" s="6"/>
      <c r="AW469" s="6"/>
      <c r="AX469" s="6"/>
      <c r="AY469" s="6"/>
      <c r="AZ469" s="6"/>
      <c r="BA469" s="6"/>
      <c r="BB469" s="6"/>
      <c r="BC469" s="6"/>
      <c r="BD469" s="6"/>
      <c r="BE469" s="6"/>
      <c r="BF469" s="6"/>
      <c r="BG469" s="6"/>
      <c r="BH469" s="6"/>
      <c r="BI469" s="6"/>
      <c r="BJ469" s="6"/>
      <c r="BK469" s="6"/>
      <c r="BL469" s="6"/>
      <c r="BM469" s="6"/>
      <c r="BN469" s="6"/>
      <c r="BO469" s="6"/>
      <c r="BP469" s="3">
        <v>6</v>
      </c>
      <c r="BQ469" s="6">
        <f t="shared" si="106"/>
        <v>6</v>
      </c>
      <c r="BS469">
        <v>6</v>
      </c>
    </row>
    <row r="470" spans="1:71" x14ac:dyDescent="0.3">
      <c r="A470" s="3" t="s">
        <v>776</v>
      </c>
      <c r="B470" s="3">
        <v>102</v>
      </c>
      <c r="C470" s="3" t="s">
        <v>777</v>
      </c>
      <c r="D470" s="3">
        <v>4</v>
      </c>
      <c r="E470" s="3" t="s">
        <v>19</v>
      </c>
      <c r="F470" s="3" t="s">
        <v>41</v>
      </c>
      <c r="G470" s="3" t="s">
        <v>19</v>
      </c>
      <c r="H470" s="3" t="s">
        <v>48</v>
      </c>
      <c r="I470" s="3">
        <v>13.49</v>
      </c>
      <c r="J470" s="3" t="s">
        <v>22</v>
      </c>
      <c r="K470" s="3" t="s">
        <v>784</v>
      </c>
      <c r="L470" s="3" t="s">
        <v>24</v>
      </c>
      <c r="M470" s="3">
        <v>6</v>
      </c>
      <c r="N470" s="6"/>
      <c r="O470" s="3">
        <v>4.3000000000000007</v>
      </c>
      <c r="P470" s="3">
        <v>4.3000000000000007</v>
      </c>
      <c r="Q470" s="3">
        <v>4.3000000000000007</v>
      </c>
      <c r="R470" s="3">
        <v>0</v>
      </c>
      <c r="S470" s="3">
        <v>0</v>
      </c>
      <c r="T470" s="3">
        <v>0</v>
      </c>
      <c r="U470" s="3">
        <v>0</v>
      </c>
      <c r="V470" s="3">
        <f t="shared" si="107"/>
        <v>4.3000000000000007</v>
      </c>
      <c r="W470" s="3">
        <v>6</v>
      </c>
      <c r="X470" s="3">
        <v>0</v>
      </c>
      <c r="Y470" s="3">
        <v>0</v>
      </c>
      <c r="Z470" s="3">
        <v>0</v>
      </c>
      <c r="AA470" s="3">
        <v>0</v>
      </c>
      <c r="AB470" s="3">
        <f t="shared" si="108"/>
        <v>6</v>
      </c>
      <c r="AC470" s="6">
        <f t="shared" si="101"/>
        <v>0</v>
      </c>
      <c r="AD470" s="6">
        <f t="shared" si="102"/>
        <v>0</v>
      </c>
      <c r="AE470" s="6">
        <f t="shared" si="103"/>
        <v>0</v>
      </c>
      <c r="AF470" s="6">
        <f t="shared" si="104"/>
        <v>0</v>
      </c>
      <c r="AG470" s="6">
        <f t="shared" si="105"/>
        <v>0</v>
      </c>
      <c r="AH470" s="6">
        <f t="shared" si="109"/>
        <v>0</v>
      </c>
      <c r="AI470" s="3"/>
      <c r="AJ470" s="3" t="e">
        <f>_xlfn.XLOOKUP(K470,工作表1!A:A,工作表1!C:C)</f>
        <v>#N/A</v>
      </c>
      <c r="AK470" s="3"/>
      <c r="AL470" s="6">
        <f t="shared" si="110"/>
        <v>6</v>
      </c>
      <c r="AM470" s="6">
        <f t="shared" si="111"/>
        <v>0</v>
      </c>
      <c r="AN470" s="6">
        <f t="shared" si="112"/>
        <v>0</v>
      </c>
      <c r="AO470" s="6">
        <f t="shared" si="113"/>
        <v>0</v>
      </c>
      <c r="AP470" s="6">
        <f t="shared" si="114"/>
        <v>0</v>
      </c>
      <c r="AQ470" s="6">
        <f t="shared" si="115"/>
        <v>6</v>
      </c>
      <c r="AR470" s="6"/>
      <c r="AS470" s="6">
        <v>6</v>
      </c>
      <c r="AT470" s="6"/>
      <c r="AU470" s="6"/>
      <c r="AV470" s="6"/>
      <c r="AW470" s="6"/>
      <c r="AX470" s="6"/>
      <c r="AY470" s="6"/>
      <c r="AZ470" s="6"/>
      <c r="BA470" s="6"/>
      <c r="BB470" s="6"/>
      <c r="BC470" s="6"/>
      <c r="BD470" s="6"/>
      <c r="BE470" s="6"/>
      <c r="BF470" s="6"/>
      <c r="BG470" s="6"/>
      <c r="BH470" s="6"/>
      <c r="BI470" s="6"/>
      <c r="BJ470" s="6"/>
      <c r="BK470" s="6"/>
      <c r="BL470" s="6"/>
      <c r="BM470" s="6"/>
      <c r="BN470" s="6"/>
      <c r="BO470" s="6"/>
      <c r="BP470" s="3">
        <v>6</v>
      </c>
      <c r="BQ470" s="6">
        <f t="shared" si="106"/>
        <v>6</v>
      </c>
      <c r="BS470">
        <v>6</v>
      </c>
    </row>
    <row r="471" spans="1:71" x14ac:dyDescent="0.3">
      <c r="A471" s="3" t="s">
        <v>776</v>
      </c>
      <c r="B471" s="3">
        <v>102</v>
      </c>
      <c r="C471" s="3" t="s">
        <v>777</v>
      </c>
      <c r="D471" s="3">
        <v>4</v>
      </c>
      <c r="E471" s="3" t="s">
        <v>19</v>
      </c>
      <c r="F471" s="3" t="s">
        <v>767</v>
      </c>
      <c r="G471" s="3" t="s">
        <v>19</v>
      </c>
      <c r="H471" s="3" t="s">
        <v>785</v>
      </c>
      <c r="I471" s="3">
        <v>6.02</v>
      </c>
      <c r="J471" s="3" t="s">
        <v>22</v>
      </c>
      <c r="K471" s="3" t="s">
        <v>786</v>
      </c>
      <c r="L471" s="3" t="s">
        <v>24</v>
      </c>
      <c r="M471" s="3">
        <v>6</v>
      </c>
      <c r="N471" s="6"/>
      <c r="O471" s="3">
        <v>2.5</v>
      </c>
      <c r="P471" s="3">
        <v>2.5</v>
      </c>
      <c r="Q471" s="3">
        <v>2.5</v>
      </c>
      <c r="R471" s="3">
        <v>0</v>
      </c>
      <c r="S471" s="3">
        <v>0</v>
      </c>
      <c r="T471" s="3">
        <v>0</v>
      </c>
      <c r="U471" s="3">
        <v>0</v>
      </c>
      <c r="V471" s="3">
        <f t="shared" si="107"/>
        <v>2.5</v>
      </c>
      <c r="W471" s="3">
        <v>6</v>
      </c>
      <c r="X471" s="3">
        <v>0</v>
      </c>
      <c r="Y471" s="3">
        <v>0</v>
      </c>
      <c r="Z471" s="3">
        <v>0</v>
      </c>
      <c r="AA471" s="3">
        <v>0</v>
      </c>
      <c r="AB471" s="3">
        <f t="shared" si="108"/>
        <v>6</v>
      </c>
      <c r="AC471" s="6">
        <f t="shared" ref="AC471:AC534" si="116">AL471-W471</f>
        <v>0</v>
      </c>
      <c r="AD471" s="6">
        <f t="shared" ref="AD471:AD534" si="117">AM471-X471</f>
        <v>0</v>
      </c>
      <c r="AE471" s="6">
        <f t="shared" ref="AE471:AE534" si="118">AN471-Y471</f>
        <v>0</v>
      </c>
      <c r="AF471" s="6">
        <f t="shared" ref="AF471:AF534" si="119">AO471-Z471</f>
        <v>0</v>
      </c>
      <c r="AG471" s="6">
        <f t="shared" ref="AG471:AG534" si="120">AP471-AA471</f>
        <v>0</v>
      </c>
      <c r="AH471" s="6">
        <f t="shared" si="109"/>
        <v>0</v>
      </c>
      <c r="AI471" s="3"/>
      <c r="AJ471" s="3" t="e">
        <f>_xlfn.XLOOKUP(K471,工作表1!A:A,工作表1!C:C)</f>
        <v>#N/A</v>
      </c>
      <c r="AK471" s="3"/>
      <c r="AL471" s="6">
        <f t="shared" si="110"/>
        <v>6</v>
      </c>
      <c r="AM471" s="6">
        <f t="shared" si="111"/>
        <v>0</v>
      </c>
      <c r="AN471" s="6">
        <f t="shared" si="112"/>
        <v>0</v>
      </c>
      <c r="AO471" s="6">
        <f t="shared" si="113"/>
        <v>0</v>
      </c>
      <c r="AP471" s="6">
        <f t="shared" si="114"/>
        <v>0</v>
      </c>
      <c r="AQ471" s="6">
        <f t="shared" si="115"/>
        <v>6</v>
      </c>
      <c r="AR471" s="6"/>
      <c r="AS471" s="6">
        <v>6</v>
      </c>
      <c r="AT471" s="6"/>
      <c r="AU471" s="6"/>
      <c r="AV471" s="6"/>
      <c r="AW471" s="6"/>
      <c r="AX471" s="6"/>
      <c r="AY471" s="6"/>
      <c r="AZ471" s="6"/>
      <c r="BA471" s="6"/>
      <c r="BB471" s="6"/>
      <c r="BC471" s="6"/>
      <c r="BD471" s="6"/>
      <c r="BE471" s="6"/>
      <c r="BF471" s="6"/>
      <c r="BG471" s="6"/>
      <c r="BH471" s="6"/>
      <c r="BI471" s="6"/>
      <c r="BJ471" s="6"/>
      <c r="BK471" s="6"/>
      <c r="BL471" s="6"/>
      <c r="BM471" s="6"/>
      <c r="BN471" s="6"/>
      <c r="BO471" s="6"/>
      <c r="BP471" s="3">
        <v>6</v>
      </c>
      <c r="BQ471" s="6">
        <f t="shared" si="106"/>
        <v>6</v>
      </c>
      <c r="BS471">
        <v>6</v>
      </c>
    </row>
    <row r="472" spans="1:71" x14ac:dyDescent="0.3">
      <c r="A472" s="3" t="s">
        <v>776</v>
      </c>
      <c r="B472" s="3">
        <v>102</v>
      </c>
      <c r="C472" s="3" t="s">
        <v>777</v>
      </c>
      <c r="D472" s="3">
        <v>3</v>
      </c>
      <c r="E472" s="3" t="s">
        <v>19</v>
      </c>
      <c r="F472" s="3" t="s">
        <v>778</v>
      </c>
      <c r="G472" s="3" t="s">
        <v>19</v>
      </c>
      <c r="H472" s="3" t="s">
        <v>787</v>
      </c>
      <c r="I472" s="3">
        <v>3.05</v>
      </c>
      <c r="J472" s="3" t="s">
        <v>22</v>
      </c>
      <c r="K472" s="3" t="s">
        <v>788</v>
      </c>
      <c r="L472" s="3" t="s">
        <v>24</v>
      </c>
      <c r="M472" s="3">
        <v>126</v>
      </c>
      <c r="N472" s="6"/>
      <c r="O472" s="3">
        <v>14.3</v>
      </c>
      <c r="P472" s="3">
        <v>14.3</v>
      </c>
      <c r="Q472" s="3">
        <v>14.3</v>
      </c>
      <c r="R472" s="3">
        <v>0</v>
      </c>
      <c r="S472" s="3">
        <v>0</v>
      </c>
      <c r="T472" s="3">
        <v>0</v>
      </c>
      <c r="U472" s="3">
        <v>0</v>
      </c>
      <c r="V472" s="3">
        <f t="shared" si="107"/>
        <v>14.3</v>
      </c>
      <c r="W472" s="3">
        <v>18</v>
      </c>
      <c r="X472" s="3">
        <v>0</v>
      </c>
      <c r="Y472" s="3">
        <v>0</v>
      </c>
      <c r="Z472" s="3">
        <v>0</v>
      </c>
      <c r="AA472" s="3">
        <v>0</v>
      </c>
      <c r="AB472" s="3">
        <f t="shared" si="108"/>
        <v>18</v>
      </c>
      <c r="AC472" s="6">
        <f t="shared" si="116"/>
        <v>0</v>
      </c>
      <c r="AD472" s="6">
        <f t="shared" si="117"/>
        <v>0</v>
      </c>
      <c r="AE472" s="6">
        <f t="shared" si="118"/>
        <v>0</v>
      </c>
      <c r="AF472" s="6">
        <f t="shared" si="119"/>
        <v>0</v>
      </c>
      <c r="AG472" s="6">
        <f t="shared" si="120"/>
        <v>0</v>
      </c>
      <c r="AH472" s="6">
        <f t="shared" si="109"/>
        <v>0</v>
      </c>
      <c r="AI472" s="3"/>
      <c r="AJ472" s="3" t="e">
        <f>_xlfn.XLOOKUP(K472,工作表1!A:A,工作表1!C:C)</f>
        <v>#N/A</v>
      </c>
      <c r="AK472" s="3"/>
      <c r="AL472" s="6">
        <f t="shared" si="110"/>
        <v>18</v>
      </c>
      <c r="AM472" s="6">
        <f t="shared" si="111"/>
        <v>0</v>
      </c>
      <c r="AN472" s="6">
        <f t="shared" si="112"/>
        <v>0</v>
      </c>
      <c r="AO472" s="6">
        <f t="shared" si="113"/>
        <v>0</v>
      </c>
      <c r="AP472" s="6">
        <f t="shared" si="114"/>
        <v>0</v>
      </c>
      <c r="AQ472" s="6">
        <f t="shared" si="115"/>
        <v>18</v>
      </c>
      <c r="AR472" s="6"/>
      <c r="AS472" s="6">
        <v>18</v>
      </c>
      <c r="AT472" s="6"/>
      <c r="AU472" s="6"/>
      <c r="AV472" s="6"/>
      <c r="AW472" s="6"/>
      <c r="AX472" s="6"/>
      <c r="AY472" s="6"/>
      <c r="AZ472" s="6"/>
      <c r="BA472" s="6"/>
      <c r="BB472" s="6"/>
      <c r="BC472" s="6"/>
      <c r="BD472" s="6"/>
      <c r="BE472" s="6"/>
      <c r="BF472" s="6"/>
      <c r="BG472" s="6"/>
      <c r="BH472" s="6"/>
      <c r="BI472" s="6"/>
      <c r="BJ472" s="6"/>
      <c r="BK472" s="6"/>
      <c r="BL472" s="6"/>
      <c r="BM472" s="6"/>
      <c r="BN472" s="6"/>
      <c r="BO472" s="6"/>
      <c r="BP472" s="3">
        <v>18</v>
      </c>
      <c r="BQ472" s="6">
        <f t="shared" si="106"/>
        <v>18</v>
      </c>
      <c r="BS472" s="8">
        <v>18</v>
      </c>
    </row>
    <row r="473" spans="1:71" x14ac:dyDescent="0.3">
      <c r="A473" s="3" t="s">
        <v>776</v>
      </c>
      <c r="B473" s="3">
        <v>102</v>
      </c>
      <c r="C473" s="3" t="s">
        <v>777</v>
      </c>
      <c r="D473" s="3">
        <v>3</v>
      </c>
      <c r="E473" s="3" t="s">
        <v>19</v>
      </c>
      <c r="F473" s="3" t="s">
        <v>41</v>
      </c>
      <c r="G473" s="3" t="s">
        <v>19</v>
      </c>
      <c r="H473" s="3" t="s">
        <v>51</v>
      </c>
      <c r="I473" s="3">
        <v>11.13</v>
      </c>
      <c r="J473" s="3" t="s">
        <v>22</v>
      </c>
      <c r="K473" s="3" t="s">
        <v>789</v>
      </c>
      <c r="L473" s="3" t="s">
        <v>24</v>
      </c>
      <c r="M473" s="3">
        <v>6</v>
      </c>
      <c r="N473" s="6"/>
      <c r="O473" s="3">
        <v>0.4</v>
      </c>
      <c r="P473" s="3">
        <v>0.4</v>
      </c>
      <c r="Q473" s="3">
        <v>0.4</v>
      </c>
      <c r="R473" s="3">
        <v>0</v>
      </c>
      <c r="S473" s="3">
        <v>0</v>
      </c>
      <c r="T473" s="3">
        <v>0</v>
      </c>
      <c r="U473" s="3">
        <v>0</v>
      </c>
      <c r="V473" s="3">
        <f t="shared" si="107"/>
        <v>0.4</v>
      </c>
      <c r="W473" s="3">
        <v>6</v>
      </c>
      <c r="X473" s="3">
        <v>0</v>
      </c>
      <c r="Y473" s="3">
        <v>0</v>
      </c>
      <c r="Z473" s="3">
        <v>0</v>
      </c>
      <c r="AA473" s="3">
        <v>0</v>
      </c>
      <c r="AB473" s="3">
        <f t="shared" si="108"/>
        <v>6</v>
      </c>
      <c r="AC473" s="6">
        <f t="shared" si="116"/>
        <v>0</v>
      </c>
      <c r="AD473" s="6">
        <f t="shared" si="117"/>
        <v>0</v>
      </c>
      <c r="AE473" s="6">
        <f t="shared" si="118"/>
        <v>0</v>
      </c>
      <c r="AF473" s="6">
        <f t="shared" si="119"/>
        <v>0</v>
      </c>
      <c r="AG473" s="6">
        <f t="shared" si="120"/>
        <v>0</v>
      </c>
      <c r="AH473" s="6">
        <f t="shared" si="109"/>
        <v>0</v>
      </c>
      <c r="AI473" s="3"/>
      <c r="AJ473" s="3" t="e">
        <f>_xlfn.XLOOKUP(K473,工作表1!A:A,工作表1!C:C)</f>
        <v>#N/A</v>
      </c>
      <c r="AK473" s="3"/>
      <c r="AL473" s="6">
        <f t="shared" si="110"/>
        <v>6</v>
      </c>
      <c r="AM473" s="6">
        <f t="shared" si="111"/>
        <v>0</v>
      </c>
      <c r="AN473" s="6">
        <f t="shared" si="112"/>
        <v>0</v>
      </c>
      <c r="AO473" s="6">
        <f t="shared" si="113"/>
        <v>0</v>
      </c>
      <c r="AP473" s="6">
        <f t="shared" si="114"/>
        <v>0</v>
      </c>
      <c r="AQ473" s="6">
        <f t="shared" si="115"/>
        <v>6</v>
      </c>
      <c r="AR473" s="6"/>
      <c r="AS473" s="6">
        <v>6</v>
      </c>
      <c r="AT473" s="6"/>
      <c r="AU473" s="6"/>
      <c r="AV473" s="6"/>
      <c r="AW473" s="6"/>
      <c r="AX473" s="6"/>
      <c r="AY473" s="6"/>
      <c r="AZ473" s="6"/>
      <c r="BA473" s="6"/>
      <c r="BB473" s="6"/>
      <c r="BC473" s="6"/>
      <c r="BD473" s="6"/>
      <c r="BE473" s="6"/>
      <c r="BF473" s="6"/>
      <c r="BG473" s="6"/>
      <c r="BH473" s="6"/>
      <c r="BI473" s="6"/>
      <c r="BJ473" s="6"/>
      <c r="BK473" s="6"/>
      <c r="BL473" s="6"/>
      <c r="BM473" s="6"/>
      <c r="BN473" s="6"/>
      <c r="BO473" s="6"/>
      <c r="BP473" s="3">
        <v>6</v>
      </c>
      <c r="BQ473" s="6">
        <f t="shared" si="106"/>
        <v>6</v>
      </c>
      <c r="BS473">
        <v>6</v>
      </c>
    </row>
    <row r="474" spans="1:71" x14ac:dyDescent="0.3">
      <c r="A474" s="3" t="s">
        <v>776</v>
      </c>
      <c r="B474" s="3">
        <v>102</v>
      </c>
      <c r="C474" s="3" t="s">
        <v>777</v>
      </c>
      <c r="D474" s="3">
        <v>2</v>
      </c>
      <c r="E474" s="3" t="s">
        <v>19</v>
      </c>
      <c r="F474" s="3" t="s">
        <v>752</v>
      </c>
      <c r="G474" s="3" t="s">
        <v>19</v>
      </c>
      <c r="H474" s="3" t="s">
        <v>790</v>
      </c>
      <c r="I474" s="3">
        <v>5.54</v>
      </c>
      <c r="J474" s="3" t="s">
        <v>22</v>
      </c>
      <c r="K474" s="3" t="s">
        <v>791</v>
      </c>
      <c r="L474" s="3" t="s">
        <v>24</v>
      </c>
      <c r="M474" s="3">
        <v>12</v>
      </c>
      <c r="N474" s="6"/>
      <c r="O474" s="3">
        <v>0.4</v>
      </c>
      <c r="P474" s="3">
        <v>0.4</v>
      </c>
      <c r="Q474" s="3">
        <v>0.4</v>
      </c>
      <c r="R474" s="3">
        <v>0</v>
      </c>
      <c r="S474" s="3">
        <v>0</v>
      </c>
      <c r="T474" s="3">
        <v>0</v>
      </c>
      <c r="U474" s="3">
        <v>0</v>
      </c>
      <c r="V474" s="3">
        <f t="shared" si="107"/>
        <v>0.4</v>
      </c>
      <c r="W474" s="3">
        <v>6</v>
      </c>
      <c r="X474" s="3">
        <v>0</v>
      </c>
      <c r="Y474" s="3">
        <v>0</v>
      </c>
      <c r="Z474" s="3">
        <v>0</v>
      </c>
      <c r="AA474" s="3">
        <v>0</v>
      </c>
      <c r="AB474" s="3">
        <f t="shared" si="108"/>
        <v>6</v>
      </c>
      <c r="AC474" s="6">
        <f t="shared" si="116"/>
        <v>0</v>
      </c>
      <c r="AD474" s="6">
        <f t="shared" si="117"/>
        <v>0</v>
      </c>
      <c r="AE474" s="6">
        <f t="shared" si="118"/>
        <v>0</v>
      </c>
      <c r="AF474" s="6">
        <f t="shared" si="119"/>
        <v>0</v>
      </c>
      <c r="AG474" s="6">
        <f t="shared" si="120"/>
        <v>0</v>
      </c>
      <c r="AH474" s="6">
        <f t="shared" si="109"/>
        <v>0</v>
      </c>
      <c r="AI474" s="3"/>
      <c r="AJ474" s="3" t="e">
        <f>_xlfn.XLOOKUP(K474,工作表1!A:A,工作表1!C:C)</f>
        <v>#N/A</v>
      </c>
      <c r="AK474" s="3"/>
      <c r="AL474" s="6">
        <f t="shared" si="110"/>
        <v>6</v>
      </c>
      <c r="AM474" s="6">
        <f t="shared" si="111"/>
        <v>0</v>
      </c>
      <c r="AN474" s="6">
        <f t="shared" si="112"/>
        <v>0</v>
      </c>
      <c r="AO474" s="6">
        <f t="shared" si="113"/>
        <v>0</v>
      </c>
      <c r="AP474" s="6">
        <f t="shared" si="114"/>
        <v>0</v>
      </c>
      <c r="AQ474" s="6">
        <f t="shared" si="115"/>
        <v>6</v>
      </c>
      <c r="AR474" s="6"/>
      <c r="AS474" s="6">
        <v>6</v>
      </c>
      <c r="AT474" s="6"/>
      <c r="AU474" s="6"/>
      <c r="AV474" s="6"/>
      <c r="AW474" s="6"/>
      <c r="AX474" s="6"/>
      <c r="AY474" s="6"/>
      <c r="AZ474" s="6"/>
      <c r="BA474" s="6"/>
      <c r="BB474" s="6"/>
      <c r="BC474" s="6"/>
      <c r="BD474" s="6"/>
      <c r="BE474" s="6"/>
      <c r="BF474" s="6"/>
      <c r="BG474" s="6"/>
      <c r="BH474" s="6"/>
      <c r="BI474" s="6"/>
      <c r="BJ474" s="6"/>
      <c r="BK474" s="6"/>
      <c r="BL474" s="6"/>
      <c r="BM474" s="6"/>
      <c r="BN474" s="6"/>
      <c r="BO474" s="6"/>
      <c r="BP474" s="3">
        <v>6</v>
      </c>
      <c r="BQ474" s="6">
        <f t="shared" si="106"/>
        <v>6</v>
      </c>
      <c r="BS474" s="8">
        <v>6</v>
      </c>
    </row>
    <row r="475" spans="1:71" x14ac:dyDescent="0.3">
      <c r="A475" s="3" t="s">
        <v>776</v>
      </c>
      <c r="B475" s="3">
        <v>102</v>
      </c>
      <c r="C475" s="3" t="s">
        <v>777</v>
      </c>
      <c r="D475" s="3">
        <v>1</v>
      </c>
      <c r="E475" s="3" t="s">
        <v>19</v>
      </c>
      <c r="F475" s="3" t="s">
        <v>41</v>
      </c>
      <c r="G475" s="3" t="s">
        <v>19</v>
      </c>
      <c r="H475" s="3" t="s">
        <v>59</v>
      </c>
      <c r="I475" s="3">
        <v>6.35</v>
      </c>
      <c r="J475" s="3" t="s">
        <v>22</v>
      </c>
      <c r="K475" s="3" t="s">
        <v>792</v>
      </c>
      <c r="L475" s="3" t="s">
        <v>24</v>
      </c>
      <c r="M475" s="3">
        <v>6</v>
      </c>
      <c r="N475" s="6"/>
      <c r="O475" s="3">
        <v>3.8</v>
      </c>
      <c r="P475" s="3">
        <v>3.8</v>
      </c>
      <c r="Q475" s="3">
        <v>3.8</v>
      </c>
      <c r="R475" s="3">
        <v>0</v>
      </c>
      <c r="S475" s="3">
        <v>0</v>
      </c>
      <c r="T475" s="3">
        <v>0</v>
      </c>
      <c r="U475" s="3">
        <v>0</v>
      </c>
      <c r="V475" s="3">
        <f t="shared" si="107"/>
        <v>3.8</v>
      </c>
      <c r="W475" s="3">
        <v>6</v>
      </c>
      <c r="X475" s="3">
        <v>0</v>
      </c>
      <c r="Y475" s="3">
        <v>0</v>
      </c>
      <c r="Z475" s="3">
        <v>0</v>
      </c>
      <c r="AA475" s="3">
        <v>0</v>
      </c>
      <c r="AB475" s="3">
        <f t="shared" si="108"/>
        <v>6</v>
      </c>
      <c r="AC475" s="6">
        <f t="shared" si="116"/>
        <v>0</v>
      </c>
      <c r="AD475" s="6">
        <f t="shared" si="117"/>
        <v>0</v>
      </c>
      <c r="AE475" s="6">
        <f t="shared" si="118"/>
        <v>0</v>
      </c>
      <c r="AF475" s="6">
        <f t="shared" si="119"/>
        <v>0</v>
      </c>
      <c r="AG475" s="6">
        <f t="shared" si="120"/>
        <v>0</v>
      </c>
      <c r="AH475" s="6">
        <f t="shared" si="109"/>
        <v>0</v>
      </c>
      <c r="AI475" s="3"/>
      <c r="AJ475" s="3" t="e">
        <f>_xlfn.XLOOKUP(K475,工作表1!A:A,工作表1!C:C)</f>
        <v>#N/A</v>
      </c>
      <c r="AK475" s="3"/>
      <c r="AL475" s="6">
        <f t="shared" si="110"/>
        <v>6</v>
      </c>
      <c r="AM475" s="6">
        <f t="shared" si="111"/>
        <v>0</v>
      </c>
      <c r="AN475" s="6">
        <f t="shared" si="112"/>
        <v>0</v>
      </c>
      <c r="AO475" s="6">
        <f t="shared" si="113"/>
        <v>0</v>
      </c>
      <c r="AP475" s="6">
        <f t="shared" si="114"/>
        <v>0</v>
      </c>
      <c r="AQ475" s="6">
        <f t="shared" si="115"/>
        <v>6</v>
      </c>
      <c r="AR475" s="6"/>
      <c r="AS475" s="6">
        <v>6</v>
      </c>
      <c r="AT475" s="6"/>
      <c r="AU475" s="6"/>
      <c r="AV475" s="6"/>
      <c r="AW475" s="6"/>
      <c r="AX475" s="6"/>
      <c r="AY475" s="6"/>
      <c r="AZ475" s="6"/>
      <c r="BA475" s="6"/>
      <c r="BB475" s="6"/>
      <c r="BC475" s="6"/>
      <c r="BD475" s="6"/>
      <c r="BE475" s="6"/>
      <c r="BF475" s="6"/>
      <c r="BG475" s="6"/>
      <c r="BH475" s="6"/>
      <c r="BI475" s="6"/>
      <c r="BJ475" s="6"/>
      <c r="BK475" s="6"/>
      <c r="BL475" s="6"/>
      <c r="BM475" s="6"/>
      <c r="BN475" s="6"/>
      <c r="BO475" s="6"/>
      <c r="BP475" s="3">
        <v>6</v>
      </c>
      <c r="BQ475" s="6">
        <f t="shared" si="106"/>
        <v>6</v>
      </c>
      <c r="BS475">
        <v>6</v>
      </c>
    </row>
    <row r="476" spans="1:71" x14ac:dyDescent="0.3">
      <c r="A476" s="3" t="s">
        <v>776</v>
      </c>
      <c r="B476" s="3">
        <v>102</v>
      </c>
      <c r="C476" s="3" t="s">
        <v>777</v>
      </c>
      <c r="D476" s="3">
        <v>0.75</v>
      </c>
      <c r="E476" s="3" t="s">
        <v>19</v>
      </c>
      <c r="F476" s="3" t="s">
        <v>41</v>
      </c>
      <c r="G476" s="3" t="s">
        <v>19</v>
      </c>
      <c r="H476" s="3" t="s">
        <v>61</v>
      </c>
      <c r="I476" s="3">
        <v>5.56</v>
      </c>
      <c r="J476" s="3" t="s">
        <v>22</v>
      </c>
      <c r="K476" s="3" t="s">
        <v>793</v>
      </c>
      <c r="L476" s="3" t="s">
        <v>24</v>
      </c>
      <c r="M476" s="3">
        <v>6</v>
      </c>
      <c r="N476" s="6"/>
      <c r="O476" s="3">
        <v>0.2</v>
      </c>
      <c r="P476" s="3">
        <v>0.2</v>
      </c>
      <c r="Q476" s="3">
        <v>0.2</v>
      </c>
      <c r="R476" s="3">
        <v>0</v>
      </c>
      <c r="S476" s="3">
        <v>0</v>
      </c>
      <c r="T476" s="3">
        <v>0</v>
      </c>
      <c r="U476" s="3">
        <v>0</v>
      </c>
      <c r="V476" s="3">
        <f t="shared" si="107"/>
        <v>0.2</v>
      </c>
      <c r="W476" s="3">
        <v>6</v>
      </c>
      <c r="X476" s="3">
        <v>0</v>
      </c>
      <c r="Y476" s="3">
        <v>0</v>
      </c>
      <c r="Z476" s="3">
        <v>0</v>
      </c>
      <c r="AA476" s="3">
        <v>0</v>
      </c>
      <c r="AB476" s="3">
        <f t="shared" si="108"/>
        <v>6</v>
      </c>
      <c r="AC476" s="6">
        <f t="shared" si="116"/>
        <v>0</v>
      </c>
      <c r="AD476" s="6">
        <f t="shared" si="117"/>
        <v>0</v>
      </c>
      <c r="AE476" s="6">
        <f t="shared" si="118"/>
        <v>0</v>
      </c>
      <c r="AF476" s="6">
        <f t="shared" si="119"/>
        <v>0</v>
      </c>
      <c r="AG476" s="6">
        <f t="shared" si="120"/>
        <v>0</v>
      </c>
      <c r="AH476" s="6">
        <f t="shared" si="109"/>
        <v>0</v>
      </c>
      <c r="AI476" s="3"/>
      <c r="AJ476" s="3" t="e">
        <f>_xlfn.XLOOKUP(K476,工作表1!A:A,工作表1!C:C)</f>
        <v>#N/A</v>
      </c>
      <c r="AK476" s="3"/>
      <c r="AL476" s="6">
        <f t="shared" si="110"/>
        <v>6</v>
      </c>
      <c r="AM476" s="6">
        <f t="shared" si="111"/>
        <v>0</v>
      </c>
      <c r="AN476" s="6">
        <f t="shared" si="112"/>
        <v>0</v>
      </c>
      <c r="AO476" s="6">
        <f t="shared" si="113"/>
        <v>0</v>
      </c>
      <c r="AP476" s="6">
        <f t="shared" si="114"/>
        <v>0</v>
      </c>
      <c r="AQ476" s="6">
        <f t="shared" si="115"/>
        <v>6</v>
      </c>
      <c r="AR476" s="6"/>
      <c r="AS476" s="6">
        <v>6</v>
      </c>
      <c r="AT476" s="6"/>
      <c r="AU476" s="6"/>
      <c r="AV476" s="6"/>
      <c r="AW476" s="6"/>
      <c r="AX476" s="6"/>
      <c r="AY476" s="6"/>
      <c r="AZ476" s="6"/>
      <c r="BA476" s="6"/>
      <c r="BB476" s="6"/>
      <c r="BC476" s="6"/>
      <c r="BD476" s="6"/>
      <c r="BE476" s="6"/>
      <c r="BF476" s="6"/>
      <c r="BG476" s="6"/>
      <c r="BH476" s="6"/>
      <c r="BI476" s="6"/>
      <c r="BJ476" s="6"/>
      <c r="BK476" s="6"/>
      <c r="BL476" s="6"/>
      <c r="BM476" s="6"/>
      <c r="BN476" s="6"/>
      <c r="BO476" s="6"/>
      <c r="BP476" s="3">
        <v>6</v>
      </c>
      <c r="BQ476" s="6">
        <f t="shared" si="106"/>
        <v>6</v>
      </c>
      <c r="BS476">
        <v>6</v>
      </c>
    </row>
    <row r="477" spans="1:71" x14ac:dyDescent="0.3">
      <c r="A477" s="3" t="s">
        <v>776</v>
      </c>
      <c r="B477" s="3">
        <v>102</v>
      </c>
      <c r="C477" s="3" t="s">
        <v>777</v>
      </c>
      <c r="D477" s="3">
        <v>0.5</v>
      </c>
      <c r="E477" s="3" t="s">
        <v>19</v>
      </c>
      <c r="F477" s="3" t="s">
        <v>41</v>
      </c>
      <c r="G477" s="3" t="s">
        <v>19</v>
      </c>
      <c r="H477" s="3" t="s">
        <v>66</v>
      </c>
      <c r="I477" s="3">
        <v>4.78</v>
      </c>
      <c r="J477" s="3" t="s">
        <v>22</v>
      </c>
      <c r="K477" s="3" t="s">
        <v>794</v>
      </c>
      <c r="L477" s="3" t="s">
        <v>24</v>
      </c>
      <c r="M477" s="3">
        <v>78</v>
      </c>
      <c r="N477" s="6"/>
      <c r="O477" s="3">
        <v>0.3</v>
      </c>
      <c r="P477" s="3">
        <v>0.3</v>
      </c>
      <c r="Q477" s="3">
        <v>0.3</v>
      </c>
      <c r="R477" s="3">
        <v>0</v>
      </c>
      <c r="S477" s="3">
        <v>0</v>
      </c>
      <c r="T477" s="3">
        <v>0</v>
      </c>
      <c r="U477" s="3">
        <v>0</v>
      </c>
      <c r="V477" s="3">
        <f t="shared" si="107"/>
        <v>0.3</v>
      </c>
      <c r="W477" s="3">
        <v>6</v>
      </c>
      <c r="X477" s="3">
        <v>0</v>
      </c>
      <c r="Y477" s="3">
        <v>0</v>
      </c>
      <c r="Z477" s="3">
        <v>0</v>
      </c>
      <c r="AA477" s="3">
        <v>0</v>
      </c>
      <c r="AB477" s="3">
        <f t="shared" si="108"/>
        <v>6</v>
      </c>
      <c r="AC477" s="6">
        <f t="shared" si="116"/>
        <v>0</v>
      </c>
      <c r="AD477" s="6">
        <f t="shared" si="117"/>
        <v>0</v>
      </c>
      <c r="AE477" s="6">
        <f t="shared" si="118"/>
        <v>0</v>
      </c>
      <c r="AF477" s="6">
        <f t="shared" si="119"/>
        <v>0</v>
      </c>
      <c r="AG477" s="6">
        <f t="shared" si="120"/>
        <v>0</v>
      </c>
      <c r="AH477" s="6">
        <f t="shared" si="109"/>
        <v>0</v>
      </c>
      <c r="AI477" s="3"/>
      <c r="AJ477" s="3" t="e">
        <f>_xlfn.XLOOKUP(K477,工作表1!A:A,工作表1!C:C)</f>
        <v>#N/A</v>
      </c>
      <c r="AK477" s="3"/>
      <c r="AL477" s="6">
        <f t="shared" si="110"/>
        <v>6</v>
      </c>
      <c r="AM477" s="6">
        <f t="shared" si="111"/>
        <v>0</v>
      </c>
      <c r="AN477" s="6">
        <f t="shared" si="112"/>
        <v>0</v>
      </c>
      <c r="AO477" s="6">
        <f t="shared" si="113"/>
        <v>0</v>
      </c>
      <c r="AP477" s="6">
        <f t="shared" si="114"/>
        <v>0</v>
      </c>
      <c r="AQ477" s="6">
        <f t="shared" si="115"/>
        <v>6</v>
      </c>
      <c r="AR477" s="6"/>
      <c r="AS477" s="6">
        <v>6</v>
      </c>
      <c r="AT477" s="6"/>
      <c r="AU477" s="6"/>
      <c r="AV477" s="6"/>
      <c r="AW477" s="6"/>
      <c r="AX477" s="6"/>
      <c r="AY477" s="6"/>
      <c r="AZ477" s="6"/>
      <c r="BA477" s="6"/>
      <c r="BB477" s="6"/>
      <c r="BC477" s="6"/>
      <c r="BD477" s="6"/>
      <c r="BE477" s="6"/>
      <c r="BF477" s="6"/>
      <c r="BG477" s="6"/>
      <c r="BH477" s="6"/>
      <c r="BI477" s="6"/>
      <c r="BJ477" s="6"/>
      <c r="BK477" s="6"/>
      <c r="BL477" s="6"/>
      <c r="BM477" s="6"/>
      <c r="BN477" s="6"/>
      <c r="BO477" s="6"/>
      <c r="BP477" s="3">
        <v>6</v>
      </c>
      <c r="BQ477" s="6">
        <f t="shared" si="106"/>
        <v>6</v>
      </c>
      <c r="BS477">
        <v>6</v>
      </c>
    </row>
    <row r="478" spans="1:71" x14ac:dyDescent="0.3">
      <c r="A478" s="3" t="s">
        <v>776</v>
      </c>
      <c r="B478" s="3">
        <v>102</v>
      </c>
      <c r="C478" s="3" t="s">
        <v>795</v>
      </c>
      <c r="D478" s="3">
        <v>1.5</v>
      </c>
      <c r="E478" s="3" t="s">
        <v>19</v>
      </c>
      <c r="F478" s="3" t="s">
        <v>752</v>
      </c>
      <c r="G478" s="3" t="s">
        <v>19</v>
      </c>
      <c r="H478" s="3" t="s">
        <v>753</v>
      </c>
      <c r="I478" s="3">
        <v>5.08</v>
      </c>
      <c r="J478" s="3" t="s">
        <v>22</v>
      </c>
      <c r="K478" s="3" t="s">
        <v>796</v>
      </c>
      <c r="L478" s="3" t="s">
        <v>24</v>
      </c>
      <c r="M478" s="3">
        <v>6</v>
      </c>
      <c r="N478" s="6"/>
      <c r="O478" s="3">
        <v>0.2</v>
      </c>
      <c r="P478" s="3">
        <v>0.2</v>
      </c>
      <c r="Q478" s="3">
        <v>0.2</v>
      </c>
      <c r="R478" s="3">
        <v>0</v>
      </c>
      <c r="S478" s="3">
        <v>0</v>
      </c>
      <c r="T478" s="3">
        <v>0</v>
      </c>
      <c r="U478" s="3">
        <v>0</v>
      </c>
      <c r="V478" s="3">
        <f t="shared" si="107"/>
        <v>0.2</v>
      </c>
      <c r="W478" s="3">
        <v>6</v>
      </c>
      <c r="X478" s="3">
        <v>0</v>
      </c>
      <c r="Y478" s="3">
        <v>0</v>
      </c>
      <c r="Z478" s="3">
        <v>0</v>
      </c>
      <c r="AA478" s="3">
        <v>0</v>
      </c>
      <c r="AB478" s="3">
        <f t="shared" si="108"/>
        <v>6</v>
      </c>
      <c r="AC478" s="6">
        <f t="shared" si="116"/>
        <v>0</v>
      </c>
      <c r="AD478" s="6">
        <f t="shared" si="117"/>
        <v>0</v>
      </c>
      <c r="AE478" s="6">
        <f t="shared" si="118"/>
        <v>0</v>
      </c>
      <c r="AF478" s="6">
        <f t="shared" si="119"/>
        <v>0</v>
      </c>
      <c r="AG478" s="6">
        <f t="shared" si="120"/>
        <v>0</v>
      </c>
      <c r="AH478" s="6">
        <f t="shared" si="109"/>
        <v>0</v>
      </c>
      <c r="AI478" s="3"/>
      <c r="AJ478" s="3" t="e">
        <f>_xlfn.XLOOKUP(K478,工作表1!A:A,工作表1!C:C)</f>
        <v>#N/A</v>
      </c>
      <c r="AK478" s="3"/>
      <c r="AL478" s="6">
        <f t="shared" si="110"/>
        <v>6</v>
      </c>
      <c r="AM478" s="6">
        <f t="shared" si="111"/>
        <v>0</v>
      </c>
      <c r="AN478" s="6">
        <f t="shared" si="112"/>
        <v>0</v>
      </c>
      <c r="AO478" s="6">
        <f t="shared" si="113"/>
        <v>0</v>
      </c>
      <c r="AP478" s="6">
        <f t="shared" si="114"/>
        <v>0</v>
      </c>
      <c r="AQ478" s="6">
        <f t="shared" si="115"/>
        <v>6</v>
      </c>
      <c r="AR478" s="6"/>
      <c r="AS478" s="6">
        <v>6</v>
      </c>
      <c r="AT478" s="6"/>
      <c r="AU478" s="6"/>
      <c r="AV478" s="6"/>
      <c r="AW478" s="6"/>
      <c r="AX478" s="6"/>
      <c r="AY478" s="6"/>
      <c r="AZ478" s="6"/>
      <c r="BA478" s="6"/>
      <c r="BB478" s="6"/>
      <c r="BC478" s="6"/>
      <c r="BD478" s="6"/>
      <c r="BE478" s="6"/>
      <c r="BF478" s="6"/>
      <c r="BG478" s="6"/>
      <c r="BH478" s="6"/>
      <c r="BI478" s="6"/>
      <c r="BJ478" s="6"/>
      <c r="BK478" s="6"/>
      <c r="BL478" s="6"/>
      <c r="BM478" s="6"/>
      <c r="BN478" s="6"/>
      <c r="BO478" s="6"/>
      <c r="BP478" s="3">
        <v>6</v>
      </c>
      <c r="BQ478" s="6">
        <f t="shared" si="106"/>
        <v>6</v>
      </c>
      <c r="BS478">
        <v>6</v>
      </c>
    </row>
    <row r="479" spans="1:71" x14ac:dyDescent="0.3">
      <c r="A479" s="3" t="s">
        <v>776</v>
      </c>
      <c r="B479" s="3">
        <v>102</v>
      </c>
      <c r="C479" s="3" t="s">
        <v>795</v>
      </c>
      <c r="D479" s="3">
        <v>1</v>
      </c>
      <c r="E479" s="3" t="s">
        <v>19</v>
      </c>
      <c r="F479" s="3" t="s">
        <v>752</v>
      </c>
      <c r="G479" s="3" t="s">
        <v>19</v>
      </c>
      <c r="H479" s="3" t="s">
        <v>797</v>
      </c>
      <c r="I479" s="3">
        <v>4.55</v>
      </c>
      <c r="J479" s="3" t="s">
        <v>22</v>
      </c>
      <c r="K479" s="3" t="s">
        <v>798</v>
      </c>
      <c r="L479" s="3" t="s">
        <v>24</v>
      </c>
      <c r="M479" s="3">
        <v>36</v>
      </c>
      <c r="N479" s="6"/>
      <c r="O479" s="3">
        <v>25.7</v>
      </c>
      <c r="P479" s="3">
        <v>25.7</v>
      </c>
      <c r="Q479" s="3">
        <v>25.7</v>
      </c>
      <c r="R479" s="3">
        <v>0</v>
      </c>
      <c r="S479" s="3">
        <v>0</v>
      </c>
      <c r="T479" s="3">
        <v>0</v>
      </c>
      <c r="U479" s="3">
        <v>0</v>
      </c>
      <c r="V479" s="3">
        <f t="shared" si="107"/>
        <v>25.7</v>
      </c>
      <c r="W479" s="3">
        <v>30</v>
      </c>
      <c r="X479" s="3">
        <v>0</v>
      </c>
      <c r="Y479" s="3">
        <v>0</v>
      </c>
      <c r="Z479" s="3">
        <v>0</v>
      </c>
      <c r="AA479" s="3">
        <v>0</v>
      </c>
      <c r="AB479" s="3">
        <f t="shared" si="108"/>
        <v>30</v>
      </c>
      <c r="AC479" s="6">
        <f t="shared" si="116"/>
        <v>0</v>
      </c>
      <c r="AD479" s="6">
        <f t="shared" si="117"/>
        <v>0</v>
      </c>
      <c r="AE479" s="6">
        <f t="shared" si="118"/>
        <v>0</v>
      </c>
      <c r="AF479" s="6">
        <f t="shared" si="119"/>
        <v>0</v>
      </c>
      <c r="AG479" s="6">
        <f t="shared" si="120"/>
        <v>0</v>
      </c>
      <c r="AH479" s="6">
        <f t="shared" si="109"/>
        <v>0</v>
      </c>
      <c r="AI479" s="3"/>
      <c r="AJ479" s="3" t="e">
        <f>_xlfn.XLOOKUP(K479,工作表1!A:A,工作表1!C:C)</f>
        <v>#N/A</v>
      </c>
      <c r="AK479" s="3"/>
      <c r="AL479" s="6">
        <f t="shared" si="110"/>
        <v>30</v>
      </c>
      <c r="AM479" s="6">
        <f t="shared" si="111"/>
        <v>0</v>
      </c>
      <c r="AN479" s="6">
        <f t="shared" si="112"/>
        <v>0</v>
      </c>
      <c r="AO479" s="6">
        <f t="shared" si="113"/>
        <v>0</v>
      </c>
      <c r="AP479" s="6">
        <f t="shared" si="114"/>
        <v>0</v>
      </c>
      <c r="AQ479" s="6">
        <f t="shared" si="115"/>
        <v>30</v>
      </c>
      <c r="AR479" s="6"/>
      <c r="AS479" s="6">
        <v>30</v>
      </c>
      <c r="AT479" s="6"/>
      <c r="AU479" s="6"/>
      <c r="AV479" s="6"/>
      <c r="AW479" s="6"/>
      <c r="AX479" s="6"/>
      <c r="AY479" s="6"/>
      <c r="AZ479" s="6"/>
      <c r="BA479" s="6"/>
      <c r="BB479" s="6"/>
      <c r="BC479" s="6"/>
      <c r="BD479" s="6"/>
      <c r="BE479" s="6"/>
      <c r="BF479" s="6"/>
      <c r="BG479" s="6"/>
      <c r="BH479" s="6"/>
      <c r="BI479" s="6"/>
      <c r="BJ479" s="6"/>
      <c r="BK479" s="6"/>
      <c r="BL479" s="6"/>
      <c r="BM479" s="6"/>
      <c r="BN479" s="6"/>
      <c r="BO479" s="6"/>
      <c r="BP479" s="3">
        <v>30</v>
      </c>
      <c r="BQ479" s="6">
        <f t="shared" si="106"/>
        <v>30</v>
      </c>
      <c r="BS479" s="8">
        <v>30</v>
      </c>
    </row>
    <row r="480" spans="1:71" x14ac:dyDescent="0.3">
      <c r="A480" s="3" t="s">
        <v>776</v>
      </c>
      <c r="B480" s="3">
        <v>102</v>
      </c>
      <c r="C480" s="3" t="s">
        <v>795</v>
      </c>
      <c r="D480" s="3">
        <v>0.75</v>
      </c>
      <c r="E480" s="3" t="s">
        <v>19</v>
      </c>
      <c r="F480" s="3" t="s">
        <v>752</v>
      </c>
      <c r="G480" s="3" t="s">
        <v>19</v>
      </c>
      <c r="H480" s="3" t="s">
        <v>799</v>
      </c>
      <c r="I480" s="3">
        <v>3.91</v>
      </c>
      <c r="J480" s="3" t="s">
        <v>22</v>
      </c>
      <c r="K480" s="3" t="s">
        <v>800</v>
      </c>
      <c r="L480" s="3" t="s">
        <v>24</v>
      </c>
      <c r="M480" s="3">
        <v>6</v>
      </c>
      <c r="N480" s="6"/>
      <c r="O480" s="3">
        <v>1.4</v>
      </c>
      <c r="P480" s="3">
        <v>1.4000000000000001</v>
      </c>
      <c r="Q480" s="3">
        <v>1.4000000000000001</v>
      </c>
      <c r="R480" s="3">
        <v>0</v>
      </c>
      <c r="S480" s="3">
        <v>0</v>
      </c>
      <c r="T480" s="3">
        <v>0</v>
      </c>
      <c r="U480" s="3">
        <v>0</v>
      </c>
      <c r="V480" s="3">
        <f t="shared" si="107"/>
        <v>1.4000000000000001</v>
      </c>
      <c r="W480" s="3">
        <v>6</v>
      </c>
      <c r="X480" s="3">
        <v>0</v>
      </c>
      <c r="Y480" s="3">
        <v>0</v>
      </c>
      <c r="Z480" s="3">
        <v>0</v>
      </c>
      <c r="AA480" s="3">
        <v>0</v>
      </c>
      <c r="AB480" s="3">
        <f t="shared" si="108"/>
        <v>6</v>
      </c>
      <c r="AC480" s="6">
        <f t="shared" si="116"/>
        <v>0</v>
      </c>
      <c r="AD480" s="6">
        <f t="shared" si="117"/>
        <v>0</v>
      </c>
      <c r="AE480" s="6">
        <f t="shared" si="118"/>
        <v>0</v>
      </c>
      <c r="AF480" s="6">
        <f t="shared" si="119"/>
        <v>0</v>
      </c>
      <c r="AG480" s="6">
        <f t="shared" si="120"/>
        <v>0</v>
      </c>
      <c r="AH480" s="6">
        <f t="shared" si="109"/>
        <v>0</v>
      </c>
      <c r="AI480" s="3"/>
      <c r="AJ480" s="3" t="e">
        <f>_xlfn.XLOOKUP(K480,工作表1!A:A,工作表1!C:C)</f>
        <v>#N/A</v>
      </c>
      <c r="AK480" s="3"/>
      <c r="AL480" s="6">
        <f t="shared" si="110"/>
        <v>6</v>
      </c>
      <c r="AM480" s="6">
        <f t="shared" si="111"/>
        <v>0</v>
      </c>
      <c r="AN480" s="6">
        <f t="shared" si="112"/>
        <v>0</v>
      </c>
      <c r="AO480" s="6">
        <f t="shared" si="113"/>
        <v>0</v>
      </c>
      <c r="AP480" s="6">
        <f t="shared" si="114"/>
        <v>0</v>
      </c>
      <c r="AQ480" s="6">
        <f t="shared" si="115"/>
        <v>6</v>
      </c>
      <c r="AR480" s="6"/>
      <c r="AS480" s="6">
        <v>6</v>
      </c>
      <c r="AT480" s="6"/>
      <c r="AU480" s="6"/>
      <c r="AV480" s="6"/>
      <c r="AW480" s="6"/>
      <c r="AX480" s="6"/>
      <c r="AY480" s="6"/>
      <c r="AZ480" s="6"/>
      <c r="BA480" s="6"/>
      <c r="BB480" s="6"/>
      <c r="BC480" s="6"/>
      <c r="BD480" s="6"/>
      <c r="BE480" s="6"/>
      <c r="BF480" s="6"/>
      <c r="BG480" s="6"/>
      <c r="BH480" s="6"/>
      <c r="BI480" s="6"/>
      <c r="BJ480" s="6"/>
      <c r="BK480" s="6"/>
      <c r="BL480" s="6"/>
      <c r="BM480" s="6"/>
      <c r="BN480" s="6"/>
      <c r="BO480" s="6"/>
      <c r="BP480" s="3">
        <v>6</v>
      </c>
      <c r="BQ480" s="6">
        <f t="shared" si="106"/>
        <v>6</v>
      </c>
      <c r="BS480">
        <v>6</v>
      </c>
    </row>
    <row r="481" spans="1:74" x14ac:dyDescent="0.3">
      <c r="A481" s="3" t="s">
        <v>776</v>
      </c>
      <c r="B481" s="3">
        <v>102</v>
      </c>
      <c r="C481" s="3" t="s">
        <v>795</v>
      </c>
      <c r="D481" s="3">
        <v>0.5</v>
      </c>
      <c r="E481" s="3" t="s">
        <v>19</v>
      </c>
      <c r="F481" s="3" t="s">
        <v>752</v>
      </c>
      <c r="G481" s="3" t="s">
        <v>19</v>
      </c>
      <c r="H481" s="3" t="s">
        <v>801</v>
      </c>
      <c r="I481" s="3">
        <v>3.73</v>
      </c>
      <c r="J481" s="3" t="s">
        <v>22</v>
      </c>
      <c r="K481" s="3" t="s">
        <v>802</v>
      </c>
      <c r="L481" s="3" t="s">
        <v>24</v>
      </c>
      <c r="M481" s="3">
        <v>6</v>
      </c>
      <c r="N481" s="6"/>
      <c r="O481" s="3">
        <v>0.3</v>
      </c>
      <c r="P481" s="3">
        <v>0.3</v>
      </c>
      <c r="Q481" s="3">
        <v>0.3</v>
      </c>
      <c r="R481" s="3">
        <v>0</v>
      </c>
      <c r="S481" s="3">
        <v>0</v>
      </c>
      <c r="T481" s="3">
        <v>0</v>
      </c>
      <c r="U481" s="3">
        <v>0</v>
      </c>
      <c r="V481" s="3">
        <f t="shared" si="107"/>
        <v>0.3</v>
      </c>
      <c r="W481" s="3">
        <v>6</v>
      </c>
      <c r="X481" s="3">
        <v>0</v>
      </c>
      <c r="Y481" s="3">
        <v>0</v>
      </c>
      <c r="Z481" s="3">
        <v>0</v>
      </c>
      <c r="AA481" s="3">
        <v>0</v>
      </c>
      <c r="AB481" s="3">
        <f t="shared" si="108"/>
        <v>6</v>
      </c>
      <c r="AC481" s="6">
        <f t="shared" si="116"/>
        <v>0</v>
      </c>
      <c r="AD481" s="6">
        <f t="shared" si="117"/>
        <v>0</v>
      </c>
      <c r="AE481" s="6">
        <f t="shared" si="118"/>
        <v>0</v>
      </c>
      <c r="AF481" s="6">
        <f t="shared" si="119"/>
        <v>0</v>
      </c>
      <c r="AG481" s="6">
        <f t="shared" si="120"/>
        <v>0</v>
      </c>
      <c r="AH481" s="6">
        <f t="shared" si="109"/>
        <v>0</v>
      </c>
      <c r="AI481" s="3"/>
      <c r="AJ481" s="3" t="e">
        <f>_xlfn.XLOOKUP(K481,工作表1!A:A,工作表1!C:C)</f>
        <v>#N/A</v>
      </c>
      <c r="AK481" s="3"/>
      <c r="AL481" s="6">
        <f t="shared" si="110"/>
        <v>6</v>
      </c>
      <c r="AM481" s="6">
        <f t="shared" si="111"/>
        <v>0</v>
      </c>
      <c r="AN481" s="6">
        <f t="shared" si="112"/>
        <v>0</v>
      </c>
      <c r="AO481" s="6">
        <f t="shared" si="113"/>
        <v>0</v>
      </c>
      <c r="AP481" s="6">
        <f t="shared" si="114"/>
        <v>0</v>
      </c>
      <c r="AQ481" s="6">
        <f t="shared" si="115"/>
        <v>6</v>
      </c>
      <c r="AR481" s="6"/>
      <c r="AS481" s="6">
        <v>6</v>
      </c>
      <c r="AT481" s="6"/>
      <c r="AU481" s="6"/>
      <c r="AV481" s="6"/>
      <c r="AW481" s="6"/>
      <c r="AX481" s="6"/>
      <c r="AY481" s="6"/>
      <c r="AZ481" s="6"/>
      <c r="BA481" s="6"/>
      <c r="BB481" s="6"/>
      <c r="BC481" s="6"/>
      <c r="BD481" s="6"/>
      <c r="BE481" s="6"/>
      <c r="BF481" s="6"/>
      <c r="BG481" s="6"/>
      <c r="BH481" s="6"/>
      <c r="BI481" s="6"/>
      <c r="BJ481" s="6"/>
      <c r="BK481" s="6"/>
      <c r="BL481" s="6"/>
      <c r="BM481" s="6"/>
      <c r="BN481" s="6"/>
      <c r="BO481" s="6"/>
      <c r="BP481" s="3">
        <v>6</v>
      </c>
      <c r="BQ481" s="6">
        <f t="shared" si="106"/>
        <v>6</v>
      </c>
      <c r="BS481">
        <v>6</v>
      </c>
    </row>
    <row r="482" spans="1:74" x14ac:dyDescent="0.3">
      <c r="A482" s="3" t="s">
        <v>776</v>
      </c>
      <c r="B482" s="3">
        <v>301</v>
      </c>
      <c r="C482" s="3" t="s">
        <v>803</v>
      </c>
      <c r="D482" s="3">
        <v>1</v>
      </c>
      <c r="E482" s="3" t="s">
        <v>19</v>
      </c>
      <c r="F482" s="3" t="s">
        <v>19</v>
      </c>
      <c r="G482" s="3" t="s">
        <v>19</v>
      </c>
      <c r="H482" s="3" t="s">
        <v>101</v>
      </c>
      <c r="I482" s="3"/>
      <c r="J482" s="3" t="s">
        <v>91</v>
      </c>
      <c r="K482" s="3" t="s">
        <v>804</v>
      </c>
      <c r="L482" s="3" t="s">
        <v>24</v>
      </c>
      <c r="M482" s="3">
        <v>1</v>
      </c>
      <c r="N482" s="6"/>
      <c r="O482" s="3">
        <v>1</v>
      </c>
      <c r="P482" s="3">
        <v>1</v>
      </c>
      <c r="Q482" s="3">
        <v>1</v>
      </c>
      <c r="R482" s="3">
        <v>0</v>
      </c>
      <c r="S482" s="3">
        <v>0</v>
      </c>
      <c r="T482" s="3">
        <v>0</v>
      </c>
      <c r="U482" s="3">
        <v>0</v>
      </c>
      <c r="V482" s="3">
        <f t="shared" si="107"/>
        <v>1</v>
      </c>
      <c r="W482" s="3">
        <v>1</v>
      </c>
      <c r="X482" s="3">
        <v>0</v>
      </c>
      <c r="Y482" s="3">
        <v>0</v>
      </c>
      <c r="Z482" s="3">
        <v>0</v>
      </c>
      <c r="AA482" s="3">
        <v>0</v>
      </c>
      <c r="AB482" s="3">
        <f t="shared" si="108"/>
        <v>1</v>
      </c>
      <c r="AC482" s="6">
        <f t="shared" si="116"/>
        <v>0</v>
      </c>
      <c r="AD482" s="6">
        <f t="shared" si="117"/>
        <v>0</v>
      </c>
      <c r="AE482" s="6">
        <f t="shared" si="118"/>
        <v>0</v>
      </c>
      <c r="AF482" s="6">
        <f t="shared" si="119"/>
        <v>0</v>
      </c>
      <c r="AG482" s="6">
        <f t="shared" si="120"/>
        <v>0</v>
      </c>
      <c r="AH482" s="6">
        <f t="shared" si="109"/>
        <v>0</v>
      </c>
      <c r="AI482" s="3"/>
      <c r="AJ482" s="3" t="e">
        <f>_xlfn.XLOOKUP(K482,工作表1!A:A,工作表1!C:C)</f>
        <v>#N/A</v>
      </c>
      <c r="AK482" s="3"/>
      <c r="AL482" s="6">
        <f t="shared" si="110"/>
        <v>1</v>
      </c>
      <c r="AM482" s="6">
        <f t="shared" si="111"/>
        <v>0</v>
      </c>
      <c r="AN482" s="6">
        <f t="shared" si="112"/>
        <v>0</v>
      </c>
      <c r="AO482" s="6">
        <f t="shared" si="113"/>
        <v>0</v>
      </c>
      <c r="AP482" s="6">
        <f t="shared" si="114"/>
        <v>0</v>
      </c>
      <c r="AQ482" s="6">
        <f t="shared" si="115"/>
        <v>1</v>
      </c>
      <c r="AR482" s="6">
        <v>1</v>
      </c>
      <c r="AS482" s="6"/>
      <c r="AT482" s="6"/>
      <c r="AU482" s="6"/>
      <c r="AV482" s="6"/>
      <c r="AW482" s="6"/>
      <c r="AX482" s="6"/>
      <c r="AY482" s="6"/>
      <c r="AZ482" s="6"/>
      <c r="BA482" s="6"/>
      <c r="BB482" s="6"/>
      <c r="BC482" s="6"/>
      <c r="BD482" s="6"/>
      <c r="BE482" s="6"/>
      <c r="BF482" s="6"/>
      <c r="BG482" s="6"/>
      <c r="BH482" s="6"/>
      <c r="BI482" s="6"/>
      <c r="BJ482" s="6"/>
      <c r="BK482" s="6"/>
      <c r="BL482" s="6"/>
      <c r="BM482" s="6"/>
      <c r="BN482" s="6"/>
      <c r="BO482" s="6"/>
      <c r="BP482" s="3">
        <v>1</v>
      </c>
      <c r="BQ482" s="6">
        <f t="shared" si="106"/>
        <v>1</v>
      </c>
      <c r="BR482" s="8">
        <v>1</v>
      </c>
    </row>
    <row r="483" spans="1:74" x14ac:dyDescent="0.3">
      <c r="A483" s="3" t="s">
        <v>776</v>
      </c>
      <c r="B483" s="3">
        <v>303</v>
      </c>
      <c r="C483" s="3" t="s">
        <v>805</v>
      </c>
      <c r="D483" s="3">
        <v>1</v>
      </c>
      <c r="E483" s="3" t="s">
        <v>19</v>
      </c>
      <c r="F483" s="3" t="s">
        <v>19</v>
      </c>
      <c r="G483" s="3" t="s">
        <v>19</v>
      </c>
      <c r="H483" s="3" t="s">
        <v>101</v>
      </c>
      <c r="I483" s="3"/>
      <c r="J483" s="3" t="s">
        <v>91</v>
      </c>
      <c r="K483" s="3" t="s">
        <v>806</v>
      </c>
      <c r="L483" s="3" t="s">
        <v>24</v>
      </c>
      <c r="M483" s="3">
        <v>20</v>
      </c>
      <c r="N483" s="6"/>
      <c r="O483" s="3">
        <v>13</v>
      </c>
      <c r="P483" s="3">
        <v>13</v>
      </c>
      <c r="Q483" s="3">
        <v>13</v>
      </c>
      <c r="R483" s="3">
        <v>0</v>
      </c>
      <c r="S483" s="3">
        <v>0</v>
      </c>
      <c r="T483" s="3">
        <v>0</v>
      </c>
      <c r="U483" s="3">
        <v>0</v>
      </c>
      <c r="V483" s="3">
        <f t="shared" si="107"/>
        <v>13</v>
      </c>
      <c r="W483" s="3">
        <v>13</v>
      </c>
      <c r="X483" s="3">
        <v>0</v>
      </c>
      <c r="Y483" s="3">
        <v>0</v>
      </c>
      <c r="Z483" s="3">
        <v>0</v>
      </c>
      <c r="AA483" s="3">
        <v>0</v>
      </c>
      <c r="AB483" s="3">
        <f t="shared" si="108"/>
        <v>13</v>
      </c>
      <c r="AC483" s="6">
        <f t="shared" si="116"/>
        <v>0</v>
      </c>
      <c r="AD483" s="6">
        <f t="shared" si="117"/>
        <v>0</v>
      </c>
      <c r="AE483" s="6">
        <f t="shared" si="118"/>
        <v>0</v>
      </c>
      <c r="AF483" s="6">
        <f t="shared" si="119"/>
        <v>0</v>
      </c>
      <c r="AG483" s="6">
        <f t="shared" si="120"/>
        <v>0</v>
      </c>
      <c r="AH483" s="6">
        <f t="shared" si="109"/>
        <v>0</v>
      </c>
      <c r="AI483" s="3"/>
      <c r="AJ483" s="3" t="e">
        <f>_xlfn.XLOOKUP(K483,工作表1!A:A,工作表1!C:C)</f>
        <v>#N/A</v>
      </c>
      <c r="AK483" s="3"/>
      <c r="AL483" s="6">
        <f t="shared" si="110"/>
        <v>13</v>
      </c>
      <c r="AM483" s="6">
        <f t="shared" si="111"/>
        <v>0</v>
      </c>
      <c r="AN483" s="6">
        <f t="shared" si="112"/>
        <v>0</v>
      </c>
      <c r="AO483" s="6">
        <f t="shared" si="113"/>
        <v>0</v>
      </c>
      <c r="AP483" s="6">
        <f t="shared" si="114"/>
        <v>0</v>
      </c>
      <c r="AQ483" s="6">
        <f t="shared" si="115"/>
        <v>13</v>
      </c>
      <c r="AR483" s="6">
        <v>13</v>
      </c>
      <c r="AS483" s="6"/>
      <c r="AT483" s="6"/>
      <c r="AU483" s="6"/>
      <c r="AV483" s="6"/>
      <c r="AW483" s="6"/>
      <c r="AX483" s="6"/>
      <c r="AY483" s="6"/>
      <c r="AZ483" s="6"/>
      <c r="BA483" s="6"/>
      <c r="BB483" s="6"/>
      <c r="BC483" s="6"/>
      <c r="BD483" s="6"/>
      <c r="BE483" s="6"/>
      <c r="BF483" s="6"/>
      <c r="BG483" s="6"/>
      <c r="BH483" s="6"/>
      <c r="BI483" s="6"/>
      <c r="BJ483" s="6"/>
      <c r="BK483" s="6"/>
      <c r="BL483" s="6"/>
      <c r="BM483" s="6"/>
      <c r="BN483" s="6"/>
      <c r="BO483" s="6"/>
      <c r="BP483" s="3">
        <v>13</v>
      </c>
      <c r="BQ483" s="6">
        <f t="shared" si="106"/>
        <v>13</v>
      </c>
      <c r="BR483" s="8">
        <v>13</v>
      </c>
    </row>
    <row r="484" spans="1:74" x14ac:dyDescent="0.3">
      <c r="A484" s="3" t="s">
        <v>776</v>
      </c>
      <c r="B484" s="3">
        <v>303</v>
      </c>
      <c r="C484" s="3" t="s">
        <v>805</v>
      </c>
      <c r="D484" s="3">
        <v>0.75</v>
      </c>
      <c r="E484" s="3" t="s">
        <v>19</v>
      </c>
      <c r="F484" s="3" t="s">
        <v>19</v>
      </c>
      <c r="G484" s="3" t="s">
        <v>19</v>
      </c>
      <c r="H484" s="3" t="s">
        <v>103</v>
      </c>
      <c r="I484" s="3"/>
      <c r="J484" s="3" t="s">
        <v>91</v>
      </c>
      <c r="K484" s="3" t="s">
        <v>807</v>
      </c>
      <c r="L484" s="3" t="s">
        <v>24</v>
      </c>
      <c r="M484" s="3">
        <v>6</v>
      </c>
      <c r="N484" s="6"/>
      <c r="O484" s="3">
        <v>4</v>
      </c>
      <c r="P484" s="3">
        <v>4</v>
      </c>
      <c r="Q484" s="3">
        <v>4</v>
      </c>
      <c r="R484" s="3">
        <v>0</v>
      </c>
      <c r="S484" s="3">
        <v>0</v>
      </c>
      <c r="T484" s="3">
        <v>0</v>
      </c>
      <c r="U484" s="3">
        <v>0</v>
      </c>
      <c r="V484" s="3">
        <f t="shared" si="107"/>
        <v>4</v>
      </c>
      <c r="W484" s="3">
        <v>4</v>
      </c>
      <c r="X484" s="3">
        <v>0</v>
      </c>
      <c r="Y484" s="3">
        <v>0</v>
      </c>
      <c r="Z484" s="3">
        <v>0</v>
      </c>
      <c r="AA484" s="3">
        <v>0</v>
      </c>
      <c r="AB484" s="3">
        <f t="shared" si="108"/>
        <v>4</v>
      </c>
      <c r="AC484" s="6">
        <f t="shared" si="116"/>
        <v>0</v>
      </c>
      <c r="AD484" s="6">
        <f t="shared" si="117"/>
        <v>0</v>
      </c>
      <c r="AE484" s="6">
        <f t="shared" si="118"/>
        <v>0</v>
      </c>
      <c r="AF484" s="6">
        <f t="shared" si="119"/>
        <v>0</v>
      </c>
      <c r="AG484" s="6">
        <f t="shared" si="120"/>
        <v>0</v>
      </c>
      <c r="AH484" s="6">
        <f t="shared" si="109"/>
        <v>0</v>
      </c>
      <c r="AI484" s="3"/>
      <c r="AJ484" s="3" t="e">
        <f>_xlfn.XLOOKUP(K484,工作表1!A:A,工作表1!C:C)</f>
        <v>#N/A</v>
      </c>
      <c r="AK484" s="3"/>
      <c r="AL484" s="6">
        <f t="shared" si="110"/>
        <v>4</v>
      </c>
      <c r="AM484" s="6">
        <f t="shared" si="111"/>
        <v>0</v>
      </c>
      <c r="AN484" s="6">
        <f t="shared" si="112"/>
        <v>0</v>
      </c>
      <c r="AO484" s="6">
        <f t="shared" si="113"/>
        <v>0</v>
      </c>
      <c r="AP484" s="6">
        <f t="shared" si="114"/>
        <v>0</v>
      </c>
      <c r="AQ484" s="6">
        <f t="shared" si="115"/>
        <v>4</v>
      </c>
      <c r="AR484" s="6">
        <v>4</v>
      </c>
      <c r="AS484" s="6"/>
      <c r="AT484" s="6"/>
      <c r="AU484" s="6"/>
      <c r="AV484" s="6"/>
      <c r="AW484" s="6"/>
      <c r="AX484" s="6"/>
      <c r="AY484" s="6"/>
      <c r="AZ484" s="6"/>
      <c r="BA484" s="6"/>
      <c r="BB484" s="6"/>
      <c r="BC484" s="6"/>
      <c r="BD484" s="6"/>
      <c r="BE484" s="6"/>
      <c r="BF484" s="6"/>
      <c r="BG484" s="6"/>
      <c r="BH484" s="6"/>
      <c r="BI484" s="6"/>
      <c r="BJ484" s="6"/>
      <c r="BK484" s="6"/>
      <c r="BL484" s="6"/>
      <c r="BM484" s="6"/>
      <c r="BN484" s="6"/>
      <c r="BO484" s="6"/>
      <c r="BP484" s="3">
        <v>4</v>
      </c>
      <c r="BQ484" s="6">
        <f t="shared" si="106"/>
        <v>4</v>
      </c>
      <c r="BR484" s="8">
        <v>4</v>
      </c>
    </row>
    <row r="485" spans="1:74" x14ac:dyDescent="0.3">
      <c r="A485" s="3" t="s">
        <v>776</v>
      </c>
      <c r="B485" s="3">
        <v>303</v>
      </c>
      <c r="C485" s="3" t="s">
        <v>808</v>
      </c>
      <c r="D485" s="3">
        <v>6</v>
      </c>
      <c r="E485" s="3" t="s">
        <v>19</v>
      </c>
      <c r="F485" s="3" t="s">
        <v>778</v>
      </c>
      <c r="G485" s="3" t="s">
        <v>19</v>
      </c>
      <c r="H485" s="3" t="s">
        <v>779</v>
      </c>
      <c r="I485" s="3">
        <v>3.4</v>
      </c>
      <c r="J485" s="3" t="s">
        <v>91</v>
      </c>
      <c r="K485" s="3" t="s">
        <v>809</v>
      </c>
      <c r="L485" s="3" t="s">
        <v>24</v>
      </c>
      <c r="M485" s="3">
        <v>1</v>
      </c>
      <c r="N485" s="6"/>
      <c r="O485" s="3">
        <v>1</v>
      </c>
      <c r="P485" s="3">
        <v>1</v>
      </c>
      <c r="Q485" s="3">
        <v>1</v>
      </c>
      <c r="R485" s="3">
        <v>0</v>
      </c>
      <c r="S485" s="3">
        <v>0</v>
      </c>
      <c r="T485" s="3">
        <v>0</v>
      </c>
      <c r="U485" s="3">
        <v>0</v>
      </c>
      <c r="V485" s="3">
        <f t="shared" si="107"/>
        <v>1</v>
      </c>
      <c r="W485" s="3">
        <v>1</v>
      </c>
      <c r="X485" s="3">
        <v>0</v>
      </c>
      <c r="Y485" s="3">
        <v>0</v>
      </c>
      <c r="Z485" s="3">
        <v>0</v>
      </c>
      <c r="AA485" s="3">
        <v>0</v>
      </c>
      <c r="AB485" s="3">
        <f t="shared" si="108"/>
        <v>1</v>
      </c>
      <c r="AC485" s="6">
        <f t="shared" si="116"/>
        <v>0</v>
      </c>
      <c r="AD485" s="6">
        <f t="shared" si="117"/>
        <v>0</v>
      </c>
      <c r="AE485" s="6">
        <f t="shared" si="118"/>
        <v>0</v>
      </c>
      <c r="AF485" s="6">
        <f t="shared" si="119"/>
        <v>0</v>
      </c>
      <c r="AG485" s="6">
        <f t="shared" si="120"/>
        <v>0</v>
      </c>
      <c r="AH485" s="6">
        <f t="shared" si="109"/>
        <v>0</v>
      </c>
      <c r="AI485" s="3"/>
      <c r="AJ485" s="3" t="e">
        <f>_xlfn.XLOOKUP(K485,工作表1!A:A,工作表1!C:C)</f>
        <v>#N/A</v>
      </c>
      <c r="AK485" s="3"/>
      <c r="AL485" s="6">
        <f t="shared" si="110"/>
        <v>1</v>
      </c>
      <c r="AM485" s="6">
        <f t="shared" si="111"/>
        <v>0</v>
      </c>
      <c r="AN485" s="6">
        <f t="shared" si="112"/>
        <v>0</v>
      </c>
      <c r="AO485" s="6">
        <f t="shared" si="113"/>
        <v>0</v>
      </c>
      <c r="AP485" s="6">
        <f t="shared" si="114"/>
        <v>0</v>
      </c>
      <c r="AQ485" s="6">
        <f t="shared" si="115"/>
        <v>1</v>
      </c>
      <c r="AR485" s="6"/>
      <c r="AS485" s="6"/>
      <c r="AT485" s="6">
        <v>1</v>
      </c>
      <c r="AU485" s="6"/>
      <c r="AV485" s="6"/>
      <c r="AW485" s="6"/>
      <c r="AX485" s="6"/>
      <c r="AY485" s="6"/>
      <c r="AZ485" s="6"/>
      <c r="BA485" s="6"/>
      <c r="BB485" s="6"/>
      <c r="BC485" s="6"/>
      <c r="BD485" s="6"/>
      <c r="BE485" s="6"/>
      <c r="BF485" s="6"/>
      <c r="BG485" s="6"/>
      <c r="BH485" s="6"/>
      <c r="BI485" s="6"/>
      <c r="BJ485" s="6"/>
      <c r="BK485" s="6"/>
      <c r="BL485" s="6"/>
      <c r="BM485" s="6"/>
      <c r="BN485" s="6"/>
      <c r="BO485" s="6"/>
      <c r="BP485" s="3">
        <v>1</v>
      </c>
      <c r="BQ485" s="6">
        <f t="shared" si="106"/>
        <v>1</v>
      </c>
      <c r="BU485">
        <v>1</v>
      </c>
    </row>
    <row r="486" spans="1:74" x14ac:dyDescent="0.3">
      <c r="A486" s="3" t="s">
        <v>776</v>
      </c>
      <c r="B486" s="3">
        <v>303</v>
      </c>
      <c r="C486" s="3" t="s">
        <v>808</v>
      </c>
      <c r="D486" s="3">
        <v>6</v>
      </c>
      <c r="E486" s="3" t="s">
        <v>19</v>
      </c>
      <c r="F486" s="3" t="s">
        <v>41</v>
      </c>
      <c r="G486" s="3" t="s">
        <v>19</v>
      </c>
      <c r="H486" s="3" t="s">
        <v>42</v>
      </c>
      <c r="I486" s="3">
        <v>18.260000000000002</v>
      </c>
      <c r="J486" s="3" t="s">
        <v>91</v>
      </c>
      <c r="K486" s="3" t="s">
        <v>810</v>
      </c>
      <c r="L486" s="3" t="s">
        <v>24</v>
      </c>
      <c r="M486" s="3">
        <v>1</v>
      </c>
      <c r="N486" s="6"/>
      <c r="O486" s="3">
        <v>1</v>
      </c>
      <c r="P486" s="3">
        <v>1</v>
      </c>
      <c r="Q486" s="3">
        <v>1</v>
      </c>
      <c r="R486" s="3">
        <v>0</v>
      </c>
      <c r="S486" s="3">
        <v>0</v>
      </c>
      <c r="T486" s="3">
        <v>0</v>
      </c>
      <c r="U486" s="3">
        <v>0</v>
      </c>
      <c r="V486" s="3">
        <f t="shared" si="107"/>
        <v>1</v>
      </c>
      <c r="W486" s="3">
        <v>1</v>
      </c>
      <c r="X486" s="3">
        <v>0</v>
      </c>
      <c r="Y486" s="3">
        <v>0</v>
      </c>
      <c r="Z486" s="3">
        <v>0</v>
      </c>
      <c r="AA486" s="3">
        <v>0</v>
      </c>
      <c r="AB486" s="3">
        <f t="shared" si="108"/>
        <v>1</v>
      </c>
      <c r="AC486" s="6">
        <f t="shared" si="116"/>
        <v>0</v>
      </c>
      <c r="AD486" s="6">
        <f t="shared" si="117"/>
        <v>0</v>
      </c>
      <c r="AE486" s="6">
        <f t="shared" si="118"/>
        <v>0</v>
      </c>
      <c r="AF486" s="6">
        <f t="shared" si="119"/>
        <v>0</v>
      </c>
      <c r="AG486" s="6">
        <f t="shared" si="120"/>
        <v>0</v>
      </c>
      <c r="AH486" s="6">
        <f t="shared" si="109"/>
        <v>0</v>
      </c>
      <c r="AI486" s="3"/>
      <c r="AJ486" s="3" t="e">
        <f>_xlfn.XLOOKUP(K486,工作表1!A:A,工作表1!C:C)</f>
        <v>#N/A</v>
      </c>
      <c r="AK486" s="3"/>
      <c r="AL486" s="6">
        <f t="shared" si="110"/>
        <v>1</v>
      </c>
      <c r="AM486" s="6">
        <f t="shared" si="111"/>
        <v>0</v>
      </c>
      <c r="AN486" s="6">
        <f t="shared" si="112"/>
        <v>0</v>
      </c>
      <c r="AO486" s="6">
        <f t="shared" si="113"/>
        <v>0</v>
      </c>
      <c r="AP486" s="6">
        <f t="shared" si="114"/>
        <v>0</v>
      </c>
      <c r="AQ486" s="6">
        <f t="shared" si="115"/>
        <v>1</v>
      </c>
      <c r="AR486" s="6"/>
      <c r="AS486" s="6"/>
      <c r="AT486" s="6"/>
      <c r="AU486" s="6">
        <v>1</v>
      </c>
      <c r="AV486" s="6"/>
      <c r="AW486" s="6"/>
      <c r="AX486" s="6"/>
      <c r="AY486" s="6"/>
      <c r="AZ486" s="6"/>
      <c r="BA486" s="6"/>
      <c r="BB486" s="6"/>
      <c r="BC486" s="6"/>
      <c r="BD486" s="6"/>
      <c r="BE486" s="6"/>
      <c r="BF486" s="6"/>
      <c r="BG486" s="6"/>
      <c r="BH486" s="6"/>
      <c r="BI486" s="6"/>
      <c r="BJ486" s="6"/>
      <c r="BK486" s="6"/>
      <c r="BL486" s="6"/>
      <c r="BM486" s="6"/>
      <c r="BN486" s="6"/>
      <c r="BO486" s="6"/>
      <c r="BP486" s="3">
        <v>1</v>
      </c>
      <c r="BQ486" s="6">
        <f t="shared" si="106"/>
        <v>1</v>
      </c>
      <c r="BV486">
        <v>1</v>
      </c>
    </row>
    <row r="487" spans="1:74" x14ac:dyDescent="0.3">
      <c r="A487" s="3" t="s">
        <v>776</v>
      </c>
      <c r="B487" s="3">
        <v>303</v>
      </c>
      <c r="C487" s="3" t="s">
        <v>808</v>
      </c>
      <c r="D487" s="3">
        <v>4</v>
      </c>
      <c r="E487" s="3" t="s">
        <v>19</v>
      </c>
      <c r="F487" s="3" t="s">
        <v>778</v>
      </c>
      <c r="G487" s="3" t="s">
        <v>19</v>
      </c>
      <c r="H487" s="3" t="s">
        <v>782</v>
      </c>
      <c r="I487" s="3">
        <v>3.05</v>
      </c>
      <c r="J487" s="3" t="s">
        <v>91</v>
      </c>
      <c r="K487" s="3" t="s">
        <v>811</v>
      </c>
      <c r="L487" s="3" t="s">
        <v>24</v>
      </c>
      <c r="M487" s="3">
        <v>5</v>
      </c>
      <c r="N487" s="6"/>
      <c r="O487" s="3">
        <v>5</v>
      </c>
      <c r="P487" s="3">
        <v>5</v>
      </c>
      <c r="Q487" s="3">
        <v>5</v>
      </c>
      <c r="R487" s="3">
        <v>0</v>
      </c>
      <c r="S487" s="3">
        <v>0</v>
      </c>
      <c r="T487" s="3">
        <v>0</v>
      </c>
      <c r="U487" s="3">
        <v>0</v>
      </c>
      <c r="V487" s="3">
        <f t="shared" si="107"/>
        <v>5</v>
      </c>
      <c r="W487" s="3">
        <v>5</v>
      </c>
      <c r="X487" s="3">
        <v>0</v>
      </c>
      <c r="Y487" s="3">
        <v>0</v>
      </c>
      <c r="Z487" s="3">
        <v>0</v>
      </c>
      <c r="AA487" s="3">
        <v>0</v>
      </c>
      <c r="AB487" s="3">
        <f t="shared" si="108"/>
        <v>5</v>
      </c>
      <c r="AC487" s="6">
        <f t="shared" si="116"/>
        <v>0</v>
      </c>
      <c r="AD487" s="6">
        <f t="shared" si="117"/>
        <v>0</v>
      </c>
      <c r="AE487" s="6">
        <f t="shared" si="118"/>
        <v>0</v>
      </c>
      <c r="AF487" s="6">
        <f t="shared" si="119"/>
        <v>0</v>
      </c>
      <c r="AG487" s="6">
        <f t="shared" si="120"/>
        <v>0</v>
      </c>
      <c r="AH487" s="6">
        <f t="shared" si="109"/>
        <v>0</v>
      </c>
      <c r="AI487" s="3"/>
      <c r="AJ487" s="3" t="e">
        <f>_xlfn.XLOOKUP(K487,工作表1!A:A,工作表1!C:C)</f>
        <v>#N/A</v>
      </c>
      <c r="AK487" s="3"/>
      <c r="AL487" s="6">
        <f t="shared" si="110"/>
        <v>5</v>
      </c>
      <c r="AM487" s="6">
        <f t="shared" si="111"/>
        <v>0</v>
      </c>
      <c r="AN487" s="6">
        <f t="shared" si="112"/>
        <v>0</v>
      </c>
      <c r="AO487" s="6">
        <f t="shared" si="113"/>
        <v>0</v>
      </c>
      <c r="AP487" s="6">
        <f t="shared" si="114"/>
        <v>0</v>
      </c>
      <c r="AQ487" s="6">
        <f t="shared" si="115"/>
        <v>5</v>
      </c>
      <c r="AR487" s="6"/>
      <c r="AS487" s="6"/>
      <c r="AT487" s="6">
        <v>5</v>
      </c>
      <c r="AU487" s="6"/>
      <c r="AV487" s="6"/>
      <c r="AW487" s="6"/>
      <c r="AX487" s="6"/>
      <c r="AY487" s="6"/>
      <c r="AZ487" s="6"/>
      <c r="BA487" s="6"/>
      <c r="BB487" s="6"/>
      <c r="BC487" s="6"/>
      <c r="BD487" s="6"/>
      <c r="BE487" s="6"/>
      <c r="BF487" s="6"/>
      <c r="BG487" s="6"/>
      <c r="BH487" s="6"/>
      <c r="BI487" s="6"/>
      <c r="BJ487" s="6"/>
      <c r="BK487" s="6"/>
      <c r="BL487" s="6"/>
      <c r="BM487" s="6"/>
      <c r="BN487" s="6"/>
      <c r="BO487" s="6"/>
      <c r="BP487" s="3">
        <v>5</v>
      </c>
      <c r="BQ487" s="6">
        <f t="shared" si="106"/>
        <v>5</v>
      </c>
      <c r="BU487">
        <v>5</v>
      </c>
    </row>
    <row r="488" spans="1:74" x14ac:dyDescent="0.3">
      <c r="A488" s="3" t="s">
        <v>776</v>
      </c>
      <c r="B488" s="3">
        <v>303</v>
      </c>
      <c r="C488" s="3" t="s">
        <v>808</v>
      </c>
      <c r="D488" s="3">
        <v>3</v>
      </c>
      <c r="E488" s="3" t="s">
        <v>19</v>
      </c>
      <c r="F488" s="3" t="s">
        <v>778</v>
      </c>
      <c r="G488" s="3" t="s">
        <v>19</v>
      </c>
      <c r="H488" s="3" t="s">
        <v>787</v>
      </c>
      <c r="I488" s="3">
        <v>3.05</v>
      </c>
      <c r="J488" s="3" t="s">
        <v>91</v>
      </c>
      <c r="K488" s="3" t="s">
        <v>812</v>
      </c>
      <c r="L488" s="3" t="s">
        <v>24</v>
      </c>
      <c r="M488" s="3">
        <v>23</v>
      </c>
      <c r="N488" s="6"/>
      <c r="O488" s="3">
        <v>7</v>
      </c>
      <c r="P488" s="3">
        <v>7</v>
      </c>
      <c r="Q488" s="3">
        <v>7</v>
      </c>
      <c r="R488" s="3">
        <v>0</v>
      </c>
      <c r="S488" s="3">
        <v>0</v>
      </c>
      <c r="T488" s="3">
        <v>0</v>
      </c>
      <c r="U488" s="3">
        <v>0</v>
      </c>
      <c r="V488" s="3">
        <f t="shared" si="107"/>
        <v>7</v>
      </c>
      <c r="W488" s="3">
        <v>7</v>
      </c>
      <c r="X488" s="3">
        <v>0</v>
      </c>
      <c r="Y488" s="3">
        <v>0</v>
      </c>
      <c r="Z488" s="3">
        <v>0</v>
      </c>
      <c r="AA488" s="3">
        <v>0</v>
      </c>
      <c r="AB488" s="3">
        <f t="shared" si="108"/>
        <v>7</v>
      </c>
      <c r="AC488" s="6">
        <f t="shared" si="116"/>
        <v>0</v>
      </c>
      <c r="AD488" s="6">
        <f t="shared" si="117"/>
        <v>0</v>
      </c>
      <c r="AE488" s="6">
        <f t="shared" si="118"/>
        <v>0</v>
      </c>
      <c r="AF488" s="6">
        <f t="shared" si="119"/>
        <v>0</v>
      </c>
      <c r="AG488" s="6">
        <f t="shared" si="120"/>
        <v>0</v>
      </c>
      <c r="AH488" s="6">
        <f t="shared" si="109"/>
        <v>0</v>
      </c>
      <c r="AI488" s="3"/>
      <c r="AJ488" s="3" t="e">
        <f>_xlfn.XLOOKUP(K488,工作表1!A:A,工作表1!C:C)</f>
        <v>#N/A</v>
      </c>
      <c r="AK488" s="3"/>
      <c r="AL488" s="6">
        <f t="shared" si="110"/>
        <v>7</v>
      </c>
      <c r="AM488" s="6">
        <f t="shared" si="111"/>
        <v>0</v>
      </c>
      <c r="AN488" s="6">
        <f t="shared" si="112"/>
        <v>0</v>
      </c>
      <c r="AO488" s="6">
        <f t="shared" si="113"/>
        <v>0</v>
      </c>
      <c r="AP488" s="6">
        <f t="shared" si="114"/>
        <v>0</v>
      </c>
      <c r="AQ488" s="6">
        <f t="shared" si="115"/>
        <v>7</v>
      </c>
      <c r="AR488" s="6"/>
      <c r="AS488" s="6"/>
      <c r="AT488" s="6">
        <v>7</v>
      </c>
      <c r="AU488" s="6"/>
      <c r="AV488" s="6"/>
      <c r="AW488" s="6"/>
      <c r="AX488" s="6"/>
      <c r="AY488" s="6"/>
      <c r="AZ488" s="6"/>
      <c r="BA488" s="6"/>
      <c r="BB488" s="6"/>
      <c r="BC488" s="6"/>
      <c r="BD488" s="6"/>
      <c r="BE488" s="6"/>
      <c r="BF488" s="6"/>
      <c r="BG488" s="6"/>
      <c r="BH488" s="6"/>
      <c r="BI488" s="6"/>
      <c r="BJ488" s="6"/>
      <c r="BK488" s="6"/>
      <c r="BL488" s="6"/>
      <c r="BM488" s="6"/>
      <c r="BN488" s="6"/>
      <c r="BO488" s="6"/>
      <c r="BP488" s="3">
        <v>7</v>
      </c>
      <c r="BQ488" s="6">
        <f t="shared" si="106"/>
        <v>7</v>
      </c>
      <c r="BU488">
        <v>7</v>
      </c>
    </row>
    <row r="489" spans="1:74" x14ac:dyDescent="0.3">
      <c r="A489" s="3" t="s">
        <v>776</v>
      </c>
      <c r="B489" s="3">
        <v>303</v>
      </c>
      <c r="C489" s="3" t="s">
        <v>808</v>
      </c>
      <c r="D489" s="3">
        <v>1</v>
      </c>
      <c r="E489" s="3" t="s">
        <v>19</v>
      </c>
      <c r="F489" s="3" t="s">
        <v>41</v>
      </c>
      <c r="G489" s="3" t="s">
        <v>19</v>
      </c>
      <c r="H489" s="3" t="s">
        <v>59</v>
      </c>
      <c r="I489" s="3">
        <v>6.35</v>
      </c>
      <c r="J489" s="3" t="s">
        <v>91</v>
      </c>
      <c r="K489" s="3" t="s">
        <v>813</v>
      </c>
      <c r="L489" s="3" t="s">
        <v>24</v>
      </c>
      <c r="M489" s="3">
        <v>7</v>
      </c>
      <c r="N489" s="6"/>
      <c r="O489" s="3">
        <v>7</v>
      </c>
      <c r="P489" s="3">
        <v>7</v>
      </c>
      <c r="Q489" s="3">
        <v>7</v>
      </c>
      <c r="R489" s="3">
        <v>0</v>
      </c>
      <c r="S489" s="3">
        <v>0</v>
      </c>
      <c r="T489" s="3">
        <v>0</v>
      </c>
      <c r="U489" s="3">
        <v>0</v>
      </c>
      <c r="V489" s="3">
        <f t="shared" si="107"/>
        <v>7</v>
      </c>
      <c r="W489" s="3">
        <v>7</v>
      </c>
      <c r="X489" s="3">
        <v>0</v>
      </c>
      <c r="Y489" s="3">
        <v>0</v>
      </c>
      <c r="Z489" s="3">
        <v>0</v>
      </c>
      <c r="AA489" s="3">
        <v>0</v>
      </c>
      <c r="AB489" s="3">
        <f t="shared" si="108"/>
        <v>7</v>
      </c>
      <c r="AC489" s="6">
        <f t="shared" si="116"/>
        <v>0</v>
      </c>
      <c r="AD489" s="6">
        <f t="shared" si="117"/>
        <v>0</v>
      </c>
      <c r="AE489" s="6">
        <f t="shared" si="118"/>
        <v>0</v>
      </c>
      <c r="AF489" s="6">
        <f t="shared" si="119"/>
        <v>0</v>
      </c>
      <c r="AG489" s="6">
        <f t="shared" si="120"/>
        <v>0</v>
      </c>
      <c r="AH489" s="6">
        <f t="shared" si="109"/>
        <v>0</v>
      </c>
      <c r="AI489" s="3"/>
      <c r="AJ489" s="3" t="e">
        <f>_xlfn.XLOOKUP(K489,工作表1!A:A,工作表1!C:C)</f>
        <v>#N/A</v>
      </c>
      <c r="AK489" s="3"/>
      <c r="AL489" s="6">
        <f t="shared" si="110"/>
        <v>7</v>
      </c>
      <c r="AM489" s="6">
        <f t="shared" si="111"/>
        <v>0</v>
      </c>
      <c r="AN489" s="6">
        <f t="shared" si="112"/>
        <v>0</v>
      </c>
      <c r="AO489" s="6">
        <f t="shared" si="113"/>
        <v>0</v>
      </c>
      <c r="AP489" s="6">
        <f t="shared" si="114"/>
        <v>0</v>
      </c>
      <c r="AQ489" s="6">
        <f t="shared" si="115"/>
        <v>7</v>
      </c>
      <c r="AR489" s="6"/>
      <c r="AS489" s="6"/>
      <c r="AT489" s="6"/>
      <c r="AU489" s="6">
        <v>7</v>
      </c>
      <c r="AV489" s="6"/>
      <c r="AW489" s="6"/>
      <c r="AX489" s="6"/>
      <c r="AY489" s="6"/>
      <c r="AZ489" s="6"/>
      <c r="BA489" s="6"/>
      <c r="BB489" s="6"/>
      <c r="BC489" s="6"/>
      <c r="BD489" s="6"/>
      <c r="BE489" s="6"/>
      <c r="BF489" s="6"/>
      <c r="BG489" s="6"/>
      <c r="BH489" s="6"/>
      <c r="BI489" s="6"/>
      <c r="BJ489" s="6"/>
      <c r="BK489" s="6"/>
      <c r="BL489" s="6"/>
      <c r="BM489" s="6"/>
      <c r="BN489" s="6"/>
      <c r="BO489" s="6"/>
      <c r="BP489" s="3">
        <v>7</v>
      </c>
      <c r="BQ489" s="6">
        <f t="shared" si="106"/>
        <v>7</v>
      </c>
      <c r="BV489">
        <v>7</v>
      </c>
    </row>
    <row r="490" spans="1:74" x14ac:dyDescent="0.3">
      <c r="A490" s="3" t="s">
        <v>776</v>
      </c>
      <c r="B490" s="3">
        <v>303</v>
      </c>
      <c r="C490" s="3" t="s">
        <v>808</v>
      </c>
      <c r="D490" s="3">
        <v>0.5</v>
      </c>
      <c r="E490" s="3" t="s">
        <v>19</v>
      </c>
      <c r="F490" s="3" t="s">
        <v>41</v>
      </c>
      <c r="G490" s="3" t="s">
        <v>19</v>
      </c>
      <c r="H490" s="3" t="s">
        <v>66</v>
      </c>
      <c r="I490" s="3">
        <v>4.78</v>
      </c>
      <c r="J490" s="3" t="s">
        <v>91</v>
      </c>
      <c r="K490" s="3" t="s">
        <v>814</v>
      </c>
      <c r="L490" s="3" t="s">
        <v>24</v>
      </c>
      <c r="M490" s="3">
        <v>84</v>
      </c>
      <c r="N490" s="6"/>
      <c r="O490" s="3">
        <v>2</v>
      </c>
      <c r="P490" s="3">
        <v>2</v>
      </c>
      <c r="Q490" s="3">
        <v>2</v>
      </c>
      <c r="R490" s="3">
        <v>0</v>
      </c>
      <c r="S490" s="3">
        <v>0</v>
      </c>
      <c r="T490" s="3">
        <v>0</v>
      </c>
      <c r="U490" s="3">
        <v>0</v>
      </c>
      <c r="V490" s="3">
        <f t="shared" si="107"/>
        <v>2</v>
      </c>
      <c r="W490" s="3">
        <v>2</v>
      </c>
      <c r="X490" s="3">
        <v>0</v>
      </c>
      <c r="Y490" s="3">
        <v>0</v>
      </c>
      <c r="Z490" s="3">
        <v>0</v>
      </c>
      <c r="AA490" s="3">
        <v>0</v>
      </c>
      <c r="AB490" s="3">
        <f t="shared" si="108"/>
        <v>2</v>
      </c>
      <c r="AC490" s="6">
        <f t="shared" si="116"/>
        <v>0</v>
      </c>
      <c r="AD490" s="6">
        <f t="shared" si="117"/>
        <v>0</v>
      </c>
      <c r="AE490" s="6">
        <f t="shared" si="118"/>
        <v>0</v>
      </c>
      <c r="AF490" s="6">
        <f t="shared" si="119"/>
        <v>0</v>
      </c>
      <c r="AG490" s="6">
        <f t="shared" si="120"/>
        <v>0</v>
      </c>
      <c r="AH490" s="6">
        <f t="shared" si="109"/>
        <v>0</v>
      </c>
      <c r="AI490" s="3"/>
      <c r="AJ490" s="3" t="e">
        <f>_xlfn.XLOOKUP(K490,工作表1!A:A,工作表1!C:C)</f>
        <v>#N/A</v>
      </c>
      <c r="AK490" s="3"/>
      <c r="AL490" s="6">
        <f t="shared" si="110"/>
        <v>2</v>
      </c>
      <c r="AM490" s="6">
        <f t="shared" si="111"/>
        <v>0</v>
      </c>
      <c r="AN490" s="6">
        <f t="shared" si="112"/>
        <v>0</v>
      </c>
      <c r="AO490" s="6">
        <f t="shared" si="113"/>
        <v>0</v>
      </c>
      <c r="AP490" s="6">
        <f t="shared" si="114"/>
        <v>0</v>
      </c>
      <c r="AQ490" s="6">
        <f t="shared" si="115"/>
        <v>2</v>
      </c>
      <c r="AR490" s="6"/>
      <c r="AS490" s="6"/>
      <c r="AT490" s="6"/>
      <c r="AU490" s="6">
        <v>2</v>
      </c>
      <c r="AV490" s="6"/>
      <c r="AW490" s="6"/>
      <c r="AX490" s="6"/>
      <c r="AY490" s="6"/>
      <c r="AZ490" s="6"/>
      <c r="BA490" s="6"/>
      <c r="BB490" s="6"/>
      <c r="BC490" s="6"/>
      <c r="BD490" s="6"/>
      <c r="BE490" s="6"/>
      <c r="BF490" s="6"/>
      <c r="BG490" s="6"/>
      <c r="BH490" s="6"/>
      <c r="BI490" s="6"/>
      <c r="BJ490" s="6"/>
      <c r="BK490" s="6"/>
      <c r="BL490" s="6"/>
      <c r="BM490" s="6"/>
      <c r="BN490" s="6"/>
      <c r="BO490" s="6"/>
      <c r="BP490" s="3">
        <v>2</v>
      </c>
      <c r="BQ490" s="6">
        <f t="shared" si="106"/>
        <v>2</v>
      </c>
      <c r="BV490">
        <v>2</v>
      </c>
    </row>
    <row r="491" spans="1:74" x14ac:dyDescent="0.3">
      <c r="A491" s="3" t="s">
        <v>776</v>
      </c>
      <c r="B491" s="3">
        <v>311</v>
      </c>
      <c r="C491" s="3" t="s">
        <v>815</v>
      </c>
      <c r="D491" s="3">
        <v>1</v>
      </c>
      <c r="E491" s="3" t="s">
        <v>19</v>
      </c>
      <c r="F491" s="3" t="s">
        <v>19</v>
      </c>
      <c r="G491" s="3" t="s">
        <v>19</v>
      </c>
      <c r="H491" s="3" t="s">
        <v>101</v>
      </c>
      <c r="I491" s="3"/>
      <c r="J491" s="3" t="s">
        <v>91</v>
      </c>
      <c r="K491" s="3" t="s">
        <v>816</v>
      </c>
      <c r="L491" s="3" t="s">
        <v>24</v>
      </c>
      <c r="M491" s="3">
        <v>1</v>
      </c>
      <c r="N491" s="6"/>
      <c r="O491" s="3">
        <v>1</v>
      </c>
      <c r="P491" s="3">
        <v>1</v>
      </c>
      <c r="Q491" s="3">
        <v>1</v>
      </c>
      <c r="R491" s="3">
        <v>0</v>
      </c>
      <c r="S491" s="3">
        <v>0</v>
      </c>
      <c r="T491" s="3">
        <v>0</v>
      </c>
      <c r="U491" s="3">
        <v>0</v>
      </c>
      <c r="V491" s="3">
        <f t="shared" si="107"/>
        <v>1</v>
      </c>
      <c r="W491" s="3">
        <v>1</v>
      </c>
      <c r="X491" s="3">
        <v>0</v>
      </c>
      <c r="Y491" s="3">
        <v>0</v>
      </c>
      <c r="Z491" s="3">
        <v>0</v>
      </c>
      <c r="AA491" s="3">
        <v>0</v>
      </c>
      <c r="AB491" s="3">
        <f t="shared" si="108"/>
        <v>1</v>
      </c>
      <c r="AC491" s="6">
        <f t="shared" si="116"/>
        <v>0</v>
      </c>
      <c r="AD491" s="6">
        <f t="shared" si="117"/>
        <v>0</v>
      </c>
      <c r="AE491" s="6">
        <f t="shared" si="118"/>
        <v>0</v>
      </c>
      <c r="AF491" s="6">
        <f t="shared" si="119"/>
        <v>0</v>
      </c>
      <c r="AG491" s="6">
        <f t="shared" si="120"/>
        <v>0</v>
      </c>
      <c r="AH491" s="6">
        <f t="shared" si="109"/>
        <v>0</v>
      </c>
      <c r="AI491" s="3"/>
      <c r="AJ491" s="3" t="e">
        <f>_xlfn.XLOOKUP(K491,工作表1!A:A,工作表1!C:C)</f>
        <v>#N/A</v>
      </c>
      <c r="AK491" s="3"/>
      <c r="AL491" s="6">
        <f t="shared" si="110"/>
        <v>1</v>
      </c>
      <c r="AM491" s="6">
        <f t="shared" si="111"/>
        <v>0</v>
      </c>
      <c r="AN491" s="6">
        <f t="shared" si="112"/>
        <v>0</v>
      </c>
      <c r="AO491" s="6">
        <f t="shared" si="113"/>
        <v>0</v>
      </c>
      <c r="AP491" s="6">
        <f t="shared" si="114"/>
        <v>0</v>
      </c>
      <c r="AQ491" s="6">
        <f t="shared" si="115"/>
        <v>1</v>
      </c>
      <c r="AR491" s="6">
        <v>1</v>
      </c>
      <c r="AS491" s="6"/>
      <c r="AT491" s="6"/>
      <c r="AU491" s="6"/>
      <c r="AV491" s="6"/>
      <c r="AW491" s="6"/>
      <c r="AX491" s="6"/>
      <c r="AY491" s="6"/>
      <c r="AZ491" s="6"/>
      <c r="BA491" s="6"/>
      <c r="BB491" s="6"/>
      <c r="BC491" s="6"/>
      <c r="BD491" s="6"/>
      <c r="BE491" s="6"/>
      <c r="BF491" s="6"/>
      <c r="BG491" s="6"/>
      <c r="BH491" s="6"/>
      <c r="BI491" s="6"/>
      <c r="BJ491" s="6"/>
      <c r="BK491" s="6"/>
      <c r="BL491" s="6"/>
      <c r="BM491" s="6"/>
      <c r="BN491" s="6"/>
      <c r="BO491" s="6"/>
      <c r="BP491" s="3">
        <v>1</v>
      </c>
      <c r="BQ491" s="6">
        <f t="shared" si="106"/>
        <v>1</v>
      </c>
      <c r="BR491">
        <v>1</v>
      </c>
    </row>
    <row r="492" spans="1:74" x14ac:dyDescent="0.3">
      <c r="A492" s="3" t="s">
        <v>776</v>
      </c>
      <c r="B492" s="3">
        <v>311</v>
      </c>
      <c r="C492" s="3" t="s">
        <v>817</v>
      </c>
      <c r="D492" s="3">
        <v>6</v>
      </c>
      <c r="E492" s="3" t="s">
        <v>19</v>
      </c>
      <c r="F492" s="3" t="s">
        <v>41</v>
      </c>
      <c r="G492" s="3" t="s">
        <v>19</v>
      </c>
      <c r="H492" s="3" t="s">
        <v>42</v>
      </c>
      <c r="I492" s="3">
        <v>18.260000000000002</v>
      </c>
      <c r="J492" s="3" t="s">
        <v>91</v>
      </c>
      <c r="K492" s="3" t="s">
        <v>818</v>
      </c>
      <c r="L492" s="3" t="s">
        <v>24</v>
      </c>
      <c r="M492" s="3">
        <v>1</v>
      </c>
      <c r="N492" s="6"/>
      <c r="O492" s="3">
        <v>1</v>
      </c>
      <c r="P492" s="3">
        <v>1</v>
      </c>
      <c r="Q492" s="3">
        <v>1</v>
      </c>
      <c r="R492" s="3">
        <v>0</v>
      </c>
      <c r="S492" s="3">
        <v>0</v>
      </c>
      <c r="T492" s="3">
        <v>0</v>
      </c>
      <c r="U492" s="3">
        <v>0</v>
      </c>
      <c r="V492" s="3">
        <f t="shared" si="107"/>
        <v>1</v>
      </c>
      <c r="W492" s="3">
        <v>1</v>
      </c>
      <c r="X492" s="3">
        <v>0</v>
      </c>
      <c r="Y492" s="3">
        <v>0</v>
      </c>
      <c r="Z492" s="3">
        <v>0</v>
      </c>
      <c r="AA492" s="3">
        <v>0</v>
      </c>
      <c r="AB492" s="3">
        <f t="shared" si="108"/>
        <v>1</v>
      </c>
      <c r="AC492" s="6">
        <f t="shared" si="116"/>
        <v>0</v>
      </c>
      <c r="AD492" s="6">
        <f t="shared" si="117"/>
        <v>0</v>
      </c>
      <c r="AE492" s="6">
        <f t="shared" si="118"/>
        <v>0</v>
      </c>
      <c r="AF492" s="6">
        <f t="shared" si="119"/>
        <v>0</v>
      </c>
      <c r="AG492" s="6">
        <f t="shared" si="120"/>
        <v>0</v>
      </c>
      <c r="AH492" s="6">
        <f t="shared" si="109"/>
        <v>0</v>
      </c>
      <c r="AI492" s="3"/>
      <c r="AJ492" s="3" t="e">
        <f>_xlfn.XLOOKUP(K492,工作表1!A:A,工作表1!C:C)</f>
        <v>#N/A</v>
      </c>
      <c r="AK492" s="3"/>
      <c r="AL492" s="6">
        <f t="shared" si="110"/>
        <v>1</v>
      </c>
      <c r="AM492" s="6">
        <f t="shared" si="111"/>
        <v>0</v>
      </c>
      <c r="AN492" s="6">
        <f t="shared" si="112"/>
        <v>0</v>
      </c>
      <c r="AO492" s="6">
        <f t="shared" si="113"/>
        <v>0</v>
      </c>
      <c r="AP492" s="6">
        <f t="shared" si="114"/>
        <v>0</v>
      </c>
      <c r="AQ492" s="6">
        <f t="shared" si="115"/>
        <v>1</v>
      </c>
      <c r="AR492" s="6"/>
      <c r="AS492" s="6"/>
      <c r="AT492" s="6"/>
      <c r="AU492" s="6">
        <v>1</v>
      </c>
      <c r="AV492" s="6"/>
      <c r="AW492" s="6"/>
      <c r="AX492" s="6"/>
      <c r="AY492" s="6"/>
      <c r="AZ492" s="6"/>
      <c r="BA492" s="6"/>
      <c r="BB492" s="6"/>
      <c r="BC492" s="6"/>
      <c r="BD492" s="6"/>
      <c r="BE492" s="6"/>
      <c r="BF492" s="6"/>
      <c r="BG492" s="6"/>
      <c r="BH492" s="6"/>
      <c r="BI492" s="6"/>
      <c r="BJ492" s="6"/>
      <c r="BK492" s="6"/>
      <c r="BL492" s="6"/>
      <c r="BM492" s="6"/>
      <c r="BN492" s="6"/>
      <c r="BO492" s="6"/>
      <c r="BP492" s="3">
        <v>1</v>
      </c>
      <c r="BQ492" s="6">
        <f t="shared" si="106"/>
        <v>1</v>
      </c>
      <c r="BV492">
        <v>1</v>
      </c>
    </row>
    <row r="493" spans="1:74" x14ac:dyDescent="0.3">
      <c r="A493" s="3" t="s">
        <v>776</v>
      </c>
      <c r="B493" s="3">
        <v>311</v>
      </c>
      <c r="C493" s="3" t="s">
        <v>817</v>
      </c>
      <c r="D493" s="3">
        <v>4</v>
      </c>
      <c r="E493" s="3" t="s">
        <v>19</v>
      </c>
      <c r="F493" s="3" t="s">
        <v>778</v>
      </c>
      <c r="G493" s="3" t="s">
        <v>19</v>
      </c>
      <c r="H493" s="3" t="s">
        <v>782</v>
      </c>
      <c r="I493" s="3">
        <v>3.05</v>
      </c>
      <c r="J493" s="3" t="s">
        <v>91</v>
      </c>
      <c r="K493" s="3" t="s">
        <v>819</v>
      </c>
      <c r="L493" s="3" t="s">
        <v>24</v>
      </c>
      <c r="M493" s="3">
        <v>1</v>
      </c>
      <c r="N493" s="6"/>
      <c r="O493" s="3">
        <v>1</v>
      </c>
      <c r="P493" s="3">
        <v>1</v>
      </c>
      <c r="Q493" s="3">
        <v>1</v>
      </c>
      <c r="R493" s="3">
        <v>0</v>
      </c>
      <c r="S493" s="3">
        <v>0</v>
      </c>
      <c r="T493" s="3">
        <v>0</v>
      </c>
      <c r="U493" s="3">
        <v>0</v>
      </c>
      <c r="V493" s="3">
        <f t="shared" si="107"/>
        <v>1</v>
      </c>
      <c r="W493" s="3">
        <v>1</v>
      </c>
      <c r="X493" s="3">
        <v>0</v>
      </c>
      <c r="Y493" s="3">
        <v>0</v>
      </c>
      <c r="Z493" s="3">
        <v>0</v>
      </c>
      <c r="AA493" s="3">
        <v>0</v>
      </c>
      <c r="AB493" s="3">
        <f t="shared" si="108"/>
        <v>1</v>
      </c>
      <c r="AC493" s="6">
        <f t="shared" si="116"/>
        <v>-1</v>
      </c>
      <c r="AD493" s="6">
        <f t="shared" si="117"/>
        <v>0</v>
      </c>
      <c r="AE493" s="6">
        <f t="shared" si="118"/>
        <v>0</v>
      </c>
      <c r="AF493" s="6">
        <f t="shared" si="119"/>
        <v>0</v>
      </c>
      <c r="AG493" s="6">
        <f t="shared" si="120"/>
        <v>0</v>
      </c>
      <c r="AH493" s="6">
        <f t="shared" si="109"/>
        <v>-1</v>
      </c>
      <c r="AI493" s="3"/>
      <c r="AJ493" s="3" t="e">
        <f>_xlfn.XLOOKUP(K493,工作表1!A:A,工作表1!C:C)</f>
        <v>#N/A</v>
      </c>
      <c r="AK493" s="3"/>
      <c r="AL493" s="6">
        <f t="shared" si="110"/>
        <v>0</v>
      </c>
      <c r="AM493" s="6">
        <f t="shared" si="111"/>
        <v>0</v>
      </c>
      <c r="AN493" s="6">
        <f t="shared" si="112"/>
        <v>0</v>
      </c>
      <c r="AO493" s="6">
        <f t="shared" si="113"/>
        <v>0</v>
      </c>
      <c r="AP493" s="6">
        <f t="shared" si="114"/>
        <v>0</v>
      </c>
      <c r="AQ493" s="6">
        <f t="shared" si="115"/>
        <v>0</v>
      </c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  <c r="BC493" s="6"/>
      <c r="BD493" s="6"/>
      <c r="BE493" s="6"/>
      <c r="BF493" s="6"/>
      <c r="BG493" s="6"/>
      <c r="BH493" s="6"/>
      <c r="BI493" s="6"/>
      <c r="BJ493" s="6"/>
      <c r="BK493" s="6"/>
      <c r="BL493" s="6"/>
      <c r="BM493" s="6"/>
      <c r="BN493" s="6"/>
      <c r="BO493" s="6"/>
      <c r="BP493" s="3">
        <v>1</v>
      </c>
      <c r="BQ493" s="6">
        <f t="shared" si="106"/>
        <v>0</v>
      </c>
    </row>
    <row r="494" spans="1:74" x14ac:dyDescent="0.3">
      <c r="A494" s="3" t="s">
        <v>776</v>
      </c>
      <c r="B494" s="3">
        <v>311</v>
      </c>
      <c r="C494" s="3" t="s">
        <v>817</v>
      </c>
      <c r="D494" s="3">
        <v>3</v>
      </c>
      <c r="E494" s="3" t="s">
        <v>19</v>
      </c>
      <c r="F494" s="3" t="s">
        <v>778</v>
      </c>
      <c r="G494" s="3" t="s">
        <v>19</v>
      </c>
      <c r="H494" s="3" t="s">
        <v>787</v>
      </c>
      <c r="I494" s="3">
        <v>3.05</v>
      </c>
      <c r="J494" s="3" t="s">
        <v>91</v>
      </c>
      <c r="K494" s="3" t="s">
        <v>820</v>
      </c>
      <c r="L494" s="3" t="s">
        <v>24</v>
      </c>
      <c r="M494" s="3">
        <v>3</v>
      </c>
      <c r="N494" s="6"/>
      <c r="O494" s="3">
        <v>1</v>
      </c>
      <c r="P494" s="3">
        <v>1</v>
      </c>
      <c r="Q494" s="3">
        <v>1</v>
      </c>
      <c r="R494" s="3">
        <v>0</v>
      </c>
      <c r="S494" s="3">
        <v>0</v>
      </c>
      <c r="T494" s="3">
        <v>0</v>
      </c>
      <c r="U494" s="3">
        <v>0</v>
      </c>
      <c r="V494" s="3">
        <f t="shared" si="107"/>
        <v>1</v>
      </c>
      <c r="W494" s="3">
        <v>1</v>
      </c>
      <c r="X494" s="3">
        <v>0</v>
      </c>
      <c r="Y494" s="3">
        <v>0</v>
      </c>
      <c r="Z494" s="3">
        <v>0</v>
      </c>
      <c r="AA494" s="3">
        <v>0</v>
      </c>
      <c r="AB494" s="3">
        <f t="shared" si="108"/>
        <v>1</v>
      </c>
      <c r="AC494" s="6">
        <f t="shared" si="116"/>
        <v>0</v>
      </c>
      <c r="AD494" s="6">
        <f t="shared" si="117"/>
        <v>0</v>
      </c>
      <c r="AE494" s="6">
        <f t="shared" si="118"/>
        <v>0</v>
      </c>
      <c r="AF494" s="6">
        <f t="shared" si="119"/>
        <v>0</v>
      </c>
      <c r="AG494" s="6">
        <f t="shared" si="120"/>
        <v>0</v>
      </c>
      <c r="AH494" s="6">
        <f t="shared" si="109"/>
        <v>0</v>
      </c>
      <c r="AI494" s="3"/>
      <c r="AJ494" s="3" t="e">
        <f>_xlfn.XLOOKUP(K494,工作表1!A:A,工作表1!C:C)</f>
        <v>#N/A</v>
      </c>
      <c r="AK494" s="3"/>
      <c r="AL494" s="6">
        <f t="shared" si="110"/>
        <v>1</v>
      </c>
      <c r="AM494" s="6">
        <f t="shared" si="111"/>
        <v>0</v>
      </c>
      <c r="AN494" s="6">
        <f t="shared" si="112"/>
        <v>0</v>
      </c>
      <c r="AO494" s="6">
        <f t="shared" si="113"/>
        <v>0</v>
      </c>
      <c r="AP494" s="6">
        <f t="shared" si="114"/>
        <v>0</v>
      </c>
      <c r="AQ494" s="6">
        <f t="shared" si="115"/>
        <v>1</v>
      </c>
      <c r="AR494" s="6"/>
      <c r="AS494" s="6"/>
      <c r="AT494" s="6">
        <v>1</v>
      </c>
      <c r="AU494" s="6"/>
      <c r="AV494" s="6"/>
      <c r="AW494" s="6"/>
      <c r="AX494" s="6"/>
      <c r="AY494" s="6"/>
      <c r="AZ494" s="6"/>
      <c r="BA494" s="6"/>
      <c r="BB494" s="6"/>
      <c r="BC494" s="6"/>
      <c r="BD494" s="6"/>
      <c r="BE494" s="6"/>
      <c r="BF494" s="6"/>
      <c r="BG494" s="6"/>
      <c r="BH494" s="6"/>
      <c r="BI494" s="6"/>
      <c r="BJ494" s="6"/>
      <c r="BK494" s="6"/>
      <c r="BL494" s="6"/>
      <c r="BM494" s="6"/>
      <c r="BN494" s="6"/>
      <c r="BO494" s="6"/>
      <c r="BP494" s="3">
        <v>1</v>
      </c>
      <c r="BQ494" s="6">
        <f t="shared" si="106"/>
        <v>1</v>
      </c>
      <c r="BU494">
        <v>1</v>
      </c>
    </row>
    <row r="495" spans="1:74" x14ac:dyDescent="0.3">
      <c r="A495" s="3" t="s">
        <v>776</v>
      </c>
      <c r="B495" s="3">
        <v>311</v>
      </c>
      <c r="C495" s="3" t="s">
        <v>817</v>
      </c>
      <c r="D495" s="3">
        <v>1</v>
      </c>
      <c r="E495" s="3" t="s">
        <v>19</v>
      </c>
      <c r="F495" s="3" t="s">
        <v>41</v>
      </c>
      <c r="G495" s="3" t="s">
        <v>19</v>
      </c>
      <c r="H495" s="3" t="s">
        <v>59</v>
      </c>
      <c r="I495" s="3">
        <v>6.35</v>
      </c>
      <c r="J495" s="3" t="s">
        <v>91</v>
      </c>
      <c r="K495" s="3" t="s">
        <v>821</v>
      </c>
      <c r="L495" s="3" t="s">
        <v>24</v>
      </c>
      <c r="M495" s="3">
        <v>1</v>
      </c>
      <c r="N495" s="6"/>
      <c r="O495" s="3">
        <v>1</v>
      </c>
      <c r="P495" s="3">
        <v>1</v>
      </c>
      <c r="Q495" s="3">
        <v>1</v>
      </c>
      <c r="R495" s="3">
        <v>0</v>
      </c>
      <c r="S495" s="3">
        <v>0</v>
      </c>
      <c r="T495" s="3">
        <v>0</v>
      </c>
      <c r="U495" s="3">
        <v>0</v>
      </c>
      <c r="V495" s="3">
        <f t="shared" si="107"/>
        <v>1</v>
      </c>
      <c r="W495" s="3">
        <v>1</v>
      </c>
      <c r="X495" s="3">
        <v>0</v>
      </c>
      <c r="Y495" s="3">
        <v>0</v>
      </c>
      <c r="Z495" s="3">
        <v>0</v>
      </c>
      <c r="AA495" s="3">
        <v>0</v>
      </c>
      <c r="AB495" s="3">
        <f t="shared" si="108"/>
        <v>1</v>
      </c>
      <c r="AC495" s="6">
        <f t="shared" si="116"/>
        <v>0</v>
      </c>
      <c r="AD495" s="6">
        <f t="shared" si="117"/>
        <v>0</v>
      </c>
      <c r="AE495" s="6">
        <f t="shared" si="118"/>
        <v>0</v>
      </c>
      <c r="AF495" s="6">
        <f t="shared" si="119"/>
        <v>0</v>
      </c>
      <c r="AG495" s="6">
        <f t="shared" si="120"/>
        <v>0</v>
      </c>
      <c r="AH495" s="6">
        <f t="shared" si="109"/>
        <v>0</v>
      </c>
      <c r="AI495" s="3"/>
      <c r="AJ495" s="3" t="e">
        <f>_xlfn.XLOOKUP(K495,工作表1!A:A,工作表1!C:C)</f>
        <v>#N/A</v>
      </c>
      <c r="AK495" s="3"/>
      <c r="AL495" s="6">
        <f t="shared" si="110"/>
        <v>1</v>
      </c>
      <c r="AM495" s="6">
        <f t="shared" si="111"/>
        <v>0</v>
      </c>
      <c r="AN495" s="6">
        <f t="shared" si="112"/>
        <v>0</v>
      </c>
      <c r="AO495" s="6">
        <f t="shared" si="113"/>
        <v>0</v>
      </c>
      <c r="AP495" s="6">
        <f t="shared" si="114"/>
        <v>0</v>
      </c>
      <c r="AQ495" s="6">
        <f t="shared" si="115"/>
        <v>1</v>
      </c>
      <c r="AR495" s="6"/>
      <c r="AS495" s="6"/>
      <c r="AT495" s="6"/>
      <c r="AU495" s="6">
        <v>1</v>
      </c>
      <c r="AV495" s="6"/>
      <c r="AW495" s="6"/>
      <c r="AX495" s="6"/>
      <c r="AY495" s="6"/>
      <c r="AZ495" s="6"/>
      <c r="BA495" s="6"/>
      <c r="BB495" s="6"/>
      <c r="BC495" s="6"/>
      <c r="BD495" s="6"/>
      <c r="BE495" s="6"/>
      <c r="BF495" s="6"/>
      <c r="BG495" s="6"/>
      <c r="BH495" s="6"/>
      <c r="BI495" s="6"/>
      <c r="BJ495" s="6"/>
      <c r="BK495" s="6"/>
      <c r="BL495" s="6"/>
      <c r="BM495" s="6"/>
      <c r="BN495" s="6"/>
      <c r="BO495" s="6"/>
      <c r="BP495" s="3">
        <v>1</v>
      </c>
      <c r="BQ495" s="6">
        <f t="shared" si="106"/>
        <v>1</v>
      </c>
      <c r="BV495">
        <v>1</v>
      </c>
    </row>
    <row r="496" spans="1:74" x14ac:dyDescent="0.3">
      <c r="A496" s="3" t="s">
        <v>776</v>
      </c>
      <c r="B496" s="3">
        <v>312</v>
      </c>
      <c r="C496" s="3" t="s">
        <v>822</v>
      </c>
      <c r="D496" s="3">
        <v>1</v>
      </c>
      <c r="E496" s="3">
        <v>0.75</v>
      </c>
      <c r="F496" s="3" t="s">
        <v>41</v>
      </c>
      <c r="G496" s="3" t="s">
        <v>41</v>
      </c>
      <c r="H496" s="3" t="s">
        <v>199</v>
      </c>
      <c r="I496" s="3"/>
      <c r="J496" s="3" t="s">
        <v>91</v>
      </c>
      <c r="K496" s="3" t="s">
        <v>823</v>
      </c>
      <c r="L496" s="3" t="s">
        <v>24</v>
      </c>
      <c r="M496" s="3">
        <v>1</v>
      </c>
      <c r="N496" s="6"/>
      <c r="O496" s="3">
        <v>1</v>
      </c>
      <c r="P496" s="3">
        <v>1</v>
      </c>
      <c r="Q496" s="3">
        <v>1</v>
      </c>
      <c r="R496" s="3">
        <v>0</v>
      </c>
      <c r="S496" s="3">
        <v>0</v>
      </c>
      <c r="T496" s="3">
        <v>0</v>
      </c>
      <c r="U496" s="3">
        <v>0</v>
      </c>
      <c r="V496" s="3">
        <f t="shared" si="107"/>
        <v>1</v>
      </c>
      <c r="W496" s="3">
        <v>1</v>
      </c>
      <c r="X496" s="3">
        <v>0</v>
      </c>
      <c r="Y496" s="3">
        <v>0</v>
      </c>
      <c r="Z496" s="3">
        <v>0</v>
      </c>
      <c r="AA496" s="3">
        <v>0</v>
      </c>
      <c r="AB496" s="3">
        <f t="shared" si="108"/>
        <v>1</v>
      </c>
      <c r="AC496" s="6">
        <f t="shared" si="116"/>
        <v>0</v>
      </c>
      <c r="AD496" s="6">
        <f t="shared" si="117"/>
        <v>0</v>
      </c>
      <c r="AE496" s="6">
        <f t="shared" si="118"/>
        <v>0</v>
      </c>
      <c r="AF496" s="6">
        <f t="shared" si="119"/>
        <v>0</v>
      </c>
      <c r="AG496" s="6">
        <f t="shared" si="120"/>
        <v>0</v>
      </c>
      <c r="AH496" s="6">
        <f t="shared" si="109"/>
        <v>0</v>
      </c>
      <c r="AI496" s="3"/>
      <c r="AJ496" s="3" t="e">
        <f>_xlfn.XLOOKUP(K496,工作表1!A:A,工作表1!C:C)</f>
        <v>#N/A</v>
      </c>
      <c r="AK496" s="3"/>
      <c r="AL496" s="6">
        <f t="shared" si="110"/>
        <v>1</v>
      </c>
      <c r="AM496" s="6">
        <f t="shared" si="111"/>
        <v>0</v>
      </c>
      <c r="AN496" s="6">
        <f t="shared" si="112"/>
        <v>0</v>
      </c>
      <c r="AO496" s="6">
        <f t="shared" si="113"/>
        <v>0</v>
      </c>
      <c r="AP496" s="6">
        <f t="shared" si="114"/>
        <v>0</v>
      </c>
      <c r="AQ496" s="6">
        <f t="shared" si="115"/>
        <v>1</v>
      </c>
      <c r="AR496" s="6"/>
      <c r="AS496" s="6"/>
      <c r="AT496" s="6"/>
      <c r="AU496" s="6">
        <v>1</v>
      </c>
      <c r="AV496" s="6"/>
      <c r="AW496" s="6"/>
      <c r="AX496" s="6"/>
      <c r="AY496" s="6"/>
      <c r="AZ496" s="6"/>
      <c r="BA496" s="6"/>
      <c r="BB496" s="6"/>
      <c r="BC496" s="6"/>
      <c r="BD496" s="6"/>
      <c r="BE496" s="6"/>
      <c r="BF496" s="6"/>
      <c r="BG496" s="6"/>
      <c r="BH496" s="6"/>
      <c r="BI496" s="6"/>
      <c r="BJ496" s="6"/>
      <c r="BK496" s="6"/>
      <c r="BL496" s="6"/>
      <c r="BM496" s="6"/>
      <c r="BN496" s="6"/>
      <c r="BO496" s="6"/>
      <c r="BP496" s="3">
        <v>1</v>
      </c>
      <c r="BQ496" s="6">
        <f t="shared" si="106"/>
        <v>1</v>
      </c>
      <c r="BV496">
        <v>1</v>
      </c>
    </row>
    <row r="497" spans="1:74" x14ac:dyDescent="0.3">
      <c r="A497" s="3" t="s">
        <v>776</v>
      </c>
      <c r="B497" s="3">
        <v>331</v>
      </c>
      <c r="C497" s="3" t="s">
        <v>824</v>
      </c>
      <c r="D497" s="3">
        <v>6</v>
      </c>
      <c r="E497" s="3">
        <v>1.5</v>
      </c>
      <c r="F497" s="3" t="s">
        <v>19</v>
      </c>
      <c r="G497" s="3" t="s">
        <v>19</v>
      </c>
      <c r="H497" s="3" t="s">
        <v>217</v>
      </c>
      <c r="I497" s="3"/>
      <c r="J497" s="3" t="s">
        <v>91</v>
      </c>
      <c r="K497" s="3" t="s">
        <v>825</v>
      </c>
      <c r="L497" s="3" t="s">
        <v>24</v>
      </c>
      <c r="M497" s="3">
        <v>1</v>
      </c>
      <c r="N497" s="6"/>
      <c r="O497" s="3">
        <v>1</v>
      </c>
      <c r="P497" s="3">
        <v>1</v>
      </c>
      <c r="Q497" s="3">
        <v>1</v>
      </c>
      <c r="R497" s="3">
        <v>0</v>
      </c>
      <c r="S497" s="3">
        <v>0</v>
      </c>
      <c r="T497" s="3">
        <v>0</v>
      </c>
      <c r="U497" s="3">
        <v>0</v>
      </c>
      <c r="V497" s="3">
        <f t="shared" si="107"/>
        <v>1</v>
      </c>
      <c r="W497" s="3">
        <v>1</v>
      </c>
      <c r="X497" s="3">
        <v>0</v>
      </c>
      <c r="Y497" s="3">
        <v>0</v>
      </c>
      <c r="Z497" s="3">
        <v>0</v>
      </c>
      <c r="AA497" s="3">
        <v>0</v>
      </c>
      <c r="AB497" s="3">
        <f t="shared" si="108"/>
        <v>1</v>
      </c>
      <c r="AC497" s="6">
        <f t="shared" si="116"/>
        <v>-1</v>
      </c>
      <c r="AD497" s="6">
        <f t="shared" si="117"/>
        <v>0</v>
      </c>
      <c r="AE497" s="6">
        <f t="shared" si="118"/>
        <v>0</v>
      </c>
      <c r="AF497" s="6">
        <f t="shared" si="119"/>
        <v>0</v>
      </c>
      <c r="AG497" s="6">
        <f t="shared" si="120"/>
        <v>0</v>
      </c>
      <c r="AH497" s="6">
        <f t="shared" si="109"/>
        <v>-1</v>
      </c>
      <c r="AI497" s="3"/>
      <c r="AJ497" s="3" t="e">
        <f>_xlfn.XLOOKUP(K497,工作表1!A:A,工作表1!C:C)</f>
        <v>#N/A</v>
      </c>
      <c r="AK497" s="3"/>
      <c r="AL497" s="6">
        <f t="shared" si="110"/>
        <v>0</v>
      </c>
      <c r="AM497" s="6">
        <f t="shared" si="111"/>
        <v>0</v>
      </c>
      <c r="AN497" s="6">
        <f t="shared" si="112"/>
        <v>0</v>
      </c>
      <c r="AO497" s="6">
        <f t="shared" si="113"/>
        <v>0</v>
      </c>
      <c r="AP497" s="6">
        <f t="shared" si="114"/>
        <v>0</v>
      </c>
      <c r="AQ497" s="6">
        <f t="shared" si="115"/>
        <v>0</v>
      </c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  <c r="BC497" s="6"/>
      <c r="BD497" s="6"/>
      <c r="BE497" s="6"/>
      <c r="BF497" s="6"/>
      <c r="BG497" s="6"/>
      <c r="BH497" s="6"/>
      <c r="BI497" s="6"/>
      <c r="BJ497" s="6"/>
      <c r="BK497" s="6"/>
      <c r="BL497" s="6"/>
      <c r="BM497" s="6"/>
      <c r="BN497" s="6"/>
      <c r="BO497" s="6"/>
      <c r="BP497" s="3">
        <v>1</v>
      </c>
      <c r="BQ497" s="6">
        <f t="shared" si="106"/>
        <v>0</v>
      </c>
    </row>
    <row r="498" spans="1:74" x14ac:dyDescent="0.3">
      <c r="A498" s="3" t="s">
        <v>776</v>
      </c>
      <c r="B498" s="3">
        <v>331</v>
      </c>
      <c r="C498" s="3" t="s">
        <v>824</v>
      </c>
      <c r="D498" s="3">
        <v>4</v>
      </c>
      <c r="E498" s="3">
        <v>0.75</v>
      </c>
      <c r="F498" s="3" t="s">
        <v>19</v>
      </c>
      <c r="G498" s="3" t="s">
        <v>19</v>
      </c>
      <c r="H498" s="3" t="s">
        <v>221</v>
      </c>
      <c r="I498" s="3"/>
      <c r="J498" s="3" t="s">
        <v>91</v>
      </c>
      <c r="K498" s="3" t="s">
        <v>826</v>
      </c>
      <c r="L498" s="3" t="s">
        <v>24</v>
      </c>
      <c r="M498" s="3">
        <v>4</v>
      </c>
      <c r="N498" s="6"/>
      <c r="O498" s="3">
        <v>4</v>
      </c>
      <c r="P498" s="3">
        <v>4</v>
      </c>
      <c r="Q498" s="3">
        <v>4</v>
      </c>
      <c r="R498" s="3">
        <v>0</v>
      </c>
      <c r="S498" s="3">
        <v>0</v>
      </c>
      <c r="T498" s="3">
        <v>0</v>
      </c>
      <c r="U498" s="3">
        <v>0</v>
      </c>
      <c r="V498" s="3">
        <f t="shared" si="107"/>
        <v>4</v>
      </c>
      <c r="W498" s="3">
        <v>4</v>
      </c>
      <c r="X498" s="3">
        <v>0</v>
      </c>
      <c r="Y498" s="3">
        <v>0</v>
      </c>
      <c r="Z498" s="3">
        <v>0</v>
      </c>
      <c r="AA498" s="3">
        <v>0</v>
      </c>
      <c r="AB498" s="3">
        <f t="shared" si="108"/>
        <v>4</v>
      </c>
      <c r="AC498" s="6">
        <f t="shared" si="116"/>
        <v>0</v>
      </c>
      <c r="AD498" s="6">
        <f t="shared" si="117"/>
        <v>0</v>
      </c>
      <c r="AE498" s="6">
        <f t="shared" si="118"/>
        <v>0</v>
      </c>
      <c r="AF498" s="6">
        <f t="shared" si="119"/>
        <v>0</v>
      </c>
      <c r="AG498" s="6">
        <f t="shared" si="120"/>
        <v>0</v>
      </c>
      <c r="AH498" s="6">
        <f t="shared" si="109"/>
        <v>0</v>
      </c>
      <c r="AI498" s="3"/>
      <c r="AJ498" s="3" t="e">
        <f>_xlfn.XLOOKUP(K498,工作表1!A:A,工作表1!C:C)</f>
        <v>#N/A</v>
      </c>
      <c r="AK498" s="3"/>
      <c r="AL498" s="6">
        <f t="shared" si="110"/>
        <v>4</v>
      </c>
      <c r="AM498" s="6">
        <f t="shared" si="111"/>
        <v>0</v>
      </c>
      <c r="AN498" s="6">
        <f t="shared" si="112"/>
        <v>0</v>
      </c>
      <c r="AO498" s="6">
        <f t="shared" si="113"/>
        <v>0</v>
      </c>
      <c r="AP498" s="6">
        <f t="shared" si="114"/>
        <v>0</v>
      </c>
      <c r="AQ498" s="6">
        <f t="shared" si="115"/>
        <v>4</v>
      </c>
      <c r="AR498" s="6">
        <v>4</v>
      </c>
      <c r="AS498" s="6"/>
      <c r="AT498" s="6"/>
      <c r="AU498" s="6"/>
      <c r="AV498" s="6"/>
      <c r="AW498" s="6"/>
      <c r="AX498" s="6"/>
      <c r="AY498" s="6"/>
      <c r="AZ498" s="6"/>
      <c r="BA498" s="6"/>
      <c r="BB498" s="6"/>
      <c r="BC498" s="6"/>
      <c r="BD498" s="6"/>
      <c r="BE498" s="6"/>
      <c r="BF498" s="6"/>
      <c r="BG498" s="6"/>
      <c r="BH498" s="6"/>
      <c r="BI498" s="6"/>
      <c r="BJ498" s="6"/>
      <c r="BK498" s="6"/>
      <c r="BL498" s="6"/>
      <c r="BM498" s="6"/>
      <c r="BN498" s="6"/>
      <c r="BO498" s="6"/>
      <c r="BP498" s="3">
        <v>4</v>
      </c>
      <c r="BQ498" s="6">
        <f t="shared" si="106"/>
        <v>4</v>
      </c>
      <c r="BR498" s="8">
        <v>4</v>
      </c>
    </row>
    <row r="499" spans="1:74" x14ac:dyDescent="0.3">
      <c r="A499" s="3" t="s">
        <v>776</v>
      </c>
      <c r="B499" s="3">
        <v>331</v>
      </c>
      <c r="C499" s="3" t="s">
        <v>824</v>
      </c>
      <c r="D499" s="3">
        <v>4</v>
      </c>
      <c r="E499" s="3">
        <v>1</v>
      </c>
      <c r="F499" s="3" t="s">
        <v>19</v>
      </c>
      <c r="G499" s="3" t="s">
        <v>19</v>
      </c>
      <c r="H499" s="3" t="s">
        <v>225</v>
      </c>
      <c r="I499" s="3"/>
      <c r="J499" s="3" t="s">
        <v>91</v>
      </c>
      <c r="K499" s="3" t="s">
        <v>827</v>
      </c>
      <c r="L499" s="3" t="s">
        <v>24</v>
      </c>
      <c r="M499" s="3">
        <v>2</v>
      </c>
      <c r="N499" s="6"/>
      <c r="O499" s="3">
        <v>2</v>
      </c>
      <c r="P499" s="3">
        <v>2</v>
      </c>
      <c r="Q499" s="3">
        <v>2</v>
      </c>
      <c r="R499" s="3">
        <v>0</v>
      </c>
      <c r="S499" s="3">
        <v>0</v>
      </c>
      <c r="T499" s="3">
        <v>0</v>
      </c>
      <c r="U499" s="3">
        <v>0</v>
      </c>
      <c r="V499" s="3">
        <f t="shared" si="107"/>
        <v>2</v>
      </c>
      <c r="W499" s="3">
        <v>2</v>
      </c>
      <c r="X499" s="3">
        <v>0</v>
      </c>
      <c r="Y499" s="3">
        <v>0</v>
      </c>
      <c r="Z499" s="3">
        <v>0</v>
      </c>
      <c r="AA499" s="3">
        <v>0</v>
      </c>
      <c r="AB499" s="3">
        <f t="shared" si="108"/>
        <v>2</v>
      </c>
      <c r="AC499" s="6">
        <f t="shared" si="116"/>
        <v>0</v>
      </c>
      <c r="AD499" s="6">
        <f t="shared" si="117"/>
        <v>0</v>
      </c>
      <c r="AE499" s="6">
        <f t="shared" si="118"/>
        <v>0</v>
      </c>
      <c r="AF499" s="6">
        <f t="shared" si="119"/>
        <v>0</v>
      </c>
      <c r="AG499" s="6">
        <f t="shared" si="120"/>
        <v>0</v>
      </c>
      <c r="AH499" s="6">
        <f t="shared" si="109"/>
        <v>0</v>
      </c>
      <c r="AI499" s="3"/>
      <c r="AJ499" s="3" t="e">
        <f>_xlfn.XLOOKUP(K499,工作表1!A:A,工作表1!C:C)</f>
        <v>#N/A</v>
      </c>
      <c r="AK499" s="3"/>
      <c r="AL499" s="6">
        <f t="shared" si="110"/>
        <v>2</v>
      </c>
      <c r="AM499" s="6">
        <f t="shared" si="111"/>
        <v>0</v>
      </c>
      <c r="AN499" s="6">
        <f t="shared" si="112"/>
        <v>0</v>
      </c>
      <c r="AO499" s="6">
        <f t="shared" si="113"/>
        <v>0</v>
      </c>
      <c r="AP499" s="6">
        <f t="shared" si="114"/>
        <v>0</v>
      </c>
      <c r="AQ499" s="6">
        <f t="shared" si="115"/>
        <v>2</v>
      </c>
      <c r="AR499" s="6">
        <v>2</v>
      </c>
      <c r="AS499" s="6"/>
      <c r="AT499" s="6"/>
      <c r="AU499" s="6"/>
      <c r="AV499" s="6"/>
      <c r="AW499" s="6"/>
      <c r="AX499" s="6"/>
      <c r="AY499" s="6"/>
      <c r="AZ499" s="6"/>
      <c r="BA499" s="6"/>
      <c r="BB499" s="6"/>
      <c r="BC499" s="6"/>
      <c r="BD499" s="6"/>
      <c r="BE499" s="6"/>
      <c r="BF499" s="6"/>
      <c r="BG499" s="6"/>
      <c r="BH499" s="6"/>
      <c r="BI499" s="6"/>
      <c r="BJ499" s="6"/>
      <c r="BK499" s="6"/>
      <c r="BL499" s="6"/>
      <c r="BM499" s="6"/>
      <c r="BN499" s="6"/>
      <c r="BO499" s="6"/>
      <c r="BP499" s="3">
        <v>2</v>
      </c>
      <c r="BQ499" s="6">
        <f t="shared" si="106"/>
        <v>2</v>
      </c>
      <c r="BR499" s="8">
        <v>2</v>
      </c>
    </row>
    <row r="500" spans="1:74" x14ac:dyDescent="0.3">
      <c r="A500" s="3" t="s">
        <v>776</v>
      </c>
      <c r="B500" s="3">
        <v>331</v>
      </c>
      <c r="C500" s="3" t="s">
        <v>824</v>
      </c>
      <c r="D500" s="3">
        <v>3</v>
      </c>
      <c r="E500" s="3">
        <v>0.75</v>
      </c>
      <c r="F500" s="3" t="s">
        <v>19</v>
      </c>
      <c r="G500" s="3" t="s">
        <v>19</v>
      </c>
      <c r="H500" s="3" t="s">
        <v>227</v>
      </c>
      <c r="I500" s="3"/>
      <c r="J500" s="3" t="s">
        <v>91</v>
      </c>
      <c r="K500" s="3" t="s">
        <v>828</v>
      </c>
      <c r="L500" s="3" t="s">
        <v>24</v>
      </c>
      <c r="M500" s="3">
        <v>5</v>
      </c>
      <c r="N500" s="6"/>
      <c r="O500" s="3">
        <v>4</v>
      </c>
      <c r="P500" s="3">
        <v>4</v>
      </c>
      <c r="Q500" s="3">
        <v>4</v>
      </c>
      <c r="R500" s="3">
        <v>0</v>
      </c>
      <c r="S500" s="3">
        <v>0</v>
      </c>
      <c r="T500" s="3">
        <v>0</v>
      </c>
      <c r="U500" s="3">
        <v>0</v>
      </c>
      <c r="V500" s="3">
        <f t="shared" si="107"/>
        <v>4</v>
      </c>
      <c r="W500" s="3">
        <v>4</v>
      </c>
      <c r="X500" s="3">
        <v>0</v>
      </c>
      <c r="Y500" s="3">
        <v>0</v>
      </c>
      <c r="Z500" s="3">
        <v>0</v>
      </c>
      <c r="AA500" s="3">
        <v>0</v>
      </c>
      <c r="AB500" s="3">
        <f t="shared" si="108"/>
        <v>4</v>
      </c>
      <c r="AC500" s="6">
        <f t="shared" si="116"/>
        <v>0</v>
      </c>
      <c r="AD500" s="6">
        <f t="shared" si="117"/>
        <v>0</v>
      </c>
      <c r="AE500" s="6">
        <f t="shared" si="118"/>
        <v>0</v>
      </c>
      <c r="AF500" s="6">
        <f t="shared" si="119"/>
        <v>0</v>
      </c>
      <c r="AG500" s="6">
        <f t="shared" si="120"/>
        <v>0</v>
      </c>
      <c r="AH500" s="6">
        <f t="shared" si="109"/>
        <v>0</v>
      </c>
      <c r="AI500" s="3"/>
      <c r="AJ500" s="3" t="e">
        <f>_xlfn.XLOOKUP(K500,工作表1!A:A,工作表1!C:C)</f>
        <v>#N/A</v>
      </c>
      <c r="AK500" s="3"/>
      <c r="AL500" s="6">
        <f t="shared" si="110"/>
        <v>4</v>
      </c>
      <c r="AM500" s="6">
        <f t="shared" si="111"/>
        <v>0</v>
      </c>
      <c r="AN500" s="6">
        <f t="shared" si="112"/>
        <v>0</v>
      </c>
      <c r="AO500" s="6">
        <f t="shared" si="113"/>
        <v>0</v>
      </c>
      <c r="AP500" s="6">
        <f t="shared" si="114"/>
        <v>0</v>
      </c>
      <c r="AQ500" s="6">
        <f t="shared" si="115"/>
        <v>4</v>
      </c>
      <c r="AR500" s="6">
        <v>4</v>
      </c>
      <c r="AS500" s="6"/>
      <c r="AT500" s="6"/>
      <c r="AU500" s="6"/>
      <c r="AV500" s="6"/>
      <c r="AW500" s="6"/>
      <c r="AX500" s="6"/>
      <c r="AY500" s="6"/>
      <c r="AZ500" s="6"/>
      <c r="BA500" s="6"/>
      <c r="BB500" s="6"/>
      <c r="BC500" s="6"/>
      <c r="BD500" s="6"/>
      <c r="BE500" s="6"/>
      <c r="BF500" s="6"/>
      <c r="BG500" s="6"/>
      <c r="BH500" s="6"/>
      <c r="BI500" s="6"/>
      <c r="BJ500" s="6"/>
      <c r="BK500" s="6"/>
      <c r="BL500" s="6"/>
      <c r="BM500" s="6"/>
      <c r="BN500" s="6"/>
      <c r="BO500" s="6"/>
      <c r="BP500" s="3">
        <v>4</v>
      </c>
      <c r="BQ500" s="6">
        <f t="shared" si="106"/>
        <v>4</v>
      </c>
      <c r="BR500" s="8">
        <v>4</v>
      </c>
    </row>
    <row r="501" spans="1:74" x14ac:dyDescent="0.3">
      <c r="A501" s="3" t="s">
        <v>776</v>
      </c>
      <c r="B501" s="3">
        <v>332</v>
      </c>
      <c r="C501" s="3" t="s">
        <v>829</v>
      </c>
      <c r="D501" s="3">
        <v>6</v>
      </c>
      <c r="E501" s="3">
        <v>1</v>
      </c>
      <c r="F501" s="3" t="s">
        <v>41</v>
      </c>
      <c r="G501" s="3" t="s">
        <v>41</v>
      </c>
      <c r="H501" s="3" t="s">
        <v>248</v>
      </c>
      <c r="I501" s="3"/>
      <c r="J501" s="3" t="s">
        <v>91</v>
      </c>
      <c r="K501" s="3" t="s">
        <v>830</v>
      </c>
      <c r="L501" s="3" t="s">
        <v>24</v>
      </c>
      <c r="M501" s="3">
        <v>3</v>
      </c>
      <c r="N501" s="6"/>
      <c r="O501" s="3">
        <v>3</v>
      </c>
      <c r="P501" s="3">
        <v>3</v>
      </c>
      <c r="Q501" s="3">
        <v>3</v>
      </c>
      <c r="R501" s="3">
        <v>0</v>
      </c>
      <c r="S501" s="3">
        <v>0</v>
      </c>
      <c r="T501" s="3">
        <v>0</v>
      </c>
      <c r="U501" s="3">
        <v>0</v>
      </c>
      <c r="V501" s="3">
        <f t="shared" si="107"/>
        <v>3</v>
      </c>
      <c r="W501" s="3">
        <v>3</v>
      </c>
      <c r="X501" s="3">
        <v>0</v>
      </c>
      <c r="Y501" s="3">
        <v>0</v>
      </c>
      <c r="Z501" s="3">
        <v>0</v>
      </c>
      <c r="AA501" s="3">
        <v>0</v>
      </c>
      <c r="AB501" s="3">
        <f t="shared" si="108"/>
        <v>3</v>
      </c>
      <c r="AC501" s="6">
        <f t="shared" si="116"/>
        <v>-3</v>
      </c>
      <c r="AD501" s="6">
        <f t="shared" si="117"/>
        <v>0</v>
      </c>
      <c r="AE501" s="6">
        <f t="shared" si="118"/>
        <v>0</v>
      </c>
      <c r="AF501" s="6">
        <f t="shared" si="119"/>
        <v>0</v>
      </c>
      <c r="AG501" s="6">
        <f t="shared" si="120"/>
        <v>0</v>
      </c>
      <c r="AH501" s="6">
        <f t="shared" si="109"/>
        <v>-3</v>
      </c>
      <c r="AI501" s="3"/>
      <c r="AJ501" s="3" t="e">
        <f>_xlfn.XLOOKUP(K501,工作表1!A:A,工作表1!C:C)</f>
        <v>#N/A</v>
      </c>
      <c r="AK501" s="3"/>
      <c r="AL501" s="6">
        <f t="shared" si="110"/>
        <v>0</v>
      </c>
      <c r="AM501" s="6">
        <f t="shared" si="111"/>
        <v>0</v>
      </c>
      <c r="AN501" s="6">
        <f t="shared" si="112"/>
        <v>0</v>
      </c>
      <c r="AO501" s="6">
        <f t="shared" si="113"/>
        <v>0</v>
      </c>
      <c r="AP501" s="6">
        <f t="shared" si="114"/>
        <v>0</v>
      </c>
      <c r="AQ501" s="6">
        <f t="shared" si="115"/>
        <v>0</v>
      </c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  <c r="BC501" s="6"/>
      <c r="BD501" s="6"/>
      <c r="BE501" s="6"/>
      <c r="BF501" s="6"/>
      <c r="BG501" s="6"/>
      <c r="BH501" s="6"/>
      <c r="BI501" s="6"/>
      <c r="BJ501" s="6"/>
      <c r="BK501" s="6"/>
      <c r="BL501" s="6"/>
      <c r="BM501" s="6"/>
      <c r="BN501" s="6"/>
      <c r="BO501" s="6"/>
      <c r="BP501" s="3">
        <v>3</v>
      </c>
      <c r="BQ501" s="6">
        <f t="shared" si="106"/>
        <v>0</v>
      </c>
    </row>
    <row r="502" spans="1:74" x14ac:dyDescent="0.3">
      <c r="A502" s="3" t="s">
        <v>776</v>
      </c>
      <c r="B502" s="3">
        <v>351</v>
      </c>
      <c r="C502" s="3" t="s">
        <v>831</v>
      </c>
      <c r="D502" s="3">
        <v>1</v>
      </c>
      <c r="E502" s="3" t="s">
        <v>19</v>
      </c>
      <c r="F502" s="3" t="s">
        <v>19</v>
      </c>
      <c r="G502" s="3" t="s">
        <v>19</v>
      </c>
      <c r="H502" s="3" t="s">
        <v>101</v>
      </c>
      <c r="I502" s="3"/>
      <c r="J502" s="3" t="s">
        <v>91</v>
      </c>
      <c r="K502" s="3" t="s">
        <v>832</v>
      </c>
      <c r="L502" s="3" t="s">
        <v>24</v>
      </c>
      <c r="M502" s="3">
        <v>3</v>
      </c>
      <c r="N502" s="6"/>
      <c r="O502" s="3">
        <v>2</v>
      </c>
      <c r="P502" s="3">
        <v>2</v>
      </c>
      <c r="Q502" s="3">
        <v>2</v>
      </c>
      <c r="R502" s="3">
        <v>0</v>
      </c>
      <c r="S502" s="3">
        <v>0</v>
      </c>
      <c r="T502" s="3">
        <v>0</v>
      </c>
      <c r="U502" s="3">
        <v>0</v>
      </c>
      <c r="V502" s="3">
        <f t="shared" si="107"/>
        <v>2</v>
      </c>
      <c r="W502" s="3">
        <v>2</v>
      </c>
      <c r="X502" s="3">
        <v>0</v>
      </c>
      <c r="Y502" s="3">
        <v>0</v>
      </c>
      <c r="Z502" s="3">
        <v>0</v>
      </c>
      <c r="AA502" s="3">
        <v>0</v>
      </c>
      <c r="AB502" s="3">
        <f t="shared" si="108"/>
        <v>2</v>
      </c>
      <c r="AC502" s="6">
        <f t="shared" si="116"/>
        <v>-2</v>
      </c>
      <c r="AD502" s="6">
        <f t="shared" si="117"/>
        <v>0</v>
      </c>
      <c r="AE502" s="6">
        <f t="shared" si="118"/>
        <v>0</v>
      </c>
      <c r="AF502" s="6">
        <f t="shared" si="119"/>
        <v>0</v>
      </c>
      <c r="AG502" s="6">
        <f t="shared" si="120"/>
        <v>0</v>
      </c>
      <c r="AH502" s="6">
        <f t="shared" si="109"/>
        <v>-2</v>
      </c>
      <c r="AI502" s="3"/>
      <c r="AJ502" s="3" t="e">
        <f>_xlfn.XLOOKUP(K502,工作表1!A:A,工作表1!C:C)</f>
        <v>#N/A</v>
      </c>
      <c r="AK502" s="3"/>
      <c r="AL502" s="6">
        <f t="shared" si="110"/>
        <v>0</v>
      </c>
      <c r="AM502" s="6">
        <f t="shared" si="111"/>
        <v>0</v>
      </c>
      <c r="AN502" s="6">
        <f t="shared" si="112"/>
        <v>0</v>
      </c>
      <c r="AO502" s="6">
        <f t="shared" si="113"/>
        <v>0</v>
      </c>
      <c r="AP502" s="6">
        <f t="shared" si="114"/>
        <v>0</v>
      </c>
      <c r="AQ502" s="6">
        <f t="shared" si="115"/>
        <v>0</v>
      </c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  <c r="BC502" s="6"/>
      <c r="BD502" s="6"/>
      <c r="BE502" s="6"/>
      <c r="BF502" s="6"/>
      <c r="BG502" s="6"/>
      <c r="BH502" s="6"/>
      <c r="BI502" s="6"/>
      <c r="BJ502" s="6"/>
      <c r="BK502" s="6"/>
      <c r="BL502" s="6"/>
      <c r="BM502" s="6"/>
      <c r="BN502" s="6"/>
      <c r="BO502" s="6"/>
      <c r="BP502" s="3">
        <v>2</v>
      </c>
      <c r="BQ502" s="6">
        <f t="shared" si="106"/>
        <v>0</v>
      </c>
    </row>
    <row r="503" spans="1:74" x14ac:dyDescent="0.3">
      <c r="A503" s="3" t="s">
        <v>776</v>
      </c>
      <c r="B503" s="3">
        <v>362</v>
      </c>
      <c r="C503" s="3" t="s">
        <v>833</v>
      </c>
      <c r="D503" s="3">
        <v>3</v>
      </c>
      <c r="E503" s="3">
        <v>1</v>
      </c>
      <c r="F503" s="3" t="s">
        <v>778</v>
      </c>
      <c r="G503" s="3" t="s">
        <v>752</v>
      </c>
      <c r="H503" s="3" t="s">
        <v>834</v>
      </c>
      <c r="I503" s="3"/>
      <c r="J503" s="3" t="s">
        <v>91</v>
      </c>
      <c r="K503" s="3" t="s">
        <v>835</v>
      </c>
      <c r="L503" s="3" t="s">
        <v>24</v>
      </c>
      <c r="M503" s="3">
        <v>2</v>
      </c>
      <c r="N503" s="6"/>
      <c r="O503" s="3">
        <v>2</v>
      </c>
      <c r="P503" s="3">
        <v>2</v>
      </c>
      <c r="Q503" s="3">
        <v>2</v>
      </c>
      <c r="R503" s="3">
        <v>0</v>
      </c>
      <c r="S503" s="3">
        <v>0</v>
      </c>
      <c r="T503" s="3">
        <v>0</v>
      </c>
      <c r="U503" s="3">
        <v>0</v>
      </c>
      <c r="V503" s="3">
        <f t="shared" si="107"/>
        <v>2</v>
      </c>
      <c r="W503" s="3">
        <v>2</v>
      </c>
      <c r="X503" s="3">
        <v>0</v>
      </c>
      <c r="Y503" s="3">
        <v>0</v>
      </c>
      <c r="Z503" s="3">
        <v>0</v>
      </c>
      <c r="AA503" s="3">
        <v>0</v>
      </c>
      <c r="AB503" s="3">
        <f t="shared" si="108"/>
        <v>2</v>
      </c>
      <c r="AC503" s="6">
        <f t="shared" si="116"/>
        <v>0</v>
      </c>
      <c r="AD503" s="6">
        <f t="shared" si="117"/>
        <v>0</v>
      </c>
      <c r="AE503" s="6">
        <f t="shared" si="118"/>
        <v>0</v>
      </c>
      <c r="AF503" s="6">
        <f t="shared" si="119"/>
        <v>0</v>
      </c>
      <c r="AG503" s="6">
        <f t="shared" si="120"/>
        <v>0</v>
      </c>
      <c r="AH503" s="6">
        <f t="shared" si="109"/>
        <v>0</v>
      </c>
      <c r="AI503" s="3"/>
      <c r="AJ503" s="3" t="e">
        <f>_xlfn.XLOOKUP(K503,工作表1!A:A,工作表1!C:C)</f>
        <v>#N/A</v>
      </c>
      <c r="AK503" s="3"/>
      <c r="AL503" s="6">
        <f t="shared" si="110"/>
        <v>2</v>
      </c>
      <c r="AM503" s="6">
        <f t="shared" si="111"/>
        <v>0</v>
      </c>
      <c r="AN503" s="6">
        <f t="shared" si="112"/>
        <v>0</v>
      </c>
      <c r="AO503" s="6">
        <f t="shared" si="113"/>
        <v>0</v>
      </c>
      <c r="AP503" s="6">
        <f t="shared" si="114"/>
        <v>0</v>
      </c>
      <c r="AQ503" s="6">
        <f t="shared" si="115"/>
        <v>2</v>
      </c>
      <c r="AR503" s="6"/>
      <c r="AS503" s="6"/>
      <c r="AT503" s="6">
        <v>2</v>
      </c>
      <c r="AU503" s="6"/>
      <c r="AV503" s="6"/>
      <c r="AW503" s="6"/>
      <c r="AX503" s="6"/>
      <c r="AY503" s="6"/>
      <c r="AZ503" s="6"/>
      <c r="BA503" s="6"/>
      <c r="BB503" s="6"/>
      <c r="BC503" s="6"/>
      <c r="BD503" s="6"/>
      <c r="BE503" s="6"/>
      <c r="BF503" s="6"/>
      <c r="BG503" s="6"/>
      <c r="BH503" s="6"/>
      <c r="BI503" s="6"/>
      <c r="BJ503" s="6"/>
      <c r="BK503" s="6"/>
      <c r="BL503" s="6"/>
      <c r="BM503" s="6"/>
      <c r="BN503" s="6"/>
      <c r="BO503" s="6"/>
      <c r="BP503" s="3">
        <v>2</v>
      </c>
      <c r="BQ503" s="6">
        <f t="shared" si="106"/>
        <v>2</v>
      </c>
      <c r="BU503">
        <v>2</v>
      </c>
    </row>
    <row r="504" spans="1:74" x14ac:dyDescent="0.3">
      <c r="A504" s="3" t="s">
        <v>776</v>
      </c>
      <c r="B504" s="3">
        <v>363</v>
      </c>
      <c r="C504" s="3" t="s">
        <v>836</v>
      </c>
      <c r="D504" s="3">
        <v>6</v>
      </c>
      <c r="E504" s="3">
        <v>4</v>
      </c>
      <c r="F504" s="3" t="s">
        <v>778</v>
      </c>
      <c r="G504" s="3" t="s">
        <v>778</v>
      </c>
      <c r="H504" s="3" t="s">
        <v>837</v>
      </c>
      <c r="I504" s="3"/>
      <c r="J504" s="3" t="s">
        <v>91</v>
      </c>
      <c r="K504" s="3" t="s">
        <v>838</v>
      </c>
      <c r="L504" s="3" t="s">
        <v>24</v>
      </c>
      <c r="M504" s="3">
        <v>1</v>
      </c>
      <c r="N504" s="6"/>
      <c r="O504" s="3">
        <v>1</v>
      </c>
      <c r="P504" s="3">
        <v>1</v>
      </c>
      <c r="Q504" s="3">
        <v>1</v>
      </c>
      <c r="R504" s="3">
        <v>0</v>
      </c>
      <c r="S504" s="3">
        <v>0</v>
      </c>
      <c r="T504" s="3">
        <v>0</v>
      </c>
      <c r="U504" s="3">
        <v>0</v>
      </c>
      <c r="V504" s="3">
        <f t="shared" si="107"/>
        <v>1</v>
      </c>
      <c r="W504" s="3">
        <v>1</v>
      </c>
      <c r="X504" s="3">
        <v>0</v>
      </c>
      <c r="Y504" s="3">
        <v>0</v>
      </c>
      <c r="Z504" s="3">
        <v>0</v>
      </c>
      <c r="AA504" s="3">
        <v>0</v>
      </c>
      <c r="AB504" s="3">
        <f t="shared" si="108"/>
        <v>1</v>
      </c>
      <c r="AC504" s="6">
        <f t="shared" si="116"/>
        <v>0</v>
      </c>
      <c r="AD504" s="6">
        <f t="shared" si="117"/>
        <v>0</v>
      </c>
      <c r="AE504" s="6">
        <f t="shared" si="118"/>
        <v>0</v>
      </c>
      <c r="AF504" s="6">
        <f t="shared" si="119"/>
        <v>0</v>
      </c>
      <c r="AG504" s="6">
        <f t="shared" si="120"/>
        <v>0</v>
      </c>
      <c r="AH504" s="6">
        <f t="shared" si="109"/>
        <v>0</v>
      </c>
      <c r="AI504" s="3"/>
      <c r="AJ504" s="3" t="e">
        <f>_xlfn.XLOOKUP(K504,工作表1!A:A,工作表1!C:C)</f>
        <v>#N/A</v>
      </c>
      <c r="AK504" s="3"/>
      <c r="AL504" s="6">
        <f t="shared" si="110"/>
        <v>1</v>
      </c>
      <c r="AM504" s="6">
        <f t="shared" si="111"/>
        <v>0</v>
      </c>
      <c r="AN504" s="6">
        <f t="shared" si="112"/>
        <v>0</v>
      </c>
      <c r="AO504" s="6">
        <f t="shared" si="113"/>
        <v>0</v>
      </c>
      <c r="AP504" s="6">
        <f t="shared" si="114"/>
        <v>0</v>
      </c>
      <c r="AQ504" s="6">
        <f t="shared" si="115"/>
        <v>1</v>
      </c>
      <c r="AR504" s="6"/>
      <c r="AS504" s="6"/>
      <c r="AT504" s="6">
        <v>1</v>
      </c>
      <c r="AU504" s="6"/>
      <c r="AV504" s="6"/>
      <c r="AW504" s="6"/>
      <c r="AX504" s="6"/>
      <c r="AY504" s="6"/>
      <c r="AZ504" s="6"/>
      <c r="BA504" s="6"/>
      <c r="BB504" s="6"/>
      <c r="BC504" s="6"/>
      <c r="BD504" s="6"/>
      <c r="BE504" s="6"/>
      <c r="BF504" s="6"/>
      <c r="BG504" s="6"/>
      <c r="BH504" s="6"/>
      <c r="BI504" s="6"/>
      <c r="BJ504" s="6"/>
      <c r="BK504" s="6"/>
      <c r="BL504" s="6"/>
      <c r="BM504" s="6"/>
      <c r="BN504" s="6"/>
      <c r="BO504" s="6"/>
      <c r="BP504" s="3">
        <v>1</v>
      </c>
      <c r="BQ504" s="6">
        <f t="shared" si="106"/>
        <v>1</v>
      </c>
      <c r="BU504">
        <v>1</v>
      </c>
    </row>
    <row r="505" spans="1:74" x14ac:dyDescent="0.3">
      <c r="A505" s="3" t="s">
        <v>776</v>
      </c>
      <c r="B505" s="3">
        <v>363</v>
      </c>
      <c r="C505" s="3" t="s">
        <v>839</v>
      </c>
      <c r="D505" s="3">
        <v>6</v>
      </c>
      <c r="E505" s="3">
        <v>4</v>
      </c>
      <c r="F505" s="3" t="s">
        <v>778</v>
      </c>
      <c r="G505" s="3" t="s">
        <v>778</v>
      </c>
      <c r="H505" s="3" t="s">
        <v>837</v>
      </c>
      <c r="I505" s="3"/>
      <c r="J505" s="3" t="s">
        <v>91</v>
      </c>
      <c r="K505" s="3" t="s">
        <v>840</v>
      </c>
      <c r="L505" s="3" t="s">
        <v>24</v>
      </c>
      <c r="M505" s="3">
        <v>1</v>
      </c>
      <c r="N505" s="6"/>
      <c r="O505" s="3">
        <v>1</v>
      </c>
      <c r="P505" s="3">
        <v>1</v>
      </c>
      <c r="Q505" s="3">
        <v>1</v>
      </c>
      <c r="R505" s="3">
        <v>0</v>
      </c>
      <c r="S505" s="3">
        <v>0</v>
      </c>
      <c r="T505" s="3">
        <v>0</v>
      </c>
      <c r="U505" s="3">
        <v>0</v>
      </c>
      <c r="V505" s="3">
        <f t="shared" si="107"/>
        <v>1</v>
      </c>
      <c r="W505" s="3">
        <v>1</v>
      </c>
      <c r="X505" s="3">
        <v>0</v>
      </c>
      <c r="Y505" s="3">
        <v>0</v>
      </c>
      <c r="Z505" s="3">
        <v>0</v>
      </c>
      <c r="AA505" s="3">
        <v>0</v>
      </c>
      <c r="AB505" s="3">
        <f t="shared" si="108"/>
        <v>1</v>
      </c>
      <c r="AC505" s="6">
        <f t="shared" si="116"/>
        <v>0</v>
      </c>
      <c r="AD505" s="6">
        <f t="shared" si="117"/>
        <v>0</v>
      </c>
      <c r="AE505" s="6">
        <f t="shared" si="118"/>
        <v>0</v>
      </c>
      <c r="AF505" s="6">
        <f t="shared" si="119"/>
        <v>0</v>
      </c>
      <c r="AG505" s="6">
        <f t="shared" si="120"/>
        <v>0</v>
      </c>
      <c r="AH505" s="6">
        <f t="shared" si="109"/>
        <v>0</v>
      </c>
      <c r="AI505" s="3"/>
      <c r="AJ505" s="3" t="e">
        <f>_xlfn.XLOOKUP(K505,工作表1!A:A,工作表1!C:C)</f>
        <v>#N/A</v>
      </c>
      <c r="AK505" s="3"/>
      <c r="AL505" s="6">
        <f t="shared" si="110"/>
        <v>1</v>
      </c>
      <c r="AM505" s="6">
        <f t="shared" si="111"/>
        <v>0</v>
      </c>
      <c r="AN505" s="6">
        <f t="shared" si="112"/>
        <v>0</v>
      </c>
      <c r="AO505" s="6">
        <f t="shared" si="113"/>
        <v>0</v>
      </c>
      <c r="AP505" s="6">
        <f t="shared" si="114"/>
        <v>0</v>
      </c>
      <c r="AQ505" s="6">
        <f t="shared" si="115"/>
        <v>1</v>
      </c>
      <c r="AR505" s="6"/>
      <c r="AS505" s="6"/>
      <c r="AT505" s="6">
        <v>1</v>
      </c>
      <c r="AU505" s="6"/>
      <c r="AV505" s="6"/>
      <c r="AW505" s="6"/>
      <c r="AX505" s="6"/>
      <c r="AY505" s="6"/>
      <c r="AZ505" s="6"/>
      <c r="BA505" s="6"/>
      <c r="BB505" s="6"/>
      <c r="BC505" s="6"/>
      <c r="BD505" s="6"/>
      <c r="BE505" s="6"/>
      <c r="BF505" s="6"/>
      <c r="BG505" s="6"/>
      <c r="BH505" s="6"/>
      <c r="BI505" s="6"/>
      <c r="BJ505" s="6"/>
      <c r="BK505" s="6"/>
      <c r="BL505" s="6"/>
      <c r="BM505" s="6"/>
      <c r="BN505" s="6"/>
      <c r="BO505" s="6"/>
      <c r="BP505" s="3">
        <v>1</v>
      </c>
      <c r="BQ505" s="6">
        <f t="shared" si="106"/>
        <v>1</v>
      </c>
      <c r="BU505">
        <v>1</v>
      </c>
    </row>
    <row r="506" spans="1:74" x14ac:dyDescent="0.3">
      <c r="A506" s="3" t="s">
        <v>776</v>
      </c>
      <c r="B506" s="3">
        <v>363</v>
      </c>
      <c r="C506" s="3" t="s">
        <v>839</v>
      </c>
      <c r="D506" s="3">
        <v>6</v>
      </c>
      <c r="E506" s="3">
        <v>4</v>
      </c>
      <c r="F506" s="3" t="s">
        <v>41</v>
      </c>
      <c r="G506" s="3" t="s">
        <v>41</v>
      </c>
      <c r="H506" s="3" t="s">
        <v>841</v>
      </c>
      <c r="I506" s="3"/>
      <c r="J506" s="3" t="s">
        <v>91</v>
      </c>
      <c r="K506" s="3" t="s">
        <v>842</v>
      </c>
      <c r="L506" s="3" t="s">
        <v>24</v>
      </c>
      <c r="M506" s="3">
        <v>3</v>
      </c>
      <c r="N506" s="6"/>
      <c r="O506" s="3">
        <v>3</v>
      </c>
      <c r="P506" s="3">
        <v>3</v>
      </c>
      <c r="Q506" s="3">
        <v>3</v>
      </c>
      <c r="R506" s="3">
        <v>0</v>
      </c>
      <c r="S506" s="3">
        <v>0</v>
      </c>
      <c r="T506" s="3">
        <v>0</v>
      </c>
      <c r="U506" s="3">
        <v>0</v>
      </c>
      <c r="V506" s="3">
        <f t="shared" si="107"/>
        <v>3</v>
      </c>
      <c r="W506" s="3">
        <v>3</v>
      </c>
      <c r="X506" s="3">
        <v>0</v>
      </c>
      <c r="Y506" s="3">
        <v>0</v>
      </c>
      <c r="Z506" s="3">
        <v>0</v>
      </c>
      <c r="AA506" s="3">
        <v>0</v>
      </c>
      <c r="AB506" s="3">
        <f t="shared" si="108"/>
        <v>3</v>
      </c>
      <c r="AC506" s="6">
        <f t="shared" si="116"/>
        <v>0</v>
      </c>
      <c r="AD506" s="6">
        <f t="shared" si="117"/>
        <v>0</v>
      </c>
      <c r="AE506" s="6">
        <f t="shared" si="118"/>
        <v>0</v>
      </c>
      <c r="AF506" s="6">
        <f t="shared" si="119"/>
        <v>0</v>
      </c>
      <c r="AG506" s="6">
        <f t="shared" si="120"/>
        <v>0</v>
      </c>
      <c r="AH506" s="6">
        <f t="shared" si="109"/>
        <v>0</v>
      </c>
      <c r="AI506" s="3"/>
      <c r="AJ506" s="3" t="e">
        <f>_xlfn.XLOOKUP(K506,工作表1!A:A,工作表1!C:C)</f>
        <v>#N/A</v>
      </c>
      <c r="AK506" s="3"/>
      <c r="AL506" s="6">
        <f t="shared" si="110"/>
        <v>3</v>
      </c>
      <c r="AM506" s="6">
        <f t="shared" si="111"/>
        <v>0</v>
      </c>
      <c r="AN506" s="6">
        <f t="shared" si="112"/>
        <v>0</v>
      </c>
      <c r="AO506" s="6">
        <f t="shared" si="113"/>
        <v>0</v>
      </c>
      <c r="AP506" s="6">
        <f t="shared" si="114"/>
        <v>0</v>
      </c>
      <c r="AQ506" s="6">
        <f t="shared" si="115"/>
        <v>3</v>
      </c>
      <c r="AR506" s="6"/>
      <c r="AS506" s="6"/>
      <c r="AT506" s="6"/>
      <c r="AU506" s="6">
        <v>3</v>
      </c>
      <c r="AV506" s="6"/>
      <c r="AW506" s="6"/>
      <c r="AX506" s="6"/>
      <c r="AY506" s="6"/>
      <c r="AZ506" s="6"/>
      <c r="BA506" s="6"/>
      <c r="BB506" s="6"/>
      <c r="BC506" s="6"/>
      <c r="BD506" s="6"/>
      <c r="BE506" s="6"/>
      <c r="BF506" s="6"/>
      <c r="BG506" s="6"/>
      <c r="BH506" s="6"/>
      <c r="BI506" s="6"/>
      <c r="BJ506" s="6"/>
      <c r="BK506" s="6"/>
      <c r="BL506" s="6"/>
      <c r="BM506" s="6"/>
      <c r="BN506" s="6"/>
      <c r="BO506" s="6"/>
      <c r="BP506" s="3">
        <v>3</v>
      </c>
      <c r="BQ506" s="6">
        <f t="shared" si="106"/>
        <v>3</v>
      </c>
      <c r="BV506">
        <v>3</v>
      </c>
    </row>
    <row r="507" spans="1:74" x14ac:dyDescent="0.3">
      <c r="A507" s="3" t="s">
        <v>776</v>
      </c>
      <c r="B507" s="3">
        <v>363</v>
      </c>
      <c r="C507" s="3" t="s">
        <v>839</v>
      </c>
      <c r="D507" s="3">
        <v>4</v>
      </c>
      <c r="E507" s="3">
        <v>2</v>
      </c>
      <c r="F507" s="3" t="s">
        <v>778</v>
      </c>
      <c r="G507" s="3" t="s">
        <v>752</v>
      </c>
      <c r="H507" s="3" t="s">
        <v>843</v>
      </c>
      <c r="I507" s="3"/>
      <c r="J507" s="3" t="s">
        <v>91</v>
      </c>
      <c r="K507" s="3" t="s">
        <v>844</v>
      </c>
      <c r="L507" s="3" t="s">
        <v>24</v>
      </c>
      <c r="M507" s="3">
        <v>2</v>
      </c>
      <c r="N507" s="6"/>
      <c r="O507" s="3">
        <v>2</v>
      </c>
      <c r="P507" s="3">
        <v>2</v>
      </c>
      <c r="Q507" s="3">
        <v>2</v>
      </c>
      <c r="R507" s="3">
        <v>0</v>
      </c>
      <c r="S507" s="3">
        <v>0</v>
      </c>
      <c r="T507" s="3">
        <v>0</v>
      </c>
      <c r="U507" s="3">
        <v>0</v>
      </c>
      <c r="V507" s="3">
        <f t="shared" si="107"/>
        <v>2</v>
      </c>
      <c r="W507" s="3">
        <v>2</v>
      </c>
      <c r="X507" s="3">
        <v>0</v>
      </c>
      <c r="Y507" s="3">
        <v>0</v>
      </c>
      <c r="Z507" s="3">
        <v>0</v>
      </c>
      <c r="AA507" s="3">
        <v>0</v>
      </c>
      <c r="AB507" s="3">
        <f t="shared" si="108"/>
        <v>2</v>
      </c>
      <c r="AC507" s="6">
        <f t="shared" si="116"/>
        <v>0</v>
      </c>
      <c r="AD507" s="6">
        <f t="shared" si="117"/>
        <v>0</v>
      </c>
      <c r="AE507" s="6">
        <f t="shared" si="118"/>
        <v>0</v>
      </c>
      <c r="AF507" s="6">
        <f t="shared" si="119"/>
        <v>0</v>
      </c>
      <c r="AG507" s="6">
        <f t="shared" si="120"/>
        <v>0</v>
      </c>
      <c r="AH507" s="6">
        <f t="shared" si="109"/>
        <v>0</v>
      </c>
      <c r="AI507" s="3"/>
      <c r="AJ507" s="3" t="e">
        <f>_xlfn.XLOOKUP(K507,工作表1!A:A,工作表1!C:C)</f>
        <v>#N/A</v>
      </c>
      <c r="AK507" s="3"/>
      <c r="AL507" s="6">
        <f t="shared" si="110"/>
        <v>2</v>
      </c>
      <c r="AM507" s="6">
        <f t="shared" si="111"/>
        <v>0</v>
      </c>
      <c r="AN507" s="6">
        <f t="shared" si="112"/>
        <v>0</v>
      </c>
      <c r="AO507" s="6">
        <f t="shared" si="113"/>
        <v>0</v>
      </c>
      <c r="AP507" s="6">
        <f t="shared" si="114"/>
        <v>0</v>
      </c>
      <c r="AQ507" s="6">
        <f t="shared" si="115"/>
        <v>2</v>
      </c>
      <c r="AR507" s="6"/>
      <c r="AS507" s="6"/>
      <c r="AT507" s="6">
        <v>2</v>
      </c>
      <c r="AU507" s="6"/>
      <c r="AV507" s="6"/>
      <c r="AW507" s="6"/>
      <c r="AX507" s="6"/>
      <c r="AY507" s="6"/>
      <c r="AZ507" s="6"/>
      <c r="BA507" s="6"/>
      <c r="BB507" s="6"/>
      <c r="BC507" s="6"/>
      <c r="BD507" s="6"/>
      <c r="BE507" s="6"/>
      <c r="BF507" s="6"/>
      <c r="BG507" s="6"/>
      <c r="BH507" s="6"/>
      <c r="BI507" s="6"/>
      <c r="BJ507" s="6"/>
      <c r="BK507" s="6"/>
      <c r="BL507" s="6"/>
      <c r="BM507" s="6"/>
      <c r="BN507" s="6"/>
      <c r="BO507" s="6"/>
      <c r="BP507" s="3">
        <v>2</v>
      </c>
      <c r="BQ507" s="6">
        <f t="shared" si="106"/>
        <v>2</v>
      </c>
      <c r="BU507">
        <v>2</v>
      </c>
    </row>
    <row r="508" spans="1:74" x14ac:dyDescent="0.3">
      <c r="A508" s="3" t="s">
        <v>776</v>
      </c>
      <c r="B508" s="3">
        <v>363</v>
      </c>
      <c r="C508" s="3" t="s">
        <v>839</v>
      </c>
      <c r="D508" s="3">
        <v>4</v>
      </c>
      <c r="E508" s="3">
        <v>3</v>
      </c>
      <c r="F508" s="3" t="s">
        <v>778</v>
      </c>
      <c r="G508" s="3" t="s">
        <v>778</v>
      </c>
      <c r="H508" s="3" t="s">
        <v>845</v>
      </c>
      <c r="I508" s="3"/>
      <c r="J508" s="3" t="s">
        <v>91</v>
      </c>
      <c r="K508" s="3" t="s">
        <v>846</v>
      </c>
      <c r="L508" s="3" t="s">
        <v>24</v>
      </c>
      <c r="M508" s="3">
        <v>1</v>
      </c>
      <c r="N508" s="6"/>
      <c r="O508" s="3">
        <v>1</v>
      </c>
      <c r="P508" s="3">
        <v>1</v>
      </c>
      <c r="Q508" s="3">
        <v>1</v>
      </c>
      <c r="R508" s="3">
        <v>0</v>
      </c>
      <c r="S508" s="3">
        <v>0</v>
      </c>
      <c r="T508" s="3">
        <v>0</v>
      </c>
      <c r="U508" s="3">
        <v>0</v>
      </c>
      <c r="V508" s="3">
        <f t="shared" si="107"/>
        <v>1</v>
      </c>
      <c r="W508" s="3">
        <v>1</v>
      </c>
      <c r="X508" s="3">
        <v>0</v>
      </c>
      <c r="Y508" s="3">
        <v>0</v>
      </c>
      <c r="Z508" s="3">
        <v>0</v>
      </c>
      <c r="AA508" s="3">
        <v>0</v>
      </c>
      <c r="AB508" s="3">
        <f t="shared" si="108"/>
        <v>1</v>
      </c>
      <c r="AC508" s="6">
        <f t="shared" si="116"/>
        <v>0</v>
      </c>
      <c r="AD508" s="6">
        <f t="shared" si="117"/>
        <v>0</v>
      </c>
      <c r="AE508" s="6">
        <f t="shared" si="118"/>
        <v>0</v>
      </c>
      <c r="AF508" s="6">
        <f t="shared" si="119"/>
        <v>0</v>
      </c>
      <c r="AG508" s="6">
        <f t="shared" si="120"/>
        <v>0</v>
      </c>
      <c r="AH508" s="6">
        <f t="shared" si="109"/>
        <v>0</v>
      </c>
      <c r="AI508" s="3"/>
      <c r="AJ508" s="3" t="e">
        <f>_xlfn.XLOOKUP(K508,工作表1!A:A,工作表1!C:C)</f>
        <v>#N/A</v>
      </c>
      <c r="AK508" s="3"/>
      <c r="AL508" s="6">
        <f t="shared" si="110"/>
        <v>1</v>
      </c>
      <c r="AM508" s="6">
        <f t="shared" si="111"/>
        <v>0</v>
      </c>
      <c r="AN508" s="6">
        <f t="shared" si="112"/>
        <v>0</v>
      </c>
      <c r="AO508" s="6">
        <f t="shared" si="113"/>
        <v>0</v>
      </c>
      <c r="AP508" s="6">
        <f t="shared" si="114"/>
        <v>0</v>
      </c>
      <c r="AQ508" s="6">
        <f t="shared" si="115"/>
        <v>1</v>
      </c>
      <c r="AR508" s="6"/>
      <c r="AS508" s="6"/>
      <c r="AT508" s="6">
        <v>1</v>
      </c>
      <c r="AU508" s="6"/>
      <c r="AV508" s="6"/>
      <c r="AW508" s="6"/>
      <c r="AX508" s="6"/>
      <c r="AY508" s="6"/>
      <c r="AZ508" s="6"/>
      <c r="BA508" s="6"/>
      <c r="BB508" s="6"/>
      <c r="BC508" s="6"/>
      <c r="BD508" s="6"/>
      <c r="BE508" s="6"/>
      <c r="BF508" s="6"/>
      <c r="BG508" s="6"/>
      <c r="BH508" s="6"/>
      <c r="BI508" s="6"/>
      <c r="BJ508" s="6"/>
      <c r="BK508" s="6"/>
      <c r="BL508" s="6"/>
      <c r="BM508" s="6"/>
      <c r="BN508" s="6"/>
      <c r="BO508" s="6"/>
      <c r="BP508" s="3">
        <v>1</v>
      </c>
      <c r="BQ508" s="6">
        <f t="shared" si="106"/>
        <v>1</v>
      </c>
      <c r="BU508">
        <v>1</v>
      </c>
    </row>
    <row r="509" spans="1:74" x14ac:dyDescent="0.3">
      <c r="A509" s="3" t="s">
        <v>776</v>
      </c>
      <c r="B509" s="3">
        <v>411</v>
      </c>
      <c r="C509" s="3" t="s">
        <v>847</v>
      </c>
      <c r="D509" s="3">
        <v>1</v>
      </c>
      <c r="E509" s="3" t="s">
        <v>19</v>
      </c>
      <c r="F509" s="3" t="s">
        <v>19</v>
      </c>
      <c r="G509" s="3" t="s">
        <v>19</v>
      </c>
      <c r="H509" s="3" t="s">
        <v>101</v>
      </c>
      <c r="I509" s="3"/>
      <c r="J509" s="3" t="s">
        <v>91</v>
      </c>
      <c r="K509" s="3" t="s">
        <v>848</v>
      </c>
      <c r="L509" s="3" t="s">
        <v>335</v>
      </c>
      <c r="M509" s="3">
        <v>1</v>
      </c>
      <c r="N509" s="6"/>
      <c r="O509" s="3">
        <v>1</v>
      </c>
      <c r="P509" s="3">
        <v>1</v>
      </c>
      <c r="Q509" s="3">
        <v>1</v>
      </c>
      <c r="R509" s="3">
        <v>0</v>
      </c>
      <c r="S509" s="3">
        <v>0</v>
      </c>
      <c r="T509" s="3">
        <v>0</v>
      </c>
      <c r="U509" s="3">
        <v>0</v>
      </c>
      <c r="V509" s="3">
        <f t="shared" si="107"/>
        <v>1</v>
      </c>
      <c r="W509" s="3">
        <v>1</v>
      </c>
      <c r="X509" s="3">
        <v>0</v>
      </c>
      <c r="Y509" s="3">
        <v>0</v>
      </c>
      <c r="Z509" s="3">
        <v>0</v>
      </c>
      <c r="AA509" s="3">
        <v>0</v>
      </c>
      <c r="AB509" s="3">
        <f t="shared" si="108"/>
        <v>1</v>
      </c>
      <c r="AC509" s="6">
        <f t="shared" si="116"/>
        <v>-1</v>
      </c>
      <c r="AD509" s="6">
        <f t="shared" si="117"/>
        <v>0</v>
      </c>
      <c r="AE509" s="6">
        <f t="shared" si="118"/>
        <v>0</v>
      </c>
      <c r="AF509" s="6">
        <f t="shared" si="119"/>
        <v>0</v>
      </c>
      <c r="AG509" s="6">
        <f t="shared" si="120"/>
        <v>0</v>
      </c>
      <c r="AH509" s="6">
        <f t="shared" si="109"/>
        <v>-1</v>
      </c>
      <c r="AI509" s="3">
        <v>1</v>
      </c>
      <c r="AJ509" s="3" t="e">
        <f>_xlfn.XLOOKUP(K509,工作表1!A:A,工作表1!C:C)</f>
        <v>#N/A</v>
      </c>
      <c r="AK509" s="3"/>
      <c r="AL509" s="6">
        <f t="shared" si="110"/>
        <v>0</v>
      </c>
      <c r="AM509" s="6">
        <f t="shared" si="111"/>
        <v>0</v>
      </c>
      <c r="AN509" s="6">
        <f t="shared" si="112"/>
        <v>0</v>
      </c>
      <c r="AO509" s="6">
        <f t="shared" si="113"/>
        <v>0</v>
      </c>
      <c r="AP509" s="6">
        <f t="shared" si="114"/>
        <v>0</v>
      </c>
      <c r="AQ509" s="6">
        <f t="shared" si="115"/>
        <v>0</v>
      </c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  <c r="BC509" s="6"/>
      <c r="BD509" s="6"/>
      <c r="BE509" s="6"/>
      <c r="BF509" s="6"/>
      <c r="BG509" s="6"/>
      <c r="BH509" s="6"/>
      <c r="BI509" s="6"/>
      <c r="BJ509" s="6"/>
      <c r="BK509" s="6"/>
      <c r="BL509" s="6"/>
      <c r="BM509" s="6"/>
      <c r="BN509" s="6"/>
      <c r="BO509" s="6"/>
      <c r="BP509" s="3">
        <v>1</v>
      </c>
      <c r="BQ509" s="6">
        <f t="shared" si="106"/>
        <v>0</v>
      </c>
    </row>
    <row r="510" spans="1:74" x14ac:dyDescent="0.3">
      <c r="A510" s="3" t="s">
        <v>776</v>
      </c>
      <c r="B510" s="3">
        <v>412</v>
      </c>
      <c r="C510" s="3" t="s">
        <v>849</v>
      </c>
      <c r="D510" s="3">
        <v>1</v>
      </c>
      <c r="E510" s="3" t="s">
        <v>19</v>
      </c>
      <c r="F510" s="3" t="s">
        <v>752</v>
      </c>
      <c r="G510" s="3" t="s">
        <v>19</v>
      </c>
      <c r="H510" s="3" t="s">
        <v>797</v>
      </c>
      <c r="I510" s="3">
        <v>4.55</v>
      </c>
      <c r="J510" s="3" t="s">
        <v>91</v>
      </c>
      <c r="K510" s="3" t="s">
        <v>850</v>
      </c>
      <c r="L510" s="3" t="s">
        <v>24</v>
      </c>
      <c r="M510" s="3">
        <v>3</v>
      </c>
      <c r="N510" s="6"/>
      <c r="O510" s="3">
        <v>3</v>
      </c>
      <c r="P510" s="3">
        <v>3</v>
      </c>
      <c r="Q510" s="3">
        <v>3</v>
      </c>
      <c r="R510" s="3">
        <v>0</v>
      </c>
      <c r="S510" s="3">
        <v>0</v>
      </c>
      <c r="T510" s="3">
        <v>0</v>
      </c>
      <c r="U510" s="3">
        <v>0</v>
      </c>
      <c r="V510" s="3">
        <f t="shared" si="107"/>
        <v>3</v>
      </c>
      <c r="W510" s="3">
        <v>3</v>
      </c>
      <c r="X510" s="3">
        <v>0</v>
      </c>
      <c r="Y510" s="3">
        <v>0</v>
      </c>
      <c r="Z510" s="3">
        <v>0</v>
      </c>
      <c r="AA510" s="3">
        <v>0</v>
      </c>
      <c r="AB510" s="3">
        <f t="shared" si="108"/>
        <v>3</v>
      </c>
      <c r="AC510" s="6">
        <f t="shared" si="116"/>
        <v>0</v>
      </c>
      <c r="AD510" s="6">
        <f t="shared" si="117"/>
        <v>0</v>
      </c>
      <c r="AE510" s="6">
        <f t="shared" si="118"/>
        <v>0</v>
      </c>
      <c r="AF510" s="6">
        <f t="shared" si="119"/>
        <v>0</v>
      </c>
      <c r="AG510" s="6">
        <f t="shared" si="120"/>
        <v>0</v>
      </c>
      <c r="AH510" s="6">
        <f t="shared" si="109"/>
        <v>0</v>
      </c>
      <c r="AI510" s="3"/>
      <c r="AJ510" s="3" t="e">
        <f>_xlfn.XLOOKUP(K510,工作表1!A:A,工作表1!C:C)</f>
        <v>#N/A</v>
      </c>
      <c r="AK510" s="3"/>
      <c r="AL510" s="6">
        <f t="shared" si="110"/>
        <v>3</v>
      </c>
      <c r="AM510" s="6">
        <f t="shared" si="111"/>
        <v>0</v>
      </c>
      <c r="AN510" s="6">
        <f t="shared" si="112"/>
        <v>0</v>
      </c>
      <c r="AO510" s="6">
        <f t="shared" si="113"/>
        <v>0</v>
      </c>
      <c r="AP510" s="6">
        <f t="shared" si="114"/>
        <v>0</v>
      </c>
      <c r="AQ510" s="6">
        <f t="shared" si="115"/>
        <v>3</v>
      </c>
      <c r="AR510" s="6"/>
      <c r="AS510" s="6"/>
      <c r="AT510" s="6">
        <v>3</v>
      </c>
      <c r="AU510" s="6"/>
      <c r="AV510" s="6"/>
      <c r="AW510" s="6"/>
      <c r="AX510" s="6"/>
      <c r="AY510" s="6"/>
      <c r="AZ510" s="6"/>
      <c r="BA510" s="6"/>
      <c r="BB510" s="6"/>
      <c r="BC510" s="6"/>
      <c r="BD510" s="6"/>
      <c r="BE510" s="6"/>
      <c r="BF510" s="6"/>
      <c r="BG510" s="6"/>
      <c r="BH510" s="6"/>
      <c r="BI510" s="6"/>
      <c r="BJ510" s="6"/>
      <c r="BK510" s="6"/>
      <c r="BL510" s="6"/>
      <c r="BM510" s="6"/>
      <c r="BN510" s="6"/>
      <c r="BO510" s="6"/>
      <c r="BP510" s="3">
        <v>3</v>
      </c>
      <c r="BQ510" s="6">
        <f t="shared" si="106"/>
        <v>3</v>
      </c>
      <c r="BU510">
        <v>3</v>
      </c>
    </row>
    <row r="511" spans="1:74" x14ac:dyDescent="0.3">
      <c r="A511" s="3" t="s">
        <v>776</v>
      </c>
      <c r="B511" s="3">
        <v>412</v>
      </c>
      <c r="C511" s="3" t="s">
        <v>849</v>
      </c>
      <c r="D511" s="3">
        <v>0.75</v>
      </c>
      <c r="E511" s="3" t="s">
        <v>19</v>
      </c>
      <c r="F511" s="3" t="s">
        <v>752</v>
      </c>
      <c r="G511" s="3" t="s">
        <v>19</v>
      </c>
      <c r="H511" s="3" t="s">
        <v>799</v>
      </c>
      <c r="I511" s="3">
        <v>3.91</v>
      </c>
      <c r="J511" s="3" t="s">
        <v>91</v>
      </c>
      <c r="K511" s="3" t="s">
        <v>851</v>
      </c>
      <c r="L511" s="3" t="s">
        <v>24</v>
      </c>
      <c r="M511" s="3">
        <v>4</v>
      </c>
      <c r="N511" s="6"/>
      <c r="O511" s="3">
        <v>4</v>
      </c>
      <c r="P511" s="3">
        <v>4</v>
      </c>
      <c r="Q511" s="3">
        <v>4</v>
      </c>
      <c r="R511" s="3">
        <v>0</v>
      </c>
      <c r="S511" s="3">
        <v>0</v>
      </c>
      <c r="T511" s="3">
        <v>0</v>
      </c>
      <c r="U511" s="3">
        <v>0</v>
      </c>
      <c r="V511" s="3">
        <f t="shared" si="107"/>
        <v>4</v>
      </c>
      <c r="W511" s="3">
        <v>4</v>
      </c>
      <c r="X511" s="3">
        <v>0</v>
      </c>
      <c r="Y511" s="3">
        <v>0</v>
      </c>
      <c r="Z511" s="3">
        <v>0</v>
      </c>
      <c r="AA511" s="3">
        <v>0</v>
      </c>
      <c r="AB511" s="3">
        <f t="shared" si="108"/>
        <v>4</v>
      </c>
      <c r="AC511" s="6">
        <f t="shared" si="116"/>
        <v>0</v>
      </c>
      <c r="AD511" s="6">
        <f t="shared" si="117"/>
        <v>0</v>
      </c>
      <c r="AE511" s="6">
        <f t="shared" si="118"/>
        <v>0</v>
      </c>
      <c r="AF511" s="6">
        <f t="shared" si="119"/>
        <v>0</v>
      </c>
      <c r="AG511" s="6">
        <f t="shared" si="120"/>
        <v>0</v>
      </c>
      <c r="AH511" s="6">
        <f t="shared" si="109"/>
        <v>0</v>
      </c>
      <c r="AI511" s="3"/>
      <c r="AJ511" s="3" t="e">
        <f>_xlfn.XLOOKUP(K511,工作表1!A:A,工作表1!C:C)</f>
        <v>#N/A</v>
      </c>
      <c r="AK511" s="3"/>
      <c r="AL511" s="6">
        <f t="shared" si="110"/>
        <v>4</v>
      </c>
      <c r="AM511" s="6">
        <f t="shared" si="111"/>
        <v>0</v>
      </c>
      <c r="AN511" s="6">
        <f t="shared" si="112"/>
        <v>0</v>
      </c>
      <c r="AO511" s="6">
        <f t="shared" si="113"/>
        <v>0</v>
      </c>
      <c r="AP511" s="6">
        <f t="shared" si="114"/>
        <v>0</v>
      </c>
      <c r="AQ511" s="6">
        <f t="shared" si="115"/>
        <v>4</v>
      </c>
      <c r="AR511" s="6"/>
      <c r="AS511" s="6"/>
      <c r="AT511" s="6">
        <v>4</v>
      </c>
      <c r="AU511" s="6"/>
      <c r="AV511" s="6"/>
      <c r="AW511" s="6"/>
      <c r="AX511" s="6"/>
      <c r="AY511" s="6"/>
      <c r="AZ511" s="6"/>
      <c r="BA511" s="6"/>
      <c r="BB511" s="6"/>
      <c r="BC511" s="6"/>
      <c r="BD511" s="6"/>
      <c r="BE511" s="6"/>
      <c r="BF511" s="6"/>
      <c r="BG511" s="6"/>
      <c r="BH511" s="6"/>
      <c r="BI511" s="6"/>
      <c r="BJ511" s="6"/>
      <c r="BK511" s="6"/>
      <c r="BL511" s="6"/>
      <c r="BM511" s="6"/>
      <c r="BN511" s="6"/>
      <c r="BO511" s="6"/>
      <c r="BP511" s="3">
        <v>4</v>
      </c>
      <c r="BQ511" s="6">
        <f t="shared" si="106"/>
        <v>4</v>
      </c>
      <c r="BU511">
        <v>4</v>
      </c>
    </row>
    <row r="512" spans="1:74" x14ac:dyDescent="0.3">
      <c r="A512" s="3" t="s">
        <v>776</v>
      </c>
      <c r="B512" s="3">
        <v>412</v>
      </c>
      <c r="C512" s="3" t="s">
        <v>852</v>
      </c>
      <c r="D512" s="3">
        <v>1.5</v>
      </c>
      <c r="E512" s="3" t="s">
        <v>19</v>
      </c>
      <c r="F512" s="3" t="s">
        <v>752</v>
      </c>
      <c r="G512" s="3" t="s">
        <v>19</v>
      </c>
      <c r="H512" s="3" t="s">
        <v>753</v>
      </c>
      <c r="I512" s="3">
        <v>5.08</v>
      </c>
      <c r="J512" s="3" t="s">
        <v>91</v>
      </c>
      <c r="K512" s="3" t="s">
        <v>853</v>
      </c>
      <c r="L512" s="3" t="s">
        <v>24</v>
      </c>
      <c r="M512" s="3">
        <v>1</v>
      </c>
      <c r="N512" s="6"/>
      <c r="O512" s="3">
        <v>1</v>
      </c>
      <c r="P512" s="3">
        <v>1</v>
      </c>
      <c r="Q512" s="3">
        <v>1</v>
      </c>
      <c r="R512" s="3">
        <v>0</v>
      </c>
      <c r="S512" s="3">
        <v>0</v>
      </c>
      <c r="T512" s="3">
        <v>0</v>
      </c>
      <c r="U512" s="3">
        <v>0</v>
      </c>
      <c r="V512" s="3">
        <f t="shared" si="107"/>
        <v>1</v>
      </c>
      <c r="W512" s="3">
        <v>1</v>
      </c>
      <c r="X512" s="3">
        <v>0</v>
      </c>
      <c r="Y512" s="3">
        <v>0</v>
      </c>
      <c r="Z512" s="3">
        <v>0</v>
      </c>
      <c r="AA512" s="3">
        <v>0</v>
      </c>
      <c r="AB512" s="3">
        <f t="shared" si="108"/>
        <v>1</v>
      </c>
      <c r="AC512" s="6">
        <f t="shared" si="116"/>
        <v>0</v>
      </c>
      <c r="AD512" s="6">
        <f t="shared" si="117"/>
        <v>0</v>
      </c>
      <c r="AE512" s="6">
        <f t="shared" si="118"/>
        <v>0</v>
      </c>
      <c r="AF512" s="6">
        <f t="shared" si="119"/>
        <v>0</v>
      </c>
      <c r="AG512" s="6">
        <f t="shared" si="120"/>
        <v>0</v>
      </c>
      <c r="AH512" s="6">
        <f t="shared" si="109"/>
        <v>0</v>
      </c>
      <c r="AI512" s="3"/>
      <c r="AJ512" s="3" t="e">
        <f>_xlfn.XLOOKUP(K512,工作表1!A:A,工作表1!C:C)</f>
        <v>#N/A</v>
      </c>
      <c r="AK512" s="3"/>
      <c r="AL512" s="6">
        <f t="shared" si="110"/>
        <v>1</v>
      </c>
      <c r="AM512" s="6">
        <f t="shared" si="111"/>
        <v>0</v>
      </c>
      <c r="AN512" s="6">
        <f t="shared" si="112"/>
        <v>0</v>
      </c>
      <c r="AO512" s="6">
        <f t="shared" si="113"/>
        <v>0</v>
      </c>
      <c r="AP512" s="6">
        <f t="shared" si="114"/>
        <v>0</v>
      </c>
      <c r="AQ512" s="6">
        <f t="shared" si="115"/>
        <v>1</v>
      </c>
      <c r="AR512" s="6"/>
      <c r="AS512" s="6"/>
      <c r="AT512" s="6">
        <v>1</v>
      </c>
      <c r="AU512" s="6"/>
      <c r="AV512" s="6"/>
      <c r="AW512" s="6"/>
      <c r="AX512" s="6"/>
      <c r="AY512" s="6"/>
      <c r="AZ512" s="6"/>
      <c r="BA512" s="6"/>
      <c r="BB512" s="6"/>
      <c r="BC512" s="6"/>
      <c r="BD512" s="6"/>
      <c r="BE512" s="6"/>
      <c r="BF512" s="6"/>
      <c r="BG512" s="6"/>
      <c r="BH512" s="6"/>
      <c r="BI512" s="6"/>
      <c r="BJ512" s="6"/>
      <c r="BK512" s="6"/>
      <c r="BL512" s="6"/>
      <c r="BM512" s="6"/>
      <c r="BN512" s="6"/>
      <c r="BO512" s="6"/>
      <c r="BP512" s="3">
        <v>1</v>
      </c>
      <c r="BQ512" s="6">
        <f t="shared" si="106"/>
        <v>1</v>
      </c>
      <c r="BU512">
        <v>1</v>
      </c>
    </row>
    <row r="513" spans="1:73" x14ac:dyDescent="0.3">
      <c r="A513" s="3" t="s">
        <v>776</v>
      </c>
      <c r="B513" s="3">
        <v>412</v>
      </c>
      <c r="C513" s="3" t="s">
        <v>852</v>
      </c>
      <c r="D513" s="3">
        <v>1</v>
      </c>
      <c r="E513" s="3" t="s">
        <v>19</v>
      </c>
      <c r="F513" s="3" t="s">
        <v>752</v>
      </c>
      <c r="G513" s="3" t="s">
        <v>19</v>
      </c>
      <c r="H513" s="3" t="s">
        <v>797</v>
      </c>
      <c r="I513" s="3">
        <v>4.55</v>
      </c>
      <c r="J513" s="3" t="s">
        <v>91</v>
      </c>
      <c r="K513" s="3" t="s">
        <v>854</v>
      </c>
      <c r="L513" s="3" t="s">
        <v>24</v>
      </c>
      <c r="M513" s="3">
        <v>2</v>
      </c>
      <c r="N513" s="6"/>
      <c r="O513" s="3">
        <v>2</v>
      </c>
      <c r="P513" s="3">
        <v>2</v>
      </c>
      <c r="Q513" s="3">
        <v>2</v>
      </c>
      <c r="R513" s="3">
        <v>0</v>
      </c>
      <c r="S513" s="3">
        <v>0</v>
      </c>
      <c r="T513" s="3">
        <v>0</v>
      </c>
      <c r="U513" s="3">
        <v>0</v>
      </c>
      <c r="V513" s="3">
        <f t="shared" si="107"/>
        <v>2</v>
      </c>
      <c r="W513" s="3">
        <v>2</v>
      </c>
      <c r="X513" s="3">
        <v>0</v>
      </c>
      <c r="Y513" s="3">
        <v>0</v>
      </c>
      <c r="Z513" s="3">
        <v>0</v>
      </c>
      <c r="AA513" s="3">
        <v>0</v>
      </c>
      <c r="AB513" s="3">
        <f t="shared" si="108"/>
        <v>2</v>
      </c>
      <c r="AC513" s="6">
        <f t="shared" si="116"/>
        <v>0</v>
      </c>
      <c r="AD513" s="6">
        <f t="shared" si="117"/>
        <v>0</v>
      </c>
      <c r="AE513" s="6">
        <f t="shared" si="118"/>
        <v>0</v>
      </c>
      <c r="AF513" s="6">
        <f t="shared" si="119"/>
        <v>0</v>
      </c>
      <c r="AG513" s="6">
        <f t="shared" si="120"/>
        <v>0</v>
      </c>
      <c r="AH513" s="6">
        <f t="shared" si="109"/>
        <v>0</v>
      </c>
      <c r="AI513" s="3"/>
      <c r="AJ513" s="3" t="e">
        <f>_xlfn.XLOOKUP(K513,工作表1!A:A,工作表1!C:C)</f>
        <v>#N/A</v>
      </c>
      <c r="AK513" s="3"/>
      <c r="AL513" s="6">
        <f t="shared" si="110"/>
        <v>2</v>
      </c>
      <c r="AM513" s="6">
        <f t="shared" si="111"/>
        <v>0</v>
      </c>
      <c r="AN513" s="6">
        <f t="shared" si="112"/>
        <v>0</v>
      </c>
      <c r="AO513" s="6">
        <f t="shared" si="113"/>
        <v>0</v>
      </c>
      <c r="AP513" s="6">
        <f t="shared" si="114"/>
        <v>0</v>
      </c>
      <c r="AQ513" s="6">
        <f t="shared" si="115"/>
        <v>2</v>
      </c>
      <c r="AR513" s="6"/>
      <c r="AS513" s="6"/>
      <c r="AT513" s="6">
        <v>2</v>
      </c>
      <c r="AU513" s="6"/>
      <c r="AV513" s="6"/>
      <c r="AW513" s="6"/>
      <c r="AX513" s="6"/>
      <c r="AY513" s="6"/>
      <c r="AZ513" s="6"/>
      <c r="BA513" s="6"/>
      <c r="BB513" s="6"/>
      <c r="BC513" s="6"/>
      <c r="BD513" s="6"/>
      <c r="BE513" s="6"/>
      <c r="BF513" s="6"/>
      <c r="BG513" s="6"/>
      <c r="BH513" s="6"/>
      <c r="BI513" s="6"/>
      <c r="BJ513" s="6"/>
      <c r="BK513" s="6"/>
      <c r="BL513" s="6"/>
      <c r="BM513" s="6"/>
      <c r="BN513" s="6"/>
      <c r="BO513" s="6"/>
      <c r="BP513" s="3">
        <v>2</v>
      </c>
      <c r="BQ513" s="6">
        <f t="shared" si="106"/>
        <v>2</v>
      </c>
      <c r="BU513">
        <v>2</v>
      </c>
    </row>
    <row r="514" spans="1:73" x14ac:dyDescent="0.3">
      <c r="A514" s="3" t="s">
        <v>776</v>
      </c>
      <c r="B514" s="3">
        <v>415</v>
      </c>
      <c r="C514" s="3" t="s">
        <v>855</v>
      </c>
      <c r="D514" s="3">
        <v>4</v>
      </c>
      <c r="E514" s="3" t="s">
        <v>19</v>
      </c>
      <c r="F514" s="3" t="s">
        <v>778</v>
      </c>
      <c r="G514" s="3" t="s">
        <v>19</v>
      </c>
      <c r="H514" s="3" t="s">
        <v>782</v>
      </c>
      <c r="I514" s="3">
        <v>3.05</v>
      </c>
      <c r="J514" s="3" t="s">
        <v>91</v>
      </c>
      <c r="K514" s="3" t="s">
        <v>856</v>
      </c>
      <c r="L514" s="3" t="s">
        <v>24</v>
      </c>
      <c r="M514" s="3">
        <v>4</v>
      </c>
      <c r="N514" s="6"/>
      <c r="O514" s="3">
        <v>4</v>
      </c>
      <c r="P514" s="3">
        <v>4</v>
      </c>
      <c r="Q514" s="3">
        <v>4</v>
      </c>
      <c r="R514" s="3">
        <v>0</v>
      </c>
      <c r="S514" s="3">
        <v>0</v>
      </c>
      <c r="T514" s="3">
        <v>0</v>
      </c>
      <c r="U514" s="3">
        <v>0</v>
      </c>
      <c r="V514" s="3">
        <f t="shared" si="107"/>
        <v>4</v>
      </c>
      <c r="W514" s="3">
        <v>4</v>
      </c>
      <c r="X514" s="3">
        <v>0</v>
      </c>
      <c r="Y514" s="3">
        <v>0</v>
      </c>
      <c r="Z514" s="3">
        <v>0</v>
      </c>
      <c r="AA514" s="3">
        <v>0</v>
      </c>
      <c r="AB514" s="3">
        <f t="shared" si="108"/>
        <v>4</v>
      </c>
      <c r="AC514" s="6">
        <f t="shared" si="116"/>
        <v>0</v>
      </c>
      <c r="AD514" s="6">
        <f t="shared" si="117"/>
        <v>0</v>
      </c>
      <c r="AE514" s="6">
        <f t="shared" si="118"/>
        <v>0</v>
      </c>
      <c r="AF514" s="6">
        <f t="shared" si="119"/>
        <v>0</v>
      </c>
      <c r="AG514" s="6">
        <f t="shared" si="120"/>
        <v>0</v>
      </c>
      <c r="AH514" s="6">
        <f t="shared" si="109"/>
        <v>0</v>
      </c>
      <c r="AI514" s="3"/>
      <c r="AJ514" s="3" t="e">
        <f>_xlfn.XLOOKUP(K514,工作表1!A:A,工作表1!C:C)</f>
        <v>#N/A</v>
      </c>
      <c r="AK514" s="3"/>
      <c r="AL514" s="6">
        <f t="shared" si="110"/>
        <v>4</v>
      </c>
      <c r="AM514" s="6">
        <f t="shared" si="111"/>
        <v>0</v>
      </c>
      <c r="AN514" s="6">
        <f t="shared" si="112"/>
        <v>0</v>
      </c>
      <c r="AO514" s="6">
        <f t="shared" si="113"/>
        <v>0</v>
      </c>
      <c r="AP514" s="6">
        <f t="shared" si="114"/>
        <v>0</v>
      </c>
      <c r="AQ514" s="6">
        <f t="shared" si="115"/>
        <v>4</v>
      </c>
      <c r="AR514" s="6"/>
      <c r="AS514" s="6"/>
      <c r="AT514" s="6">
        <v>4</v>
      </c>
      <c r="AU514" s="6"/>
      <c r="AV514" s="6"/>
      <c r="AW514" s="6"/>
      <c r="AX514" s="6"/>
      <c r="AY514" s="6"/>
      <c r="AZ514" s="6"/>
      <c r="BA514" s="6"/>
      <c r="BB514" s="6"/>
      <c r="BC514" s="6"/>
      <c r="BD514" s="6"/>
      <c r="BE514" s="6"/>
      <c r="BF514" s="6"/>
      <c r="BG514" s="6"/>
      <c r="BH514" s="6"/>
      <c r="BI514" s="6"/>
      <c r="BJ514" s="6"/>
      <c r="BK514" s="6"/>
      <c r="BL514" s="6"/>
      <c r="BM514" s="6"/>
      <c r="BN514" s="6"/>
      <c r="BO514" s="6"/>
      <c r="BP514" s="3">
        <v>4</v>
      </c>
      <c r="BQ514" s="6">
        <f t="shared" si="106"/>
        <v>4</v>
      </c>
      <c r="BU514">
        <v>4</v>
      </c>
    </row>
    <row r="515" spans="1:73" x14ac:dyDescent="0.3">
      <c r="A515" s="3" t="s">
        <v>776</v>
      </c>
      <c r="B515" s="3">
        <v>415</v>
      </c>
      <c r="C515" s="3" t="s">
        <v>855</v>
      </c>
      <c r="D515" s="3">
        <v>3</v>
      </c>
      <c r="E515" s="3" t="s">
        <v>19</v>
      </c>
      <c r="F515" s="3" t="s">
        <v>778</v>
      </c>
      <c r="G515" s="3" t="s">
        <v>19</v>
      </c>
      <c r="H515" s="3" t="s">
        <v>787</v>
      </c>
      <c r="I515" s="3">
        <v>3.05</v>
      </c>
      <c r="J515" s="3" t="s">
        <v>91</v>
      </c>
      <c r="K515" s="3" t="s">
        <v>857</v>
      </c>
      <c r="L515" s="3" t="s">
        <v>24</v>
      </c>
      <c r="M515" s="3">
        <v>14</v>
      </c>
      <c r="N515" s="6"/>
      <c r="O515" s="3">
        <v>9</v>
      </c>
      <c r="P515" s="3">
        <v>9</v>
      </c>
      <c r="Q515" s="3">
        <v>9</v>
      </c>
      <c r="R515" s="3">
        <v>0</v>
      </c>
      <c r="S515" s="3">
        <v>0</v>
      </c>
      <c r="T515" s="3">
        <v>0</v>
      </c>
      <c r="U515" s="3">
        <v>0</v>
      </c>
      <c r="V515" s="3">
        <f t="shared" si="107"/>
        <v>9</v>
      </c>
      <c r="W515" s="3">
        <v>9</v>
      </c>
      <c r="X515" s="3">
        <v>0</v>
      </c>
      <c r="Y515" s="3">
        <v>0</v>
      </c>
      <c r="Z515" s="3">
        <v>0</v>
      </c>
      <c r="AA515" s="3">
        <v>0</v>
      </c>
      <c r="AB515" s="3">
        <f t="shared" si="108"/>
        <v>9</v>
      </c>
      <c r="AC515" s="6">
        <f t="shared" si="116"/>
        <v>0</v>
      </c>
      <c r="AD515" s="6">
        <f t="shared" si="117"/>
        <v>0</v>
      </c>
      <c r="AE515" s="6">
        <f t="shared" si="118"/>
        <v>0</v>
      </c>
      <c r="AF515" s="6">
        <f t="shared" si="119"/>
        <v>0</v>
      </c>
      <c r="AG515" s="6">
        <f t="shared" si="120"/>
        <v>0</v>
      </c>
      <c r="AH515" s="6">
        <f t="shared" si="109"/>
        <v>0</v>
      </c>
      <c r="AI515" s="3"/>
      <c r="AJ515" s="3" t="e">
        <f>_xlfn.XLOOKUP(K515,工作表1!A:A,工作表1!C:C)</f>
        <v>#N/A</v>
      </c>
      <c r="AK515" s="3"/>
      <c r="AL515" s="6">
        <f t="shared" si="110"/>
        <v>9</v>
      </c>
      <c r="AM515" s="6">
        <f t="shared" si="111"/>
        <v>0</v>
      </c>
      <c r="AN515" s="6">
        <f t="shared" si="112"/>
        <v>0</v>
      </c>
      <c r="AO515" s="6">
        <f t="shared" si="113"/>
        <v>0</v>
      </c>
      <c r="AP515" s="6">
        <f t="shared" si="114"/>
        <v>0</v>
      </c>
      <c r="AQ515" s="6">
        <f t="shared" si="115"/>
        <v>9</v>
      </c>
      <c r="AR515" s="6"/>
      <c r="AS515" s="6"/>
      <c r="AT515" s="6">
        <v>9</v>
      </c>
      <c r="AU515" s="6"/>
      <c r="AV515" s="6"/>
      <c r="AW515" s="6"/>
      <c r="AX515" s="6"/>
      <c r="AY515" s="6"/>
      <c r="AZ515" s="6"/>
      <c r="BA515" s="6"/>
      <c r="BB515" s="6"/>
      <c r="BC515" s="6"/>
      <c r="BD515" s="6"/>
      <c r="BE515" s="6"/>
      <c r="BF515" s="6"/>
      <c r="BG515" s="6"/>
      <c r="BH515" s="6"/>
      <c r="BI515" s="6"/>
      <c r="BJ515" s="6"/>
      <c r="BK515" s="6"/>
      <c r="BL515" s="6"/>
      <c r="BM515" s="6"/>
      <c r="BN515" s="6"/>
      <c r="BO515" s="6"/>
      <c r="BP515" s="3">
        <v>9</v>
      </c>
      <c r="BQ515" s="6">
        <f t="shared" si="106"/>
        <v>9</v>
      </c>
      <c r="BU515">
        <v>9</v>
      </c>
    </row>
    <row r="516" spans="1:73" x14ac:dyDescent="0.3">
      <c r="A516" s="3" t="s">
        <v>776</v>
      </c>
      <c r="B516" s="3">
        <v>415</v>
      </c>
      <c r="C516" s="3" t="s">
        <v>858</v>
      </c>
      <c r="D516" s="3">
        <v>6</v>
      </c>
      <c r="E516" s="3" t="s">
        <v>19</v>
      </c>
      <c r="F516" s="3" t="s">
        <v>41</v>
      </c>
      <c r="G516" s="3" t="s">
        <v>19</v>
      </c>
      <c r="H516" s="3" t="s">
        <v>42</v>
      </c>
      <c r="I516" s="3">
        <v>18.260000000000002</v>
      </c>
      <c r="J516" s="3" t="s">
        <v>91</v>
      </c>
      <c r="K516" s="3" t="s">
        <v>859</v>
      </c>
      <c r="L516" s="3" t="s">
        <v>24</v>
      </c>
      <c r="M516" s="3">
        <v>2</v>
      </c>
      <c r="N516" s="6"/>
      <c r="O516" s="3">
        <v>2</v>
      </c>
      <c r="P516" s="3">
        <v>2</v>
      </c>
      <c r="Q516" s="3">
        <v>2</v>
      </c>
      <c r="R516" s="3">
        <v>0</v>
      </c>
      <c r="S516" s="3">
        <v>0</v>
      </c>
      <c r="T516" s="3">
        <v>0</v>
      </c>
      <c r="U516" s="3">
        <v>0</v>
      </c>
      <c r="V516" s="3">
        <f t="shared" si="107"/>
        <v>2</v>
      </c>
      <c r="W516" s="3">
        <v>2</v>
      </c>
      <c r="X516" s="3">
        <v>0</v>
      </c>
      <c r="Y516" s="3">
        <v>0</v>
      </c>
      <c r="Z516" s="3">
        <v>0</v>
      </c>
      <c r="AA516" s="3">
        <v>0</v>
      </c>
      <c r="AB516" s="3">
        <f t="shared" si="108"/>
        <v>2</v>
      </c>
      <c r="AC516" s="6">
        <f t="shared" si="116"/>
        <v>0</v>
      </c>
      <c r="AD516" s="6">
        <f t="shared" si="117"/>
        <v>0</v>
      </c>
      <c r="AE516" s="6">
        <f t="shared" si="118"/>
        <v>0</v>
      </c>
      <c r="AF516" s="6">
        <f t="shared" si="119"/>
        <v>0</v>
      </c>
      <c r="AG516" s="6">
        <f t="shared" si="120"/>
        <v>0</v>
      </c>
      <c r="AH516" s="6">
        <f t="shared" si="109"/>
        <v>0</v>
      </c>
      <c r="AI516" s="3"/>
      <c r="AJ516" s="3" t="e">
        <f>_xlfn.XLOOKUP(K516,工作表1!A:A,工作表1!C:C)</f>
        <v>#N/A</v>
      </c>
      <c r="AK516" s="3"/>
      <c r="AL516" s="6">
        <f t="shared" si="110"/>
        <v>2</v>
      </c>
      <c r="AM516" s="6">
        <f t="shared" si="111"/>
        <v>0</v>
      </c>
      <c r="AN516" s="6">
        <f t="shared" si="112"/>
        <v>0</v>
      </c>
      <c r="AO516" s="6">
        <f t="shared" si="113"/>
        <v>0</v>
      </c>
      <c r="AP516" s="6">
        <f t="shared" si="114"/>
        <v>0</v>
      </c>
      <c r="AQ516" s="6">
        <f t="shared" si="115"/>
        <v>2</v>
      </c>
      <c r="AR516" s="6"/>
      <c r="AS516" s="6"/>
      <c r="AT516" s="6">
        <v>2</v>
      </c>
      <c r="AU516" s="6"/>
      <c r="AV516" s="6"/>
      <c r="AW516" s="6"/>
      <c r="AX516" s="6"/>
      <c r="AY516" s="6"/>
      <c r="AZ516" s="6"/>
      <c r="BA516" s="6"/>
      <c r="BB516" s="6"/>
      <c r="BC516" s="6"/>
      <c r="BD516" s="6"/>
      <c r="BE516" s="6"/>
      <c r="BF516" s="6"/>
      <c r="BG516" s="6"/>
      <c r="BH516" s="6"/>
      <c r="BI516" s="6"/>
      <c r="BJ516" s="6"/>
      <c r="BK516" s="6"/>
      <c r="BL516" s="6"/>
      <c r="BM516" s="6"/>
      <c r="BN516" s="6"/>
      <c r="BO516" s="6"/>
      <c r="BP516" s="3">
        <v>2</v>
      </c>
      <c r="BQ516" s="6">
        <f t="shared" si="106"/>
        <v>2</v>
      </c>
      <c r="BU516">
        <v>2</v>
      </c>
    </row>
    <row r="517" spans="1:73" x14ac:dyDescent="0.3">
      <c r="A517" s="3" t="s">
        <v>776</v>
      </c>
      <c r="B517" s="3">
        <v>415</v>
      </c>
      <c r="C517" s="3" t="s">
        <v>858</v>
      </c>
      <c r="D517" s="3">
        <v>4</v>
      </c>
      <c r="E517" s="3" t="s">
        <v>19</v>
      </c>
      <c r="F517" s="3" t="s">
        <v>41</v>
      </c>
      <c r="G517" s="3" t="s">
        <v>19</v>
      </c>
      <c r="H517" s="3" t="s">
        <v>48</v>
      </c>
      <c r="I517" s="3">
        <v>13.49</v>
      </c>
      <c r="J517" s="3" t="s">
        <v>91</v>
      </c>
      <c r="K517" s="3" t="s">
        <v>860</v>
      </c>
      <c r="L517" s="3" t="s">
        <v>24</v>
      </c>
      <c r="M517" s="3">
        <v>7</v>
      </c>
      <c r="N517" s="6"/>
      <c r="O517" s="3">
        <v>7</v>
      </c>
      <c r="P517" s="3">
        <v>7</v>
      </c>
      <c r="Q517" s="3">
        <v>7</v>
      </c>
      <c r="R517" s="3">
        <v>0</v>
      </c>
      <c r="S517" s="3">
        <v>0</v>
      </c>
      <c r="T517" s="3">
        <v>0</v>
      </c>
      <c r="U517" s="3">
        <v>0</v>
      </c>
      <c r="V517" s="3">
        <f t="shared" si="107"/>
        <v>7</v>
      </c>
      <c r="W517" s="3">
        <v>7</v>
      </c>
      <c r="X517" s="3">
        <v>0</v>
      </c>
      <c r="Y517" s="3">
        <v>0</v>
      </c>
      <c r="Z517" s="3">
        <v>0</v>
      </c>
      <c r="AA517" s="3">
        <v>0</v>
      </c>
      <c r="AB517" s="3">
        <f t="shared" si="108"/>
        <v>7</v>
      </c>
      <c r="AC517" s="6">
        <f t="shared" si="116"/>
        <v>0</v>
      </c>
      <c r="AD517" s="6">
        <f t="shared" si="117"/>
        <v>0</v>
      </c>
      <c r="AE517" s="6">
        <f t="shared" si="118"/>
        <v>0</v>
      </c>
      <c r="AF517" s="6">
        <f t="shared" si="119"/>
        <v>0</v>
      </c>
      <c r="AG517" s="6">
        <f t="shared" si="120"/>
        <v>0</v>
      </c>
      <c r="AH517" s="6">
        <f t="shared" si="109"/>
        <v>0</v>
      </c>
      <c r="AI517" s="3"/>
      <c r="AJ517" s="3" t="e">
        <f>_xlfn.XLOOKUP(K517,工作表1!A:A,工作表1!C:C)</f>
        <v>#N/A</v>
      </c>
      <c r="AK517" s="3"/>
      <c r="AL517" s="6">
        <f t="shared" si="110"/>
        <v>7</v>
      </c>
      <c r="AM517" s="6">
        <f t="shared" si="111"/>
        <v>0</v>
      </c>
      <c r="AN517" s="6">
        <f t="shared" si="112"/>
        <v>0</v>
      </c>
      <c r="AO517" s="6">
        <f t="shared" si="113"/>
        <v>0</v>
      </c>
      <c r="AP517" s="6">
        <f t="shared" si="114"/>
        <v>0</v>
      </c>
      <c r="AQ517" s="6">
        <f t="shared" si="115"/>
        <v>7</v>
      </c>
      <c r="AR517" s="6"/>
      <c r="AS517" s="6"/>
      <c r="AT517" s="6">
        <v>7</v>
      </c>
      <c r="AU517" s="6"/>
      <c r="AV517" s="6"/>
      <c r="AW517" s="6"/>
      <c r="AX517" s="6"/>
      <c r="AY517" s="6"/>
      <c r="AZ517" s="6"/>
      <c r="BA517" s="6"/>
      <c r="BB517" s="6"/>
      <c r="BC517" s="6"/>
      <c r="BD517" s="6"/>
      <c r="BE517" s="6"/>
      <c r="BF517" s="6"/>
      <c r="BG517" s="6"/>
      <c r="BH517" s="6"/>
      <c r="BI517" s="6"/>
      <c r="BJ517" s="6"/>
      <c r="BK517" s="6"/>
      <c r="BL517" s="6"/>
      <c r="BM517" s="6"/>
      <c r="BN517" s="6"/>
      <c r="BO517" s="6"/>
      <c r="BP517" s="3">
        <v>7</v>
      </c>
      <c r="BQ517" s="6">
        <f t="shared" si="106"/>
        <v>7</v>
      </c>
      <c r="BU517">
        <v>7</v>
      </c>
    </row>
    <row r="518" spans="1:73" x14ac:dyDescent="0.3">
      <c r="A518" s="3" t="s">
        <v>776</v>
      </c>
      <c r="B518" s="3">
        <v>415</v>
      </c>
      <c r="C518" s="3" t="s">
        <v>858</v>
      </c>
      <c r="D518" s="3">
        <v>1</v>
      </c>
      <c r="E518" s="3" t="s">
        <v>19</v>
      </c>
      <c r="F518" s="3" t="s">
        <v>41</v>
      </c>
      <c r="G518" s="3" t="s">
        <v>19</v>
      </c>
      <c r="H518" s="3" t="s">
        <v>59</v>
      </c>
      <c r="I518" s="3">
        <v>6.35</v>
      </c>
      <c r="J518" s="3" t="s">
        <v>91</v>
      </c>
      <c r="K518" s="3" t="s">
        <v>861</v>
      </c>
      <c r="L518" s="3" t="s">
        <v>24</v>
      </c>
      <c r="M518" s="3">
        <v>2</v>
      </c>
      <c r="N518" s="6"/>
      <c r="O518" s="3">
        <v>2</v>
      </c>
      <c r="P518" s="3">
        <v>2</v>
      </c>
      <c r="Q518" s="3">
        <v>2</v>
      </c>
      <c r="R518" s="3">
        <v>0</v>
      </c>
      <c r="S518" s="3">
        <v>0</v>
      </c>
      <c r="T518" s="3">
        <v>0</v>
      </c>
      <c r="U518" s="3">
        <v>0</v>
      </c>
      <c r="V518" s="3">
        <f t="shared" si="107"/>
        <v>2</v>
      </c>
      <c r="W518" s="3">
        <v>2</v>
      </c>
      <c r="X518" s="3">
        <v>0</v>
      </c>
      <c r="Y518" s="3">
        <v>0</v>
      </c>
      <c r="Z518" s="3">
        <v>0</v>
      </c>
      <c r="AA518" s="3">
        <v>0</v>
      </c>
      <c r="AB518" s="3">
        <f t="shared" si="108"/>
        <v>2</v>
      </c>
      <c r="AC518" s="6">
        <f t="shared" si="116"/>
        <v>0</v>
      </c>
      <c r="AD518" s="6">
        <f t="shared" si="117"/>
        <v>0</v>
      </c>
      <c r="AE518" s="6">
        <f t="shared" si="118"/>
        <v>0</v>
      </c>
      <c r="AF518" s="6">
        <f t="shared" si="119"/>
        <v>0</v>
      </c>
      <c r="AG518" s="6">
        <f t="shared" si="120"/>
        <v>0</v>
      </c>
      <c r="AH518" s="6">
        <f t="shared" si="109"/>
        <v>0</v>
      </c>
      <c r="AI518" s="3"/>
      <c r="AJ518" s="3" t="e">
        <f>_xlfn.XLOOKUP(K518,工作表1!A:A,工作表1!C:C)</f>
        <v>#N/A</v>
      </c>
      <c r="AK518" s="3"/>
      <c r="AL518" s="6">
        <f t="shared" si="110"/>
        <v>2</v>
      </c>
      <c r="AM518" s="6">
        <f t="shared" si="111"/>
        <v>0</v>
      </c>
      <c r="AN518" s="6">
        <f t="shared" si="112"/>
        <v>0</v>
      </c>
      <c r="AO518" s="6">
        <f t="shared" si="113"/>
        <v>0</v>
      </c>
      <c r="AP518" s="6">
        <f t="shared" si="114"/>
        <v>0</v>
      </c>
      <c r="AQ518" s="6">
        <f t="shared" si="115"/>
        <v>2</v>
      </c>
      <c r="AR518" s="6"/>
      <c r="AS518" s="6"/>
      <c r="AT518" s="6">
        <v>2</v>
      </c>
      <c r="AU518" s="6"/>
      <c r="AV518" s="6"/>
      <c r="AW518" s="6"/>
      <c r="AX518" s="6"/>
      <c r="AY518" s="6"/>
      <c r="AZ518" s="6"/>
      <c r="BA518" s="6"/>
      <c r="BB518" s="6"/>
      <c r="BC518" s="6"/>
      <c r="BD518" s="6"/>
      <c r="BE518" s="6"/>
      <c r="BF518" s="6"/>
      <c r="BG518" s="6"/>
      <c r="BH518" s="6"/>
      <c r="BI518" s="6"/>
      <c r="BJ518" s="6"/>
      <c r="BK518" s="6"/>
      <c r="BL518" s="6"/>
      <c r="BM518" s="6"/>
      <c r="BN518" s="6"/>
      <c r="BO518" s="6"/>
      <c r="BP518" s="3">
        <v>2</v>
      </c>
      <c r="BQ518" s="6">
        <f t="shared" si="106"/>
        <v>2</v>
      </c>
      <c r="BU518">
        <v>2</v>
      </c>
    </row>
    <row r="519" spans="1:73" x14ac:dyDescent="0.3">
      <c r="A519" s="3" t="s">
        <v>776</v>
      </c>
      <c r="B519" s="3">
        <v>415</v>
      </c>
      <c r="C519" s="3" t="s">
        <v>858</v>
      </c>
      <c r="D519" s="3">
        <v>0.75</v>
      </c>
      <c r="E519" s="3" t="s">
        <v>19</v>
      </c>
      <c r="F519" s="3" t="s">
        <v>41</v>
      </c>
      <c r="G519" s="3" t="s">
        <v>19</v>
      </c>
      <c r="H519" s="3" t="s">
        <v>61</v>
      </c>
      <c r="I519" s="3">
        <v>5.56</v>
      </c>
      <c r="J519" s="3" t="s">
        <v>91</v>
      </c>
      <c r="K519" s="3" t="s">
        <v>862</v>
      </c>
      <c r="L519" s="3" t="s">
        <v>24</v>
      </c>
      <c r="M519" s="3">
        <v>1</v>
      </c>
      <c r="N519" s="6"/>
      <c r="O519" s="3">
        <v>1</v>
      </c>
      <c r="P519" s="3">
        <v>1</v>
      </c>
      <c r="Q519" s="3">
        <v>1</v>
      </c>
      <c r="R519" s="3">
        <v>0</v>
      </c>
      <c r="S519" s="3">
        <v>0</v>
      </c>
      <c r="T519" s="3">
        <v>0</v>
      </c>
      <c r="U519" s="3">
        <v>0</v>
      </c>
      <c r="V519" s="3">
        <f t="shared" si="107"/>
        <v>1</v>
      </c>
      <c r="W519" s="3">
        <v>1</v>
      </c>
      <c r="X519" s="3">
        <v>0</v>
      </c>
      <c r="Y519" s="3">
        <v>0</v>
      </c>
      <c r="Z519" s="3">
        <v>0</v>
      </c>
      <c r="AA519" s="3">
        <v>0</v>
      </c>
      <c r="AB519" s="3">
        <f t="shared" si="108"/>
        <v>1</v>
      </c>
      <c r="AC519" s="6">
        <f t="shared" si="116"/>
        <v>0</v>
      </c>
      <c r="AD519" s="6">
        <f t="shared" si="117"/>
        <v>0</v>
      </c>
      <c r="AE519" s="6">
        <f t="shared" si="118"/>
        <v>0</v>
      </c>
      <c r="AF519" s="6">
        <f t="shared" si="119"/>
        <v>0</v>
      </c>
      <c r="AG519" s="6">
        <f t="shared" si="120"/>
        <v>0</v>
      </c>
      <c r="AH519" s="6">
        <f t="shared" si="109"/>
        <v>0</v>
      </c>
      <c r="AI519" s="3"/>
      <c r="AJ519" s="3" t="e">
        <f>_xlfn.XLOOKUP(K519,工作表1!A:A,工作表1!C:C)</f>
        <v>#N/A</v>
      </c>
      <c r="AK519" s="3"/>
      <c r="AL519" s="6">
        <f t="shared" si="110"/>
        <v>1</v>
      </c>
      <c r="AM519" s="6">
        <f t="shared" si="111"/>
        <v>0</v>
      </c>
      <c r="AN519" s="6">
        <f t="shared" si="112"/>
        <v>0</v>
      </c>
      <c r="AO519" s="6">
        <f t="shared" si="113"/>
        <v>0</v>
      </c>
      <c r="AP519" s="6">
        <f t="shared" si="114"/>
        <v>0</v>
      </c>
      <c r="AQ519" s="6">
        <f t="shared" si="115"/>
        <v>1</v>
      </c>
      <c r="AR519" s="6"/>
      <c r="AS519" s="6"/>
      <c r="AT519" s="6">
        <v>1</v>
      </c>
      <c r="AU519" s="6"/>
      <c r="AV519" s="6"/>
      <c r="AW519" s="6"/>
      <c r="AX519" s="6"/>
      <c r="AY519" s="6"/>
      <c r="AZ519" s="6"/>
      <c r="BA519" s="6"/>
      <c r="BB519" s="6"/>
      <c r="BC519" s="6"/>
      <c r="BD519" s="6"/>
      <c r="BE519" s="6"/>
      <c r="BF519" s="6"/>
      <c r="BG519" s="6"/>
      <c r="BH519" s="6"/>
      <c r="BI519" s="6"/>
      <c r="BJ519" s="6"/>
      <c r="BK519" s="6"/>
      <c r="BL519" s="6"/>
      <c r="BM519" s="6"/>
      <c r="BN519" s="6"/>
      <c r="BO519" s="6"/>
      <c r="BP519" s="3">
        <v>1</v>
      </c>
      <c r="BQ519" s="6">
        <f t="shared" ref="BQ519:BQ582" si="121">SUM(BR519:FN519)</f>
        <v>1</v>
      </c>
      <c r="BU519">
        <v>1</v>
      </c>
    </row>
    <row r="520" spans="1:73" x14ac:dyDescent="0.3">
      <c r="A520" s="3" t="s">
        <v>776</v>
      </c>
      <c r="B520" s="3">
        <v>415</v>
      </c>
      <c r="C520" s="3" t="s">
        <v>858</v>
      </c>
      <c r="D520" s="3">
        <v>0.5</v>
      </c>
      <c r="E520" s="3" t="s">
        <v>19</v>
      </c>
      <c r="F520" s="3" t="s">
        <v>41</v>
      </c>
      <c r="G520" s="3" t="s">
        <v>19</v>
      </c>
      <c r="H520" s="3" t="s">
        <v>66</v>
      </c>
      <c r="I520" s="3">
        <v>4.78</v>
      </c>
      <c r="J520" s="3" t="s">
        <v>91</v>
      </c>
      <c r="K520" s="3" t="s">
        <v>863</v>
      </c>
      <c r="L520" s="3" t="s">
        <v>24</v>
      </c>
      <c r="M520" s="3">
        <v>11</v>
      </c>
      <c r="N520" s="6"/>
      <c r="O520" s="3">
        <v>2</v>
      </c>
      <c r="P520" s="3">
        <v>2</v>
      </c>
      <c r="Q520" s="3">
        <v>2</v>
      </c>
      <c r="R520" s="3">
        <v>0</v>
      </c>
      <c r="S520" s="3">
        <v>0</v>
      </c>
      <c r="T520" s="3">
        <v>0</v>
      </c>
      <c r="U520" s="3">
        <v>0</v>
      </c>
      <c r="V520" s="3">
        <f t="shared" ref="V520:V583" si="122">SUM(Q520:U520)</f>
        <v>2</v>
      </c>
      <c r="W520" s="3">
        <v>2</v>
      </c>
      <c r="X520" s="3">
        <v>0</v>
      </c>
      <c r="Y520" s="3">
        <v>0</v>
      </c>
      <c r="Z520" s="3">
        <v>0</v>
      </c>
      <c r="AA520" s="3">
        <v>0</v>
      </c>
      <c r="AB520" s="3">
        <f t="shared" ref="AB520:AB583" si="123">SUM(W520:AA520)</f>
        <v>2</v>
      </c>
      <c r="AC520" s="6">
        <f t="shared" si="116"/>
        <v>0</v>
      </c>
      <c r="AD520" s="6">
        <f t="shared" si="117"/>
        <v>0</v>
      </c>
      <c r="AE520" s="6">
        <f t="shared" si="118"/>
        <v>0</v>
      </c>
      <c r="AF520" s="6">
        <f t="shared" si="119"/>
        <v>0</v>
      </c>
      <c r="AG520" s="6">
        <f t="shared" si="120"/>
        <v>0</v>
      </c>
      <c r="AH520" s="6">
        <f t="shared" ref="AH520:AH583" si="124">AQ520-AB520</f>
        <v>0</v>
      </c>
      <c r="AI520" s="3"/>
      <c r="AJ520" s="3" t="e">
        <f>_xlfn.XLOOKUP(K520,工作表1!A:A,工作表1!C:C)</f>
        <v>#N/A</v>
      </c>
      <c r="AK520" s="3"/>
      <c r="AL520" s="6">
        <f t="shared" ref="AL520:AL583" si="125">SUM(AR520:AV520)</f>
        <v>2</v>
      </c>
      <c r="AM520" s="6">
        <f t="shared" ref="AM520:AM583" si="126">SUM(AW520:AZ520)</f>
        <v>0</v>
      </c>
      <c r="AN520" s="6">
        <f t="shared" ref="AN520:AN583" si="127">SUM(BA520:BE520)</f>
        <v>0</v>
      </c>
      <c r="AO520" s="6">
        <f t="shared" ref="AO520:AO583" si="128">SUM(BF520:BI520)</f>
        <v>0</v>
      </c>
      <c r="AP520" s="6">
        <f t="shared" ref="AP520:AP583" si="129">SUM(BJ520:BN520)</f>
        <v>0</v>
      </c>
      <c r="AQ520" s="6">
        <f t="shared" ref="AQ520:AQ583" si="130">SUM(AL520:AP520)</f>
        <v>2</v>
      </c>
      <c r="AR520" s="6"/>
      <c r="AS520" s="6"/>
      <c r="AT520" s="6">
        <v>2</v>
      </c>
      <c r="AU520" s="6"/>
      <c r="AV520" s="6"/>
      <c r="AW520" s="6"/>
      <c r="AX520" s="6"/>
      <c r="AY520" s="6"/>
      <c r="AZ520" s="6"/>
      <c r="BA520" s="6"/>
      <c r="BB520" s="6"/>
      <c r="BC520" s="6"/>
      <c r="BD520" s="6"/>
      <c r="BE520" s="6"/>
      <c r="BF520" s="6"/>
      <c r="BG520" s="6"/>
      <c r="BH520" s="6"/>
      <c r="BI520" s="6"/>
      <c r="BJ520" s="6"/>
      <c r="BK520" s="6"/>
      <c r="BL520" s="6"/>
      <c r="BM520" s="6"/>
      <c r="BN520" s="6"/>
      <c r="BO520" s="6"/>
      <c r="BP520" s="3">
        <v>2</v>
      </c>
      <c r="BQ520" s="6">
        <f t="shared" si="121"/>
        <v>2</v>
      </c>
      <c r="BU520">
        <v>2</v>
      </c>
    </row>
    <row r="521" spans="1:73" x14ac:dyDescent="0.3">
      <c r="A521" s="3" t="s">
        <v>776</v>
      </c>
      <c r="B521" s="3">
        <v>415</v>
      </c>
      <c r="C521" s="3" t="s">
        <v>864</v>
      </c>
      <c r="D521" s="3">
        <v>2</v>
      </c>
      <c r="E521" s="3" t="s">
        <v>19</v>
      </c>
      <c r="F521" s="3" t="s">
        <v>752</v>
      </c>
      <c r="G521" s="3" t="s">
        <v>19</v>
      </c>
      <c r="H521" s="3" t="s">
        <v>790</v>
      </c>
      <c r="I521" s="3">
        <v>5.54</v>
      </c>
      <c r="J521" s="3" t="s">
        <v>91</v>
      </c>
      <c r="K521" s="3" t="s">
        <v>865</v>
      </c>
      <c r="L521" s="3" t="s">
        <v>24</v>
      </c>
      <c r="M521" s="3">
        <v>4</v>
      </c>
      <c r="N521" s="6"/>
      <c r="O521" s="3">
        <v>2</v>
      </c>
      <c r="P521" s="3">
        <v>2</v>
      </c>
      <c r="Q521" s="3">
        <v>2</v>
      </c>
      <c r="R521" s="3">
        <v>0</v>
      </c>
      <c r="S521" s="3">
        <v>0</v>
      </c>
      <c r="T521" s="3">
        <v>0</v>
      </c>
      <c r="U521" s="3">
        <v>0</v>
      </c>
      <c r="V521" s="3">
        <f t="shared" si="122"/>
        <v>2</v>
      </c>
      <c r="W521" s="3">
        <v>2</v>
      </c>
      <c r="X521" s="3">
        <v>0</v>
      </c>
      <c r="Y521" s="3">
        <v>0</v>
      </c>
      <c r="Z521" s="3">
        <v>0</v>
      </c>
      <c r="AA521" s="3">
        <v>0</v>
      </c>
      <c r="AB521" s="3">
        <f t="shared" si="123"/>
        <v>2</v>
      </c>
      <c r="AC521" s="6">
        <f t="shared" si="116"/>
        <v>0</v>
      </c>
      <c r="AD521" s="6">
        <f t="shared" si="117"/>
        <v>0</v>
      </c>
      <c r="AE521" s="6">
        <f t="shared" si="118"/>
        <v>0</v>
      </c>
      <c r="AF521" s="6">
        <f t="shared" si="119"/>
        <v>0</v>
      </c>
      <c r="AG521" s="6">
        <f t="shared" si="120"/>
        <v>0</v>
      </c>
      <c r="AH521" s="6">
        <f t="shared" si="124"/>
        <v>0</v>
      </c>
      <c r="AI521" s="3"/>
      <c r="AJ521" s="3" t="e">
        <f>_xlfn.XLOOKUP(K521,工作表1!A:A,工作表1!C:C)</f>
        <v>#N/A</v>
      </c>
      <c r="AK521" s="3"/>
      <c r="AL521" s="6">
        <f t="shared" si="125"/>
        <v>2</v>
      </c>
      <c r="AM521" s="6">
        <f t="shared" si="126"/>
        <v>0</v>
      </c>
      <c r="AN521" s="6">
        <f t="shared" si="127"/>
        <v>0</v>
      </c>
      <c r="AO521" s="6">
        <f t="shared" si="128"/>
        <v>0</v>
      </c>
      <c r="AP521" s="6">
        <f t="shared" si="129"/>
        <v>0</v>
      </c>
      <c r="AQ521" s="6">
        <f t="shared" si="130"/>
        <v>2</v>
      </c>
      <c r="AR521" s="6"/>
      <c r="AS521" s="6"/>
      <c r="AT521" s="6">
        <v>2</v>
      </c>
      <c r="AU521" s="6"/>
      <c r="AV521" s="6"/>
      <c r="AW521" s="6"/>
      <c r="AX521" s="6"/>
      <c r="AY521" s="6"/>
      <c r="AZ521" s="6"/>
      <c r="BA521" s="6"/>
      <c r="BB521" s="6"/>
      <c r="BC521" s="6"/>
      <c r="BD521" s="6"/>
      <c r="BE521" s="6"/>
      <c r="BF521" s="6"/>
      <c r="BG521" s="6"/>
      <c r="BH521" s="6"/>
      <c r="BI521" s="6"/>
      <c r="BJ521" s="6"/>
      <c r="BK521" s="6"/>
      <c r="BL521" s="6"/>
      <c r="BM521" s="6"/>
      <c r="BN521" s="6"/>
      <c r="BO521" s="6"/>
      <c r="BP521" s="3">
        <v>2</v>
      </c>
      <c r="BQ521" s="6">
        <f t="shared" si="121"/>
        <v>2</v>
      </c>
      <c r="BU521">
        <v>2</v>
      </c>
    </row>
    <row r="522" spans="1:73" x14ac:dyDescent="0.3">
      <c r="A522" s="3" t="s">
        <v>776</v>
      </c>
      <c r="B522" s="3">
        <v>415</v>
      </c>
      <c r="C522" s="3" t="s">
        <v>866</v>
      </c>
      <c r="D522" s="3">
        <v>4</v>
      </c>
      <c r="E522" s="3" t="s">
        <v>19</v>
      </c>
      <c r="F522" s="3" t="s">
        <v>767</v>
      </c>
      <c r="G522" s="3" t="s">
        <v>19</v>
      </c>
      <c r="H522" s="3" t="s">
        <v>785</v>
      </c>
      <c r="I522" s="3">
        <v>6.02</v>
      </c>
      <c r="J522" s="3" t="s">
        <v>91</v>
      </c>
      <c r="K522" s="3" t="s">
        <v>867</v>
      </c>
      <c r="L522" s="3" t="s">
        <v>24</v>
      </c>
      <c r="M522" s="3">
        <v>1</v>
      </c>
      <c r="N522" s="6"/>
      <c r="O522" s="3">
        <v>1</v>
      </c>
      <c r="P522" s="3">
        <v>1</v>
      </c>
      <c r="Q522" s="3">
        <v>1</v>
      </c>
      <c r="R522" s="3">
        <v>0</v>
      </c>
      <c r="S522" s="3">
        <v>0</v>
      </c>
      <c r="T522" s="3">
        <v>0</v>
      </c>
      <c r="U522" s="3">
        <v>0</v>
      </c>
      <c r="V522" s="3">
        <f t="shared" si="122"/>
        <v>1</v>
      </c>
      <c r="W522" s="3">
        <v>1</v>
      </c>
      <c r="X522" s="3">
        <v>0</v>
      </c>
      <c r="Y522" s="3">
        <v>0</v>
      </c>
      <c r="Z522" s="3">
        <v>0</v>
      </c>
      <c r="AA522" s="3">
        <v>0</v>
      </c>
      <c r="AB522" s="3">
        <f t="shared" si="123"/>
        <v>1</v>
      </c>
      <c r="AC522" s="6">
        <f t="shared" si="116"/>
        <v>0</v>
      </c>
      <c r="AD522" s="6">
        <f t="shared" si="117"/>
        <v>0</v>
      </c>
      <c r="AE522" s="6">
        <f t="shared" si="118"/>
        <v>0</v>
      </c>
      <c r="AF522" s="6">
        <f t="shared" si="119"/>
        <v>0</v>
      </c>
      <c r="AG522" s="6">
        <f t="shared" si="120"/>
        <v>0</v>
      </c>
      <c r="AH522" s="6">
        <f t="shared" si="124"/>
        <v>0</v>
      </c>
      <c r="AI522" s="3"/>
      <c r="AJ522" s="3" t="e">
        <f>_xlfn.XLOOKUP(K522,工作表1!A:A,工作表1!C:C)</f>
        <v>#N/A</v>
      </c>
      <c r="AK522" s="3"/>
      <c r="AL522" s="6">
        <f t="shared" si="125"/>
        <v>1</v>
      </c>
      <c r="AM522" s="6">
        <f t="shared" si="126"/>
        <v>0</v>
      </c>
      <c r="AN522" s="6">
        <f t="shared" si="127"/>
        <v>0</v>
      </c>
      <c r="AO522" s="6">
        <f t="shared" si="128"/>
        <v>0</v>
      </c>
      <c r="AP522" s="6">
        <f t="shared" si="129"/>
        <v>0</v>
      </c>
      <c r="AQ522" s="6">
        <f t="shared" si="130"/>
        <v>1</v>
      </c>
      <c r="AR522" s="6"/>
      <c r="AS522" s="6"/>
      <c r="AT522" s="6">
        <v>1</v>
      </c>
      <c r="AU522" s="6"/>
      <c r="AV522" s="6"/>
      <c r="AW522" s="6"/>
      <c r="AX522" s="6"/>
      <c r="AY522" s="6"/>
      <c r="AZ522" s="6"/>
      <c r="BA522" s="6"/>
      <c r="BB522" s="6"/>
      <c r="BC522" s="6"/>
      <c r="BD522" s="6"/>
      <c r="BE522" s="6"/>
      <c r="BF522" s="6"/>
      <c r="BG522" s="6"/>
      <c r="BH522" s="6"/>
      <c r="BI522" s="6"/>
      <c r="BJ522" s="6"/>
      <c r="BK522" s="6"/>
      <c r="BL522" s="6"/>
      <c r="BM522" s="6"/>
      <c r="BN522" s="6"/>
      <c r="BO522" s="6"/>
      <c r="BP522" s="3">
        <v>1</v>
      </c>
      <c r="BQ522" s="6">
        <f t="shared" si="121"/>
        <v>1</v>
      </c>
      <c r="BU522">
        <v>1</v>
      </c>
    </row>
    <row r="523" spans="1:73" x14ac:dyDescent="0.3">
      <c r="A523" s="3" t="s">
        <v>776</v>
      </c>
      <c r="B523" s="3">
        <v>453</v>
      </c>
      <c r="C523" s="3" t="s">
        <v>868</v>
      </c>
      <c r="D523" s="3">
        <v>6</v>
      </c>
      <c r="E523" s="3" t="s">
        <v>19</v>
      </c>
      <c r="F523" s="3" t="s">
        <v>41</v>
      </c>
      <c r="G523" s="3" t="s">
        <v>19</v>
      </c>
      <c r="H523" s="3" t="s">
        <v>42</v>
      </c>
      <c r="I523" s="3">
        <v>18.260000000000002</v>
      </c>
      <c r="J523" s="3" t="s">
        <v>413</v>
      </c>
      <c r="K523" s="3" t="s">
        <v>869</v>
      </c>
      <c r="L523" s="3" t="s">
        <v>24</v>
      </c>
      <c r="M523" s="3">
        <v>1</v>
      </c>
      <c r="N523" s="6"/>
      <c r="O523" s="3">
        <v>1</v>
      </c>
      <c r="P523" s="3">
        <v>1</v>
      </c>
      <c r="Q523" s="3">
        <v>1</v>
      </c>
      <c r="R523" s="3">
        <v>0</v>
      </c>
      <c r="S523" s="3">
        <v>0</v>
      </c>
      <c r="T523" s="3">
        <v>0</v>
      </c>
      <c r="U523" s="3">
        <v>0</v>
      </c>
      <c r="V523" s="3">
        <f t="shared" si="122"/>
        <v>1</v>
      </c>
      <c r="W523" s="3">
        <v>1</v>
      </c>
      <c r="X523" s="3">
        <v>0</v>
      </c>
      <c r="Y523" s="3">
        <v>0</v>
      </c>
      <c r="Z523" s="3">
        <v>0</v>
      </c>
      <c r="AA523" s="3">
        <v>0</v>
      </c>
      <c r="AB523" s="3">
        <f t="shared" si="123"/>
        <v>1</v>
      </c>
      <c r="AC523" s="6">
        <f t="shared" si="116"/>
        <v>0</v>
      </c>
      <c r="AD523" s="6">
        <f t="shared" si="117"/>
        <v>0</v>
      </c>
      <c r="AE523" s="6">
        <f t="shared" si="118"/>
        <v>0</v>
      </c>
      <c r="AF523" s="6">
        <f t="shared" si="119"/>
        <v>0</v>
      </c>
      <c r="AG523" s="6">
        <f t="shared" si="120"/>
        <v>0</v>
      </c>
      <c r="AH523" s="6">
        <f t="shared" si="124"/>
        <v>0</v>
      </c>
      <c r="AI523" s="3"/>
      <c r="AJ523" s="3" t="e">
        <f>_xlfn.XLOOKUP(K523,工作表1!A:A,工作表1!C:C)</f>
        <v>#N/A</v>
      </c>
      <c r="AK523" s="3"/>
      <c r="AL523" s="6">
        <f t="shared" si="125"/>
        <v>1</v>
      </c>
      <c r="AM523" s="6">
        <f t="shared" si="126"/>
        <v>0</v>
      </c>
      <c r="AN523" s="6">
        <f t="shared" si="127"/>
        <v>0</v>
      </c>
      <c r="AO523" s="6">
        <f t="shared" si="128"/>
        <v>0</v>
      </c>
      <c r="AP523" s="6">
        <f t="shared" si="129"/>
        <v>0</v>
      </c>
      <c r="AQ523" s="6">
        <f t="shared" si="130"/>
        <v>1</v>
      </c>
      <c r="AR523" s="6"/>
      <c r="AS523" s="6"/>
      <c r="AT523" s="6">
        <v>1</v>
      </c>
      <c r="AU523" s="6"/>
      <c r="AV523" s="6"/>
      <c r="AW523" s="6"/>
      <c r="AX523" s="6"/>
      <c r="AY523" s="6"/>
      <c r="AZ523" s="6"/>
      <c r="BA523" s="6"/>
      <c r="BB523" s="6"/>
      <c r="BC523" s="6"/>
      <c r="BD523" s="6"/>
      <c r="BE523" s="6"/>
      <c r="BF523" s="6"/>
      <c r="BG523" s="6"/>
      <c r="BH523" s="6"/>
      <c r="BI523" s="6"/>
      <c r="BJ523" s="6"/>
      <c r="BK523" s="6"/>
      <c r="BL523" s="6"/>
      <c r="BM523" s="6"/>
      <c r="BN523" s="6"/>
      <c r="BO523" s="6"/>
      <c r="BP523" s="3">
        <v>1</v>
      </c>
      <c r="BQ523" s="6">
        <f t="shared" si="121"/>
        <v>1</v>
      </c>
      <c r="BU523">
        <v>1</v>
      </c>
    </row>
    <row r="524" spans="1:73" x14ac:dyDescent="0.3">
      <c r="A524" s="3" t="s">
        <v>776</v>
      </c>
      <c r="B524" s="3">
        <v>453</v>
      </c>
      <c r="C524" s="3" t="s">
        <v>870</v>
      </c>
      <c r="D524" s="3">
        <v>3</v>
      </c>
      <c r="E524" s="3" t="s">
        <v>19</v>
      </c>
      <c r="F524" s="3" t="s">
        <v>778</v>
      </c>
      <c r="G524" s="3" t="s">
        <v>19</v>
      </c>
      <c r="H524" s="3" t="s">
        <v>787</v>
      </c>
      <c r="I524" s="3">
        <v>3.05</v>
      </c>
      <c r="J524" s="3" t="s">
        <v>413</v>
      </c>
      <c r="K524" s="3" t="s">
        <v>871</v>
      </c>
      <c r="L524" s="3" t="s">
        <v>24</v>
      </c>
      <c r="M524" s="3">
        <v>2</v>
      </c>
      <c r="N524" s="6"/>
      <c r="O524" s="3">
        <v>1</v>
      </c>
      <c r="P524" s="3">
        <v>1</v>
      </c>
      <c r="Q524" s="3">
        <v>1</v>
      </c>
      <c r="R524" s="3">
        <v>0</v>
      </c>
      <c r="S524" s="3">
        <v>0</v>
      </c>
      <c r="T524" s="3">
        <v>0</v>
      </c>
      <c r="U524" s="3">
        <v>0</v>
      </c>
      <c r="V524" s="3">
        <f t="shared" si="122"/>
        <v>1</v>
      </c>
      <c r="W524" s="3">
        <v>1</v>
      </c>
      <c r="X524" s="3">
        <v>0</v>
      </c>
      <c r="Y524" s="3">
        <v>0</v>
      </c>
      <c r="Z524" s="3">
        <v>0</v>
      </c>
      <c r="AA524" s="3">
        <v>0</v>
      </c>
      <c r="AB524" s="3">
        <f t="shared" si="123"/>
        <v>1</v>
      </c>
      <c r="AC524" s="6">
        <f t="shared" si="116"/>
        <v>0</v>
      </c>
      <c r="AD524" s="6">
        <f t="shared" si="117"/>
        <v>0</v>
      </c>
      <c r="AE524" s="6">
        <f t="shared" si="118"/>
        <v>0</v>
      </c>
      <c r="AF524" s="6">
        <f t="shared" si="119"/>
        <v>0</v>
      </c>
      <c r="AG524" s="6">
        <f t="shared" si="120"/>
        <v>0</v>
      </c>
      <c r="AH524" s="6">
        <f t="shared" si="124"/>
        <v>0</v>
      </c>
      <c r="AI524" s="3"/>
      <c r="AJ524" s="3" t="e">
        <f>_xlfn.XLOOKUP(K524,工作表1!A:A,工作表1!C:C)</f>
        <v>#N/A</v>
      </c>
      <c r="AK524" s="3"/>
      <c r="AL524" s="6">
        <f t="shared" si="125"/>
        <v>1</v>
      </c>
      <c r="AM524" s="6">
        <f t="shared" si="126"/>
        <v>0</v>
      </c>
      <c r="AN524" s="6">
        <f t="shared" si="127"/>
        <v>0</v>
      </c>
      <c r="AO524" s="6">
        <f t="shared" si="128"/>
        <v>0</v>
      </c>
      <c r="AP524" s="6">
        <f t="shared" si="129"/>
        <v>0</v>
      </c>
      <c r="AQ524" s="6">
        <f t="shared" si="130"/>
        <v>1</v>
      </c>
      <c r="AR524" s="6"/>
      <c r="AS524" s="6"/>
      <c r="AT524" s="6">
        <v>1</v>
      </c>
      <c r="AU524" s="6"/>
      <c r="AV524" s="6"/>
      <c r="AW524" s="6"/>
      <c r="AX524" s="6"/>
      <c r="AY524" s="6"/>
      <c r="AZ524" s="6"/>
      <c r="BA524" s="6"/>
      <c r="BB524" s="6"/>
      <c r="BC524" s="6"/>
      <c r="BD524" s="6"/>
      <c r="BE524" s="6"/>
      <c r="BF524" s="6"/>
      <c r="BG524" s="6"/>
      <c r="BH524" s="6"/>
      <c r="BI524" s="6"/>
      <c r="BJ524" s="6"/>
      <c r="BK524" s="6"/>
      <c r="BL524" s="6"/>
      <c r="BM524" s="6"/>
      <c r="BN524" s="6"/>
      <c r="BO524" s="6"/>
      <c r="BP524" s="3">
        <v>1</v>
      </c>
      <c r="BQ524" s="6">
        <f t="shared" si="121"/>
        <v>1</v>
      </c>
      <c r="BU524">
        <v>1</v>
      </c>
    </row>
    <row r="525" spans="1:73" x14ac:dyDescent="0.3">
      <c r="A525" s="3" t="s">
        <v>776</v>
      </c>
      <c r="B525" s="3">
        <v>462</v>
      </c>
      <c r="C525" s="3" t="s">
        <v>872</v>
      </c>
      <c r="D525" s="3">
        <v>4</v>
      </c>
      <c r="E525" s="3" t="s">
        <v>19</v>
      </c>
      <c r="F525" s="3" t="s">
        <v>19</v>
      </c>
      <c r="G525" s="3" t="s">
        <v>19</v>
      </c>
      <c r="H525" s="3" t="s">
        <v>336</v>
      </c>
      <c r="I525" s="3"/>
      <c r="J525" s="3" t="s">
        <v>91</v>
      </c>
      <c r="K525" s="3" t="s">
        <v>873</v>
      </c>
      <c r="L525" s="3" t="s">
        <v>335</v>
      </c>
      <c r="M525" s="3">
        <v>1</v>
      </c>
      <c r="N525" s="6"/>
      <c r="O525" s="3">
        <v>1</v>
      </c>
      <c r="P525" s="3">
        <v>1</v>
      </c>
      <c r="Q525" s="3">
        <v>1</v>
      </c>
      <c r="R525" s="3">
        <v>0</v>
      </c>
      <c r="S525" s="3">
        <v>0</v>
      </c>
      <c r="T525" s="3">
        <v>0</v>
      </c>
      <c r="U525" s="3">
        <v>0</v>
      </c>
      <c r="V525" s="3">
        <f t="shared" si="122"/>
        <v>1</v>
      </c>
      <c r="W525" s="3">
        <v>1</v>
      </c>
      <c r="X525" s="3">
        <v>0</v>
      </c>
      <c r="Y525" s="3">
        <v>0</v>
      </c>
      <c r="Z525" s="3">
        <v>0</v>
      </c>
      <c r="AA525" s="3">
        <v>0</v>
      </c>
      <c r="AB525" s="3">
        <f t="shared" si="123"/>
        <v>1</v>
      </c>
      <c r="AC525" s="6">
        <f t="shared" si="116"/>
        <v>-1</v>
      </c>
      <c r="AD525" s="6">
        <f t="shared" si="117"/>
        <v>0</v>
      </c>
      <c r="AE525" s="6">
        <f t="shared" si="118"/>
        <v>0</v>
      </c>
      <c r="AF525" s="6">
        <f t="shared" si="119"/>
        <v>0</v>
      </c>
      <c r="AG525" s="6">
        <f t="shared" si="120"/>
        <v>0</v>
      </c>
      <c r="AH525" s="6">
        <f t="shared" si="124"/>
        <v>-1</v>
      </c>
      <c r="AI525" s="3"/>
      <c r="AJ525" s="3" t="e">
        <f>_xlfn.XLOOKUP(K525,工作表1!A:A,工作表1!C:C)</f>
        <v>#N/A</v>
      </c>
      <c r="AK525" s="3"/>
      <c r="AL525" s="6">
        <f t="shared" si="125"/>
        <v>0</v>
      </c>
      <c r="AM525" s="6">
        <f t="shared" si="126"/>
        <v>0</v>
      </c>
      <c r="AN525" s="6">
        <f t="shared" si="127"/>
        <v>0</v>
      </c>
      <c r="AO525" s="6">
        <f t="shared" si="128"/>
        <v>0</v>
      </c>
      <c r="AP525" s="6">
        <f t="shared" si="129"/>
        <v>0</v>
      </c>
      <c r="AQ525" s="6">
        <f t="shared" si="130"/>
        <v>0</v>
      </c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  <c r="BC525" s="6"/>
      <c r="BD525" s="6"/>
      <c r="BE525" s="6"/>
      <c r="BF525" s="6"/>
      <c r="BG525" s="6"/>
      <c r="BH525" s="6"/>
      <c r="BI525" s="6"/>
      <c r="BJ525" s="6"/>
      <c r="BK525" s="6"/>
      <c r="BL525" s="6"/>
      <c r="BM525" s="6"/>
      <c r="BN525" s="6"/>
      <c r="BO525" s="6"/>
      <c r="BP525" s="3">
        <v>1</v>
      </c>
      <c r="BQ525" s="6">
        <f t="shared" si="121"/>
        <v>0</v>
      </c>
    </row>
    <row r="526" spans="1:73" x14ac:dyDescent="0.3">
      <c r="A526" s="3" t="s">
        <v>776</v>
      </c>
      <c r="B526" s="3">
        <v>462</v>
      </c>
      <c r="C526" s="3" t="s">
        <v>872</v>
      </c>
      <c r="D526" s="3">
        <v>1</v>
      </c>
      <c r="E526" s="3" t="s">
        <v>19</v>
      </c>
      <c r="F526" s="3" t="s">
        <v>19</v>
      </c>
      <c r="G526" s="3" t="s">
        <v>19</v>
      </c>
      <c r="H526" s="3" t="s">
        <v>101</v>
      </c>
      <c r="I526" s="3"/>
      <c r="J526" s="3" t="s">
        <v>91</v>
      </c>
      <c r="K526" s="3" t="s">
        <v>874</v>
      </c>
      <c r="L526" s="3" t="s">
        <v>335</v>
      </c>
      <c r="M526" s="3">
        <v>1</v>
      </c>
      <c r="N526" s="6"/>
      <c r="O526" s="3">
        <v>1</v>
      </c>
      <c r="P526" s="3">
        <v>1</v>
      </c>
      <c r="Q526" s="3">
        <v>1</v>
      </c>
      <c r="R526" s="3">
        <v>0</v>
      </c>
      <c r="S526" s="3">
        <v>0</v>
      </c>
      <c r="T526" s="3">
        <v>0</v>
      </c>
      <c r="U526" s="3">
        <v>0</v>
      </c>
      <c r="V526" s="3">
        <f t="shared" si="122"/>
        <v>1</v>
      </c>
      <c r="W526" s="3">
        <v>1</v>
      </c>
      <c r="X526" s="3">
        <v>0</v>
      </c>
      <c r="Y526" s="3">
        <v>0</v>
      </c>
      <c r="Z526" s="3">
        <v>0</v>
      </c>
      <c r="AA526" s="3">
        <v>0</v>
      </c>
      <c r="AB526" s="3">
        <f t="shared" si="123"/>
        <v>1</v>
      </c>
      <c r="AC526" s="6">
        <f t="shared" si="116"/>
        <v>-1</v>
      </c>
      <c r="AD526" s="6">
        <f t="shared" si="117"/>
        <v>0</v>
      </c>
      <c r="AE526" s="6">
        <f t="shared" si="118"/>
        <v>0</v>
      </c>
      <c r="AF526" s="6">
        <f t="shared" si="119"/>
        <v>0</v>
      </c>
      <c r="AG526" s="6">
        <f t="shared" si="120"/>
        <v>0</v>
      </c>
      <c r="AH526" s="6">
        <f t="shared" si="124"/>
        <v>-1</v>
      </c>
      <c r="AI526" s="3"/>
      <c r="AJ526" s="3" t="e">
        <f>_xlfn.XLOOKUP(K526,工作表1!A:A,工作表1!C:C)</f>
        <v>#N/A</v>
      </c>
      <c r="AK526" s="3"/>
      <c r="AL526" s="6">
        <f t="shared" si="125"/>
        <v>0</v>
      </c>
      <c r="AM526" s="6">
        <f t="shared" si="126"/>
        <v>0</v>
      </c>
      <c r="AN526" s="6">
        <f t="shared" si="127"/>
        <v>0</v>
      </c>
      <c r="AO526" s="6">
        <f t="shared" si="128"/>
        <v>0</v>
      </c>
      <c r="AP526" s="6">
        <f t="shared" si="129"/>
        <v>0</v>
      </c>
      <c r="AQ526" s="6">
        <f t="shared" si="130"/>
        <v>0</v>
      </c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  <c r="BC526" s="6"/>
      <c r="BD526" s="6"/>
      <c r="BE526" s="6"/>
      <c r="BF526" s="6"/>
      <c r="BG526" s="6"/>
      <c r="BH526" s="6"/>
      <c r="BI526" s="6"/>
      <c r="BJ526" s="6"/>
      <c r="BK526" s="6"/>
      <c r="BL526" s="6"/>
      <c r="BM526" s="6"/>
      <c r="BN526" s="6"/>
      <c r="BO526" s="6"/>
      <c r="BP526" s="3">
        <v>1</v>
      </c>
      <c r="BQ526" s="6">
        <f t="shared" si="121"/>
        <v>0</v>
      </c>
    </row>
    <row r="527" spans="1:73" x14ac:dyDescent="0.3">
      <c r="A527" s="3" t="s">
        <v>776</v>
      </c>
      <c r="B527" s="3">
        <v>462</v>
      </c>
      <c r="C527" s="3" t="s">
        <v>872</v>
      </c>
      <c r="D527" s="3">
        <v>0.75</v>
      </c>
      <c r="E527" s="3" t="s">
        <v>19</v>
      </c>
      <c r="F527" s="3" t="s">
        <v>19</v>
      </c>
      <c r="G527" s="3" t="s">
        <v>19</v>
      </c>
      <c r="H527" s="3" t="s">
        <v>103</v>
      </c>
      <c r="I527" s="3"/>
      <c r="J527" s="3" t="s">
        <v>91</v>
      </c>
      <c r="K527" s="3" t="s">
        <v>875</v>
      </c>
      <c r="L527" s="3" t="s">
        <v>335</v>
      </c>
      <c r="M527" s="3">
        <v>1</v>
      </c>
      <c r="N527" s="6"/>
      <c r="O527" s="3">
        <v>1</v>
      </c>
      <c r="P527" s="3">
        <v>1</v>
      </c>
      <c r="Q527" s="3">
        <v>1</v>
      </c>
      <c r="R527" s="3">
        <v>0</v>
      </c>
      <c r="S527" s="3">
        <v>0</v>
      </c>
      <c r="T527" s="3">
        <v>0</v>
      </c>
      <c r="U527" s="3">
        <v>0</v>
      </c>
      <c r="V527" s="3">
        <f t="shared" si="122"/>
        <v>1</v>
      </c>
      <c r="W527" s="3">
        <v>1</v>
      </c>
      <c r="X527" s="3">
        <v>0</v>
      </c>
      <c r="Y527" s="3">
        <v>0</v>
      </c>
      <c r="Z527" s="3">
        <v>0</v>
      </c>
      <c r="AA527" s="3">
        <v>0</v>
      </c>
      <c r="AB527" s="3">
        <f t="shared" si="123"/>
        <v>1</v>
      </c>
      <c r="AC527" s="6">
        <f t="shared" si="116"/>
        <v>-1</v>
      </c>
      <c r="AD527" s="6">
        <f t="shared" si="117"/>
        <v>0</v>
      </c>
      <c r="AE527" s="6">
        <f t="shared" si="118"/>
        <v>0</v>
      </c>
      <c r="AF527" s="6">
        <f t="shared" si="119"/>
        <v>0</v>
      </c>
      <c r="AG527" s="6">
        <f t="shared" si="120"/>
        <v>0</v>
      </c>
      <c r="AH527" s="6">
        <f t="shared" si="124"/>
        <v>-1</v>
      </c>
      <c r="AI527" s="3"/>
      <c r="AJ527" s="3" t="e">
        <f>_xlfn.XLOOKUP(K527,工作表1!A:A,工作表1!C:C)</f>
        <v>#N/A</v>
      </c>
      <c r="AK527" s="3"/>
      <c r="AL527" s="6">
        <f t="shared" si="125"/>
        <v>0</v>
      </c>
      <c r="AM527" s="6">
        <f t="shared" si="126"/>
        <v>0</v>
      </c>
      <c r="AN527" s="6">
        <f t="shared" si="127"/>
        <v>0</v>
      </c>
      <c r="AO527" s="6">
        <f t="shared" si="128"/>
        <v>0</v>
      </c>
      <c r="AP527" s="6">
        <f t="shared" si="129"/>
        <v>0</v>
      </c>
      <c r="AQ527" s="6">
        <f t="shared" si="130"/>
        <v>0</v>
      </c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  <c r="BC527" s="6"/>
      <c r="BD527" s="6"/>
      <c r="BE527" s="6"/>
      <c r="BF527" s="6"/>
      <c r="BG527" s="6"/>
      <c r="BH527" s="6"/>
      <c r="BI527" s="6"/>
      <c r="BJ527" s="6"/>
      <c r="BK527" s="6"/>
      <c r="BL527" s="6"/>
      <c r="BM527" s="6"/>
      <c r="BN527" s="6"/>
      <c r="BO527" s="6"/>
      <c r="BP527" s="3">
        <v>1</v>
      </c>
      <c r="BQ527" s="6">
        <f t="shared" si="121"/>
        <v>0</v>
      </c>
    </row>
    <row r="528" spans="1:73" x14ac:dyDescent="0.3">
      <c r="A528" s="3" t="s">
        <v>776</v>
      </c>
      <c r="B528" s="3">
        <v>471</v>
      </c>
      <c r="C528" s="3" t="s">
        <v>452</v>
      </c>
      <c r="D528" s="3">
        <v>4</v>
      </c>
      <c r="E528" s="3" t="s">
        <v>19</v>
      </c>
      <c r="F528" s="3" t="s">
        <v>19</v>
      </c>
      <c r="G528" s="3" t="s">
        <v>19</v>
      </c>
      <c r="H528" s="3" t="s">
        <v>336</v>
      </c>
      <c r="I528" s="3"/>
      <c r="J528" s="3" t="s">
        <v>91</v>
      </c>
      <c r="K528" s="3" t="s">
        <v>453</v>
      </c>
      <c r="L528" s="3" t="s">
        <v>335</v>
      </c>
      <c r="M528" s="3">
        <v>54</v>
      </c>
      <c r="N528" s="6"/>
      <c r="O528" s="3">
        <v>5</v>
      </c>
      <c r="P528" s="3">
        <v>5</v>
      </c>
      <c r="Q528" s="3">
        <v>4</v>
      </c>
      <c r="R528" s="3">
        <v>0</v>
      </c>
      <c r="S528" s="3">
        <v>1</v>
      </c>
      <c r="T528" s="3">
        <v>0</v>
      </c>
      <c r="U528" s="3">
        <v>0</v>
      </c>
      <c r="V528" s="3">
        <f t="shared" si="122"/>
        <v>5</v>
      </c>
      <c r="W528" s="3">
        <v>4</v>
      </c>
      <c r="X528" s="3">
        <v>0</v>
      </c>
      <c r="Y528" s="3">
        <v>1</v>
      </c>
      <c r="Z528" s="3">
        <v>0</v>
      </c>
      <c r="AA528" s="3">
        <v>0</v>
      </c>
      <c r="AB528" s="3">
        <f t="shared" si="123"/>
        <v>5</v>
      </c>
      <c r="AC528" s="6">
        <f t="shared" si="116"/>
        <v>-4</v>
      </c>
      <c r="AD528" s="6">
        <f t="shared" si="117"/>
        <v>0</v>
      </c>
      <c r="AE528" s="6">
        <f t="shared" si="118"/>
        <v>-1</v>
      </c>
      <c r="AF528" s="6">
        <f t="shared" si="119"/>
        <v>0</v>
      </c>
      <c r="AG528" s="6">
        <f t="shared" si="120"/>
        <v>0</v>
      </c>
      <c r="AH528" s="6">
        <f t="shared" si="124"/>
        <v>-5</v>
      </c>
      <c r="AI528" s="3"/>
      <c r="AJ528" s="3" t="e">
        <f>_xlfn.XLOOKUP(K528,工作表1!A:A,工作表1!C:C)</f>
        <v>#N/A</v>
      </c>
      <c r="AK528" s="3"/>
      <c r="AL528" s="6">
        <f t="shared" si="125"/>
        <v>0</v>
      </c>
      <c r="AM528" s="6">
        <f t="shared" si="126"/>
        <v>0</v>
      </c>
      <c r="AN528" s="6">
        <f t="shared" si="127"/>
        <v>0</v>
      </c>
      <c r="AO528" s="6">
        <f t="shared" si="128"/>
        <v>0</v>
      </c>
      <c r="AP528" s="6">
        <f t="shared" si="129"/>
        <v>0</v>
      </c>
      <c r="AQ528" s="6">
        <f t="shared" si="130"/>
        <v>0</v>
      </c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  <c r="BC528" s="6"/>
      <c r="BD528" s="6"/>
      <c r="BE528" s="6"/>
      <c r="BF528" s="6"/>
      <c r="BG528" s="6"/>
      <c r="BH528" s="6"/>
      <c r="BI528" s="6"/>
      <c r="BJ528" s="6"/>
      <c r="BK528" s="6"/>
      <c r="BL528" s="6"/>
      <c r="BM528" s="6"/>
      <c r="BN528" s="6"/>
      <c r="BO528" s="6"/>
      <c r="BP528" s="3">
        <v>5</v>
      </c>
      <c r="BQ528" s="6">
        <f t="shared" si="121"/>
        <v>0</v>
      </c>
    </row>
    <row r="529" spans="1:69" x14ac:dyDescent="0.3">
      <c r="A529" s="3" t="s">
        <v>776</v>
      </c>
      <c r="B529" s="3">
        <v>471</v>
      </c>
      <c r="C529" s="3" t="s">
        <v>452</v>
      </c>
      <c r="D529" s="3">
        <v>3</v>
      </c>
      <c r="E529" s="3" t="s">
        <v>19</v>
      </c>
      <c r="F529" s="3" t="s">
        <v>19</v>
      </c>
      <c r="G529" s="3" t="s">
        <v>19</v>
      </c>
      <c r="H529" s="3" t="s">
        <v>338</v>
      </c>
      <c r="I529" s="3"/>
      <c r="J529" s="3" t="s">
        <v>91</v>
      </c>
      <c r="K529" s="3" t="s">
        <v>876</v>
      </c>
      <c r="L529" s="3" t="s">
        <v>335</v>
      </c>
      <c r="M529" s="3">
        <v>28</v>
      </c>
      <c r="N529" s="6"/>
      <c r="O529" s="3">
        <v>9</v>
      </c>
      <c r="P529" s="3">
        <v>9</v>
      </c>
      <c r="Q529" s="3">
        <v>9</v>
      </c>
      <c r="R529" s="3">
        <v>0</v>
      </c>
      <c r="S529" s="3">
        <v>0</v>
      </c>
      <c r="T529" s="3">
        <v>0</v>
      </c>
      <c r="U529" s="3">
        <v>0</v>
      </c>
      <c r="V529" s="3">
        <f t="shared" si="122"/>
        <v>9</v>
      </c>
      <c r="W529" s="3">
        <v>9</v>
      </c>
      <c r="X529" s="3">
        <v>0</v>
      </c>
      <c r="Y529" s="3">
        <v>0</v>
      </c>
      <c r="Z529" s="3">
        <v>0</v>
      </c>
      <c r="AA529" s="3">
        <v>0</v>
      </c>
      <c r="AB529" s="3">
        <f t="shared" si="123"/>
        <v>9</v>
      </c>
      <c r="AC529" s="6">
        <f t="shared" si="116"/>
        <v>-9</v>
      </c>
      <c r="AD529" s="6">
        <f t="shared" si="117"/>
        <v>0</v>
      </c>
      <c r="AE529" s="6">
        <f t="shared" si="118"/>
        <v>0</v>
      </c>
      <c r="AF529" s="6">
        <f t="shared" si="119"/>
        <v>0</v>
      </c>
      <c r="AG529" s="6">
        <f t="shared" si="120"/>
        <v>0</v>
      </c>
      <c r="AH529" s="6">
        <f t="shared" si="124"/>
        <v>-9</v>
      </c>
      <c r="AI529" s="3"/>
      <c r="AJ529" s="3" t="e">
        <f>_xlfn.XLOOKUP(K529,工作表1!A:A,工作表1!C:C)</f>
        <v>#N/A</v>
      </c>
      <c r="AK529" s="3"/>
      <c r="AL529" s="6">
        <f t="shared" si="125"/>
        <v>0</v>
      </c>
      <c r="AM529" s="6">
        <f t="shared" si="126"/>
        <v>0</v>
      </c>
      <c r="AN529" s="6">
        <f t="shared" si="127"/>
        <v>0</v>
      </c>
      <c r="AO529" s="6">
        <f t="shared" si="128"/>
        <v>0</v>
      </c>
      <c r="AP529" s="6">
        <f t="shared" si="129"/>
        <v>0</v>
      </c>
      <c r="AQ529" s="6">
        <f t="shared" si="130"/>
        <v>0</v>
      </c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  <c r="BC529" s="6"/>
      <c r="BD529" s="6"/>
      <c r="BE529" s="6"/>
      <c r="BF529" s="6"/>
      <c r="BG529" s="6"/>
      <c r="BH529" s="6"/>
      <c r="BI529" s="6"/>
      <c r="BJ529" s="6"/>
      <c r="BK529" s="6"/>
      <c r="BL529" s="6"/>
      <c r="BM529" s="6"/>
      <c r="BN529" s="6"/>
      <c r="BO529" s="6"/>
      <c r="BP529" s="3">
        <v>9</v>
      </c>
      <c r="BQ529" s="6">
        <f t="shared" si="121"/>
        <v>0</v>
      </c>
    </row>
    <row r="530" spans="1:69" x14ac:dyDescent="0.3">
      <c r="A530" s="3" t="s">
        <v>776</v>
      </c>
      <c r="B530" s="3">
        <v>471</v>
      </c>
      <c r="C530" s="3" t="s">
        <v>452</v>
      </c>
      <c r="D530" s="3">
        <v>1</v>
      </c>
      <c r="E530" s="3" t="s">
        <v>19</v>
      </c>
      <c r="F530" s="3" t="s">
        <v>19</v>
      </c>
      <c r="G530" s="3" t="s">
        <v>19</v>
      </c>
      <c r="H530" s="3" t="s">
        <v>101</v>
      </c>
      <c r="I530" s="3"/>
      <c r="J530" s="3" t="s">
        <v>91</v>
      </c>
      <c r="K530" s="3" t="s">
        <v>456</v>
      </c>
      <c r="L530" s="3" t="s">
        <v>335</v>
      </c>
      <c r="M530" s="3">
        <v>58</v>
      </c>
      <c r="N530" s="6"/>
      <c r="O530" s="3">
        <v>24</v>
      </c>
      <c r="P530" s="3">
        <v>24</v>
      </c>
      <c r="Q530" s="3">
        <v>3</v>
      </c>
      <c r="R530" s="3">
        <v>0</v>
      </c>
      <c r="S530" s="3">
        <v>21</v>
      </c>
      <c r="T530" s="3">
        <v>0</v>
      </c>
      <c r="U530" s="3">
        <v>0</v>
      </c>
      <c r="V530" s="3">
        <f t="shared" si="122"/>
        <v>24</v>
      </c>
      <c r="W530" s="3">
        <v>3</v>
      </c>
      <c r="X530" s="3">
        <v>0</v>
      </c>
      <c r="Y530" s="3">
        <v>21</v>
      </c>
      <c r="Z530" s="3">
        <v>0</v>
      </c>
      <c r="AA530" s="3">
        <v>0</v>
      </c>
      <c r="AB530" s="3">
        <f t="shared" si="123"/>
        <v>24</v>
      </c>
      <c r="AC530" s="6">
        <f t="shared" si="116"/>
        <v>-3</v>
      </c>
      <c r="AD530" s="6">
        <f t="shared" si="117"/>
        <v>0</v>
      </c>
      <c r="AE530" s="6">
        <f t="shared" si="118"/>
        <v>-21</v>
      </c>
      <c r="AF530" s="6">
        <f t="shared" si="119"/>
        <v>0</v>
      </c>
      <c r="AG530" s="6">
        <f t="shared" si="120"/>
        <v>0</v>
      </c>
      <c r="AH530" s="6">
        <f t="shared" si="124"/>
        <v>-24</v>
      </c>
      <c r="AI530" s="3"/>
      <c r="AJ530" s="3" t="e">
        <f>_xlfn.XLOOKUP(K530,工作表1!A:A,工作表1!C:C)</f>
        <v>#N/A</v>
      </c>
      <c r="AK530" s="3"/>
      <c r="AL530" s="6">
        <f t="shared" si="125"/>
        <v>0</v>
      </c>
      <c r="AM530" s="6">
        <f t="shared" si="126"/>
        <v>0</v>
      </c>
      <c r="AN530" s="6">
        <f t="shared" si="127"/>
        <v>0</v>
      </c>
      <c r="AO530" s="6">
        <f t="shared" si="128"/>
        <v>0</v>
      </c>
      <c r="AP530" s="6">
        <f t="shared" si="129"/>
        <v>0</v>
      </c>
      <c r="AQ530" s="6">
        <f t="shared" si="130"/>
        <v>0</v>
      </c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  <c r="BC530" s="6"/>
      <c r="BD530" s="6"/>
      <c r="BE530" s="6"/>
      <c r="BF530" s="6"/>
      <c r="BG530" s="6"/>
      <c r="BH530" s="6"/>
      <c r="BI530" s="6"/>
      <c r="BJ530" s="6"/>
      <c r="BK530" s="6"/>
      <c r="BL530" s="6"/>
      <c r="BM530" s="6"/>
      <c r="BN530" s="6"/>
      <c r="BO530" s="6"/>
      <c r="BP530" s="3">
        <v>24</v>
      </c>
      <c r="BQ530" s="6">
        <f t="shared" si="121"/>
        <v>0</v>
      </c>
    </row>
    <row r="531" spans="1:69" x14ac:dyDescent="0.3">
      <c r="A531" s="3" t="s">
        <v>776</v>
      </c>
      <c r="B531" s="3">
        <v>471</v>
      </c>
      <c r="C531" s="3" t="s">
        <v>452</v>
      </c>
      <c r="D531" s="3">
        <v>0.75</v>
      </c>
      <c r="E531" s="3" t="s">
        <v>19</v>
      </c>
      <c r="F531" s="3" t="s">
        <v>19</v>
      </c>
      <c r="G531" s="3" t="s">
        <v>19</v>
      </c>
      <c r="H531" s="3" t="s">
        <v>103</v>
      </c>
      <c r="I531" s="3"/>
      <c r="J531" s="3" t="s">
        <v>91</v>
      </c>
      <c r="K531" s="3" t="s">
        <v>877</v>
      </c>
      <c r="L531" s="3" t="s">
        <v>335</v>
      </c>
      <c r="M531" s="3">
        <v>16</v>
      </c>
      <c r="N531" s="6"/>
      <c r="O531" s="3">
        <v>4</v>
      </c>
      <c r="P531" s="3">
        <v>4</v>
      </c>
      <c r="Q531" s="3">
        <v>4</v>
      </c>
      <c r="R531" s="3">
        <v>0</v>
      </c>
      <c r="S531" s="3">
        <v>0</v>
      </c>
      <c r="T531" s="3">
        <v>0</v>
      </c>
      <c r="U531" s="3">
        <v>0</v>
      </c>
      <c r="V531" s="3">
        <f t="shared" si="122"/>
        <v>4</v>
      </c>
      <c r="W531" s="3">
        <v>4</v>
      </c>
      <c r="X531" s="3">
        <v>0</v>
      </c>
      <c r="Y531" s="3">
        <v>0</v>
      </c>
      <c r="Z531" s="3">
        <v>0</v>
      </c>
      <c r="AA531" s="3">
        <v>0</v>
      </c>
      <c r="AB531" s="3">
        <f t="shared" si="123"/>
        <v>4</v>
      </c>
      <c r="AC531" s="6">
        <f t="shared" si="116"/>
        <v>-4</v>
      </c>
      <c r="AD531" s="6">
        <f t="shared" si="117"/>
        <v>0</v>
      </c>
      <c r="AE531" s="6">
        <f t="shared" si="118"/>
        <v>0</v>
      </c>
      <c r="AF531" s="6">
        <f t="shared" si="119"/>
        <v>0</v>
      </c>
      <c r="AG531" s="6">
        <f t="shared" si="120"/>
        <v>0</v>
      </c>
      <c r="AH531" s="6">
        <f t="shared" si="124"/>
        <v>-4</v>
      </c>
      <c r="AI531" s="3"/>
      <c r="AJ531" s="3" t="e">
        <f>_xlfn.XLOOKUP(K531,工作表1!A:A,工作表1!C:C)</f>
        <v>#N/A</v>
      </c>
      <c r="AK531" s="3"/>
      <c r="AL531" s="6">
        <f t="shared" si="125"/>
        <v>0</v>
      </c>
      <c r="AM531" s="6">
        <f t="shared" si="126"/>
        <v>0</v>
      </c>
      <c r="AN531" s="6">
        <f t="shared" si="127"/>
        <v>0</v>
      </c>
      <c r="AO531" s="6">
        <f t="shared" si="128"/>
        <v>0</v>
      </c>
      <c r="AP531" s="6">
        <f t="shared" si="129"/>
        <v>0</v>
      </c>
      <c r="AQ531" s="6">
        <f t="shared" si="130"/>
        <v>0</v>
      </c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  <c r="BC531" s="6"/>
      <c r="BD531" s="6"/>
      <c r="BE531" s="6"/>
      <c r="BF531" s="6"/>
      <c r="BG531" s="6"/>
      <c r="BH531" s="6"/>
      <c r="BI531" s="6"/>
      <c r="BJ531" s="6"/>
      <c r="BK531" s="6"/>
      <c r="BL531" s="6"/>
      <c r="BM531" s="6"/>
      <c r="BN531" s="6"/>
      <c r="BO531" s="6"/>
      <c r="BP531" s="3">
        <v>4</v>
      </c>
      <c r="BQ531" s="6">
        <f t="shared" si="121"/>
        <v>0</v>
      </c>
    </row>
    <row r="532" spans="1:69" x14ac:dyDescent="0.3">
      <c r="A532" s="3" t="s">
        <v>776</v>
      </c>
      <c r="B532" s="3">
        <v>471</v>
      </c>
      <c r="C532" s="3" t="s">
        <v>878</v>
      </c>
      <c r="D532" s="3">
        <v>6</v>
      </c>
      <c r="E532" s="3" t="s">
        <v>19</v>
      </c>
      <c r="F532" s="3" t="s">
        <v>19</v>
      </c>
      <c r="G532" s="3" t="s">
        <v>19</v>
      </c>
      <c r="H532" s="3" t="s">
        <v>443</v>
      </c>
      <c r="I532" s="3"/>
      <c r="J532" s="3" t="s">
        <v>91</v>
      </c>
      <c r="K532" s="3" t="s">
        <v>879</v>
      </c>
      <c r="L532" s="3" t="s">
        <v>335</v>
      </c>
      <c r="M532" s="3">
        <v>8</v>
      </c>
      <c r="N532" s="6"/>
      <c r="O532" s="3">
        <v>2</v>
      </c>
      <c r="P532" s="3">
        <v>2</v>
      </c>
      <c r="Q532" s="3">
        <v>2</v>
      </c>
      <c r="R532" s="3">
        <v>0</v>
      </c>
      <c r="S532" s="3">
        <v>0</v>
      </c>
      <c r="T532" s="3">
        <v>0</v>
      </c>
      <c r="U532" s="3">
        <v>0</v>
      </c>
      <c r="V532" s="3">
        <f t="shared" si="122"/>
        <v>2</v>
      </c>
      <c r="W532" s="3">
        <v>2</v>
      </c>
      <c r="X532" s="3">
        <v>0</v>
      </c>
      <c r="Y532" s="3">
        <v>0</v>
      </c>
      <c r="Z532" s="3">
        <v>0</v>
      </c>
      <c r="AA532" s="3">
        <v>0</v>
      </c>
      <c r="AB532" s="3">
        <f t="shared" si="123"/>
        <v>2</v>
      </c>
      <c r="AC532" s="6">
        <f t="shared" si="116"/>
        <v>-2</v>
      </c>
      <c r="AD532" s="6">
        <f t="shared" si="117"/>
        <v>0</v>
      </c>
      <c r="AE532" s="6">
        <f t="shared" si="118"/>
        <v>0</v>
      </c>
      <c r="AF532" s="6">
        <f t="shared" si="119"/>
        <v>0</v>
      </c>
      <c r="AG532" s="6">
        <f t="shared" si="120"/>
        <v>0</v>
      </c>
      <c r="AH532" s="6">
        <f t="shared" si="124"/>
        <v>-2</v>
      </c>
      <c r="AI532" s="3"/>
      <c r="AJ532" s="3" t="e">
        <f>_xlfn.XLOOKUP(K532,工作表1!A:A,工作表1!C:C)</f>
        <v>#N/A</v>
      </c>
      <c r="AK532" s="3"/>
      <c r="AL532" s="6">
        <f t="shared" si="125"/>
        <v>0</v>
      </c>
      <c r="AM532" s="6">
        <f t="shared" si="126"/>
        <v>0</v>
      </c>
      <c r="AN532" s="6">
        <f t="shared" si="127"/>
        <v>0</v>
      </c>
      <c r="AO532" s="6">
        <f t="shared" si="128"/>
        <v>0</v>
      </c>
      <c r="AP532" s="6">
        <f t="shared" si="129"/>
        <v>0</v>
      </c>
      <c r="AQ532" s="6">
        <f t="shared" si="130"/>
        <v>0</v>
      </c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  <c r="BC532" s="6"/>
      <c r="BD532" s="6"/>
      <c r="BE532" s="6"/>
      <c r="BF532" s="6"/>
      <c r="BG532" s="6"/>
      <c r="BH532" s="6"/>
      <c r="BI532" s="6"/>
      <c r="BJ532" s="6"/>
      <c r="BK532" s="6"/>
      <c r="BL532" s="6"/>
      <c r="BM532" s="6"/>
      <c r="BN532" s="6"/>
      <c r="BO532" s="6"/>
      <c r="BP532" s="3">
        <v>2</v>
      </c>
      <c r="BQ532" s="6">
        <f t="shared" si="121"/>
        <v>0</v>
      </c>
    </row>
    <row r="533" spans="1:69" x14ac:dyDescent="0.3">
      <c r="A533" s="3" t="s">
        <v>776</v>
      </c>
      <c r="B533" s="3">
        <v>471</v>
      </c>
      <c r="C533" s="3" t="s">
        <v>878</v>
      </c>
      <c r="D533" s="3">
        <v>4</v>
      </c>
      <c r="E533" s="3" t="s">
        <v>19</v>
      </c>
      <c r="F533" s="3" t="s">
        <v>19</v>
      </c>
      <c r="G533" s="3" t="s">
        <v>19</v>
      </c>
      <c r="H533" s="3" t="s">
        <v>336</v>
      </c>
      <c r="I533" s="3"/>
      <c r="J533" s="3" t="s">
        <v>91</v>
      </c>
      <c r="K533" s="3" t="s">
        <v>880</v>
      </c>
      <c r="L533" s="3" t="s">
        <v>335</v>
      </c>
      <c r="M533" s="3">
        <v>16</v>
      </c>
      <c r="N533" s="6"/>
      <c r="O533" s="3">
        <v>6</v>
      </c>
      <c r="P533" s="3">
        <v>6</v>
      </c>
      <c r="Q533" s="3">
        <v>6</v>
      </c>
      <c r="R533" s="3">
        <v>0</v>
      </c>
      <c r="S533" s="3">
        <v>0</v>
      </c>
      <c r="T533" s="3">
        <v>0</v>
      </c>
      <c r="U533" s="3">
        <v>0</v>
      </c>
      <c r="V533" s="3">
        <f t="shared" si="122"/>
        <v>6</v>
      </c>
      <c r="W533" s="3">
        <v>6</v>
      </c>
      <c r="X533" s="3">
        <v>0</v>
      </c>
      <c r="Y533" s="3">
        <v>0</v>
      </c>
      <c r="Z533" s="3">
        <v>0</v>
      </c>
      <c r="AA533" s="3">
        <v>0</v>
      </c>
      <c r="AB533" s="3">
        <f t="shared" si="123"/>
        <v>6</v>
      </c>
      <c r="AC533" s="6">
        <f t="shared" si="116"/>
        <v>-6</v>
      </c>
      <c r="AD533" s="6">
        <f t="shared" si="117"/>
        <v>0</v>
      </c>
      <c r="AE533" s="6">
        <f t="shared" si="118"/>
        <v>0</v>
      </c>
      <c r="AF533" s="6">
        <f t="shared" si="119"/>
        <v>0</v>
      </c>
      <c r="AG533" s="6">
        <f t="shared" si="120"/>
        <v>0</v>
      </c>
      <c r="AH533" s="6">
        <f t="shared" si="124"/>
        <v>-6</v>
      </c>
      <c r="AI533" s="3"/>
      <c r="AJ533" s="3" t="e">
        <f>_xlfn.XLOOKUP(K533,工作表1!A:A,工作表1!C:C)</f>
        <v>#N/A</v>
      </c>
      <c r="AK533" s="3"/>
      <c r="AL533" s="6">
        <f t="shared" si="125"/>
        <v>0</v>
      </c>
      <c r="AM533" s="6">
        <f t="shared" si="126"/>
        <v>0</v>
      </c>
      <c r="AN533" s="6">
        <f t="shared" si="127"/>
        <v>0</v>
      </c>
      <c r="AO533" s="6">
        <f t="shared" si="128"/>
        <v>0</v>
      </c>
      <c r="AP533" s="6">
        <f t="shared" si="129"/>
        <v>0</v>
      </c>
      <c r="AQ533" s="6">
        <f t="shared" si="130"/>
        <v>0</v>
      </c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  <c r="BC533" s="6"/>
      <c r="BD533" s="6"/>
      <c r="BE533" s="6"/>
      <c r="BF533" s="6"/>
      <c r="BG533" s="6"/>
      <c r="BH533" s="6"/>
      <c r="BI533" s="6"/>
      <c r="BJ533" s="6"/>
      <c r="BK533" s="6"/>
      <c r="BL533" s="6"/>
      <c r="BM533" s="6"/>
      <c r="BN533" s="6"/>
      <c r="BO533" s="6"/>
      <c r="BP533" s="3">
        <v>6</v>
      </c>
      <c r="BQ533" s="6">
        <f t="shared" si="121"/>
        <v>0</v>
      </c>
    </row>
    <row r="534" spans="1:69" x14ac:dyDescent="0.3">
      <c r="A534" s="3" t="s">
        <v>776</v>
      </c>
      <c r="B534" s="3">
        <v>471</v>
      </c>
      <c r="C534" s="3" t="s">
        <v>878</v>
      </c>
      <c r="D534" s="3">
        <v>1</v>
      </c>
      <c r="E534" s="3" t="s">
        <v>19</v>
      </c>
      <c r="F534" s="3" t="s">
        <v>19</v>
      </c>
      <c r="G534" s="3" t="s">
        <v>19</v>
      </c>
      <c r="H534" s="3" t="s">
        <v>101</v>
      </c>
      <c r="I534" s="3"/>
      <c r="J534" s="3" t="s">
        <v>91</v>
      </c>
      <c r="K534" s="3" t="s">
        <v>881</v>
      </c>
      <c r="L534" s="3" t="s">
        <v>335</v>
      </c>
      <c r="M534" s="3">
        <v>6</v>
      </c>
      <c r="N534" s="6"/>
      <c r="O534" s="3">
        <v>2</v>
      </c>
      <c r="P534" s="3">
        <v>2</v>
      </c>
      <c r="Q534" s="3">
        <v>2</v>
      </c>
      <c r="R534" s="3">
        <v>0</v>
      </c>
      <c r="S534" s="3">
        <v>0</v>
      </c>
      <c r="T534" s="3">
        <v>0</v>
      </c>
      <c r="U534" s="3">
        <v>0</v>
      </c>
      <c r="V534" s="3">
        <f t="shared" si="122"/>
        <v>2</v>
      </c>
      <c r="W534" s="3">
        <v>2</v>
      </c>
      <c r="X534" s="3">
        <v>0</v>
      </c>
      <c r="Y534" s="3">
        <v>0</v>
      </c>
      <c r="Z534" s="3">
        <v>0</v>
      </c>
      <c r="AA534" s="3">
        <v>0</v>
      </c>
      <c r="AB534" s="3">
        <f t="shared" si="123"/>
        <v>2</v>
      </c>
      <c r="AC534" s="6">
        <f t="shared" si="116"/>
        <v>-2</v>
      </c>
      <c r="AD534" s="6">
        <f t="shared" si="117"/>
        <v>0</v>
      </c>
      <c r="AE534" s="6">
        <f t="shared" si="118"/>
        <v>0</v>
      </c>
      <c r="AF534" s="6">
        <f t="shared" si="119"/>
        <v>0</v>
      </c>
      <c r="AG534" s="6">
        <f t="shared" si="120"/>
        <v>0</v>
      </c>
      <c r="AH534" s="6">
        <f t="shared" si="124"/>
        <v>-2</v>
      </c>
      <c r="AI534" s="3"/>
      <c r="AJ534" s="3" t="e">
        <f>_xlfn.XLOOKUP(K534,工作表1!A:A,工作表1!C:C)</f>
        <v>#N/A</v>
      </c>
      <c r="AK534" s="3"/>
      <c r="AL534" s="6">
        <f t="shared" si="125"/>
        <v>0</v>
      </c>
      <c r="AM534" s="6">
        <f t="shared" si="126"/>
        <v>0</v>
      </c>
      <c r="AN534" s="6">
        <f t="shared" si="127"/>
        <v>0</v>
      </c>
      <c r="AO534" s="6">
        <f t="shared" si="128"/>
        <v>0</v>
      </c>
      <c r="AP534" s="6">
        <f t="shared" si="129"/>
        <v>0</v>
      </c>
      <c r="AQ534" s="6">
        <f t="shared" si="130"/>
        <v>0</v>
      </c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  <c r="BC534" s="6"/>
      <c r="BD534" s="6"/>
      <c r="BE534" s="6"/>
      <c r="BF534" s="6"/>
      <c r="BG534" s="6"/>
      <c r="BH534" s="6"/>
      <c r="BI534" s="6"/>
      <c r="BJ534" s="6"/>
      <c r="BK534" s="6"/>
      <c r="BL534" s="6"/>
      <c r="BM534" s="6"/>
      <c r="BN534" s="6"/>
      <c r="BO534" s="6"/>
      <c r="BP534" s="3">
        <v>2</v>
      </c>
      <c r="BQ534" s="6">
        <f t="shared" si="121"/>
        <v>0</v>
      </c>
    </row>
    <row r="535" spans="1:69" x14ac:dyDescent="0.3">
      <c r="A535" s="3" t="s">
        <v>776</v>
      </c>
      <c r="B535" s="3">
        <v>471</v>
      </c>
      <c r="C535" s="3" t="s">
        <v>878</v>
      </c>
      <c r="D535" s="3">
        <v>0.75</v>
      </c>
      <c r="E535" s="3" t="s">
        <v>19</v>
      </c>
      <c r="F535" s="3" t="s">
        <v>19</v>
      </c>
      <c r="G535" s="3" t="s">
        <v>19</v>
      </c>
      <c r="H535" s="3" t="s">
        <v>103</v>
      </c>
      <c r="I535" s="3"/>
      <c r="J535" s="3" t="s">
        <v>91</v>
      </c>
      <c r="K535" s="3" t="s">
        <v>882</v>
      </c>
      <c r="L535" s="3" t="s">
        <v>335</v>
      </c>
      <c r="M535" s="3">
        <v>4</v>
      </c>
      <c r="N535" s="6"/>
      <c r="O535" s="3">
        <v>1</v>
      </c>
      <c r="P535" s="3">
        <v>1</v>
      </c>
      <c r="Q535" s="3">
        <v>1</v>
      </c>
      <c r="R535" s="3">
        <v>0</v>
      </c>
      <c r="S535" s="3">
        <v>0</v>
      </c>
      <c r="T535" s="3">
        <v>0</v>
      </c>
      <c r="U535" s="3">
        <v>0</v>
      </c>
      <c r="V535" s="3">
        <f t="shared" si="122"/>
        <v>1</v>
      </c>
      <c r="W535" s="3">
        <v>1</v>
      </c>
      <c r="X535" s="3">
        <v>0</v>
      </c>
      <c r="Y535" s="3">
        <v>0</v>
      </c>
      <c r="Z535" s="3">
        <v>0</v>
      </c>
      <c r="AA535" s="3">
        <v>0</v>
      </c>
      <c r="AB535" s="3">
        <f t="shared" si="123"/>
        <v>1</v>
      </c>
      <c r="AC535" s="6">
        <f t="shared" ref="AC535:AC598" si="131">AL535-W535</f>
        <v>-1</v>
      </c>
      <c r="AD535" s="6">
        <f t="shared" ref="AD535:AD598" si="132">AM535-X535</f>
        <v>0</v>
      </c>
      <c r="AE535" s="6">
        <f t="shared" ref="AE535:AE598" si="133">AN535-Y535</f>
        <v>0</v>
      </c>
      <c r="AF535" s="6">
        <f t="shared" ref="AF535:AF598" si="134">AO535-Z535</f>
        <v>0</v>
      </c>
      <c r="AG535" s="6">
        <f t="shared" ref="AG535:AG598" si="135">AP535-AA535</f>
        <v>0</v>
      </c>
      <c r="AH535" s="6">
        <f t="shared" si="124"/>
        <v>-1</v>
      </c>
      <c r="AI535" s="3"/>
      <c r="AJ535" s="3" t="e">
        <f>_xlfn.XLOOKUP(K535,工作表1!A:A,工作表1!C:C)</f>
        <v>#N/A</v>
      </c>
      <c r="AK535" s="3"/>
      <c r="AL535" s="6">
        <f t="shared" si="125"/>
        <v>0</v>
      </c>
      <c r="AM535" s="6">
        <f t="shared" si="126"/>
        <v>0</v>
      </c>
      <c r="AN535" s="6">
        <f t="shared" si="127"/>
        <v>0</v>
      </c>
      <c r="AO535" s="6">
        <f t="shared" si="128"/>
        <v>0</v>
      </c>
      <c r="AP535" s="6">
        <f t="shared" si="129"/>
        <v>0</v>
      </c>
      <c r="AQ535" s="6">
        <f t="shared" si="130"/>
        <v>0</v>
      </c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  <c r="BC535" s="6"/>
      <c r="BD535" s="6"/>
      <c r="BE535" s="6"/>
      <c r="BF535" s="6"/>
      <c r="BG535" s="6"/>
      <c r="BH535" s="6"/>
      <c r="BI535" s="6"/>
      <c r="BJ535" s="6"/>
      <c r="BK535" s="6"/>
      <c r="BL535" s="6"/>
      <c r="BM535" s="6"/>
      <c r="BN535" s="6"/>
      <c r="BO535" s="6"/>
      <c r="BP535" s="3">
        <v>1</v>
      </c>
      <c r="BQ535" s="6">
        <f t="shared" si="121"/>
        <v>0</v>
      </c>
    </row>
    <row r="536" spans="1:69" x14ac:dyDescent="0.3">
      <c r="A536" s="3" t="s">
        <v>776</v>
      </c>
      <c r="B536" s="3">
        <v>471</v>
      </c>
      <c r="C536" s="3" t="s">
        <v>476</v>
      </c>
      <c r="D536" s="3">
        <v>3</v>
      </c>
      <c r="E536" s="3" t="s">
        <v>19</v>
      </c>
      <c r="F536" s="3" t="s">
        <v>19</v>
      </c>
      <c r="G536" s="3" t="s">
        <v>19</v>
      </c>
      <c r="H536" s="3" t="s">
        <v>338</v>
      </c>
      <c r="I536" s="3"/>
      <c r="J536" s="3" t="s">
        <v>91</v>
      </c>
      <c r="K536" s="3" t="s">
        <v>479</v>
      </c>
      <c r="L536" s="3" t="s">
        <v>335</v>
      </c>
      <c r="M536" s="3">
        <v>35</v>
      </c>
      <c r="N536" s="6"/>
      <c r="O536" s="3">
        <v>6</v>
      </c>
      <c r="P536" s="3">
        <v>6</v>
      </c>
      <c r="Q536" s="3">
        <v>2</v>
      </c>
      <c r="R536" s="3">
        <v>0</v>
      </c>
      <c r="S536" s="3">
        <v>4</v>
      </c>
      <c r="T536" s="3">
        <v>0</v>
      </c>
      <c r="U536" s="3">
        <v>0</v>
      </c>
      <c r="V536" s="3">
        <f t="shared" si="122"/>
        <v>6</v>
      </c>
      <c r="W536" s="3">
        <v>2</v>
      </c>
      <c r="X536" s="3">
        <v>0</v>
      </c>
      <c r="Y536" s="3">
        <v>4</v>
      </c>
      <c r="Z536" s="3">
        <v>0</v>
      </c>
      <c r="AA536" s="3">
        <v>0</v>
      </c>
      <c r="AB536" s="3">
        <f t="shared" si="123"/>
        <v>6</v>
      </c>
      <c r="AC536" s="6">
        <f t="shared" si="131"/>
        <v>-2</v>
      </c>
      <c r="AD536" s="6">
        <f t="shared" si="132"/>
        <v>0</v>
      </c>
      <c r="AE536" s="6">
        <f t="shared" si="133"/>
        <v>-4</v>
      </c>
      <c r="AF536" s="6">
        <f t="shared" si="134"/>
        <v>0</v>
      </c>
      <c r="AG536" s="6">
        <f t="shared" si="135"/>
        <v>0</v>
      </c>
      <c r="AH536" s="6">
        <f t="shared" si="124"/>
        <v>-6</v>
      </c>
      <c r="AI536" s="3"/>
      <c r="AJ536" s="3" t="e">
        <f>_xlfn.XLOOKUP(K536,工作表1!A:A,工作表1!C:C)</f>
        <v>#N/A</v>
      </c>
      <c r="AK536" s="3"/>
      <c r="AL536" s="6">
        <f t="shared" si="125"/>
        <v>0</v>
      </c>
      <c r="AM536" s="6">
        <f t="shared" si="126"/>
        <v>0</v>
      </c>
      <c r="AN536" s="6">
        <f t="shared" si="127"/>
        <v>0</v>
      </c>
      <c r="AO536" s="6">
        <f t="shared" si="128"/>
        <v>0</v>
      </c>
      <c r="AP536" s="6">
        <f t="shared" si="129"/>
        <v>0</v>
      </c>
      <c r="AQ536" s="6">
        <f t="shared" si="130"/>
        <v>0</v>
      </c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  <c r="BC536" s="6"/>
      <c r="BD536" s="6"/>
      <c r="BE536" s="6"/>
      <c r="BF536" s="6"/>
      <c r="BG536" s="6"/>
      <c r="BH536" s="6"/>
      <c r="BI536" s="6"/>
      <c r="BJ536" s="6"/>
      <c r="BK536" s="6"/>
      <c r="BL536" s="6"/>
      <c r="BM536" s="6"/>
      <c r="BN536" s="6"/>
      <c r="BO536" s="6"/>
      <c r="BP536" s="3">
        <v>6</v>
      </c>
      <c r="BQ536" s="6">
        <f t="shared" si="121"/>
        <v>0</v>
      </c>
    </row>
    <row r="537" spans="1:69" x14ac:dyDescent="0.3">
      <c r="A537" s="3" t="s">
        <v>776</v>
      </c>
      <c r="B537" s="3">
        <v>471</v>
      </c>
      <c r="C537" s="3" t="s">
        <v>476</v>
      </c>
      <c r="D537" s="3">
        <v>2</v>
      </c>
      <c r="E537" s="3" t="s">
        <v>19</v>
      </c>
      <c r="F537" s="3" t="s">
        <v>19</v>
      </c>
      <c r="G537" s="3" t="s">
        <v>19</v>
      </c>
      <c r="H537" s="3" t="s">
        <v>340</v>
      </c>
      <c r="I537" s="3"/>
      <c r="J537" s="3" t="s">
        <v>91</v>
      </c>
      <c r="K537" s="3" t="s">
        <v>480</v>
      </c>
      <c r="L537" s="3" t="s">
        <v>335</v>
      </c>
      <c r="M537" s="3">
        <v>35</v>
      </c>
      <c r="N537" s="6"/>
      <c r="O537" s="3">
        <v>6</v>
      </c>
      <c r="P537" s="3">
        <v>6</v>
      </c>
      <c r="Q537" s="3">
        <v>2</v>
      </c>
      <c r="R537" s="3">
        <v>0</v>
      </c>
      <c r="S537" s="3">
        <v>4</v>
      </c>
      <c r="T537" s="3">
        <v>0</v>
      </c>
      <c r="U537" s="3">
        <v>0</v>
      </c>
      <c r="V537" s="3">
        <f t="shared" si="122"/>
        <v>6</v>
      </c>
      <c r="W537" s="3">
        <v>2</v>
      </c>
      <c r="X537" s="3">
        <v>0</v>
      </c>
      <c r="Y537" s="3">
        <v>4</v>
      </c>
      <c r="Z537" s="3">
        <v>0</v>
      </c>
      <c r="AA537" s="3">
        <v>0</v>
      </c>
      <c r="AB537" s="3">
        <f t="shared" si="123"/>
        <v>6</v>
      </c>
      <c r="AC537" s="6">
        <f t="shared" si="131"/>
        <v>-2</v>
      </c>
      <c r="AD537" s="6">
        <f t="shared" si="132"/>
        <v>0</v>
      </c>
      <c r="AE537" s="6">
        <f t="shared" si="133"/>
        <v>-4</v>
      </c>
      <c r="AF537" s="6">
        <f t="shared" si="134"/>
        <v>0</v>
      </c>
      <c r="AG537" s="6">
        <f t="shared" si="135"/>
        <v>0</v>
      </c>
      <c r="AH537" s="6">
        <f t="shared" si="124"/>
        <v>-6</v>
      </c>
      <c r="AI537" s="3"/>
      <c r="AJ537" s="3" t="e">
        <f>_xlfn.XLOOKUP(K537,工作表1!A:A,工作表1!C:C)</f>
        <v>#N/A</v>
      </c>
      <c r="AK537" s="3"/>
      <c r="AL537" s="6">
        <f t="shared" si="125"/>
        <v>0</v>
      </c>
      <c r="AM537" s="6">
        <f t="shared" si="126"/>
        <v>0</v>
      </c>
      <c r="AN537" s="6">
        <f t="shared" si="127"/>
        <v>0</v>
      </c>
      <c r="AO537" s="6">
        <f t="shared" si="128"/>
        <v>0</v>
      </c>
      <c r="AP537" s="6">
        <f t="shared" si="129"/>
        <v>0</v>
      </c>
      <c r="AQ537" s="6">
        <f t="shared" si="130"/>
        <v>0</v>
      </c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  <c r="BC537" s="6"/>
      <c r="BD537" s="6"/>
      <c r="BE537" s="6"/>
      <c r="BF537" s="6"/>
      <c r="BG537" s="6"/>
      <c r="BH537" s="6"/>
      <c r="BI537" s="6"/>
      <c r="BJ537" s="6"/>
      <c r="BK537" s="6"/>
      <c r="BL537" s="6"/>
      <c r="BM537" s="6"/>
      <c r="BN537" s="6"/>
      <c r="BO537" s="6"/>
      <c r="BP537" s="3">
        <v>6</v>
      </c>
      <c r="BQ537" s="6">
        <f t="shared" si="121"/>
        <v>0</v>
      </c>
    </row>
    <row r="538" spans="1:69" x14ac:dyDescent="0.3">
      <c r="A538" s="3" t="s">
        <v>776</v>
      </c>
      <c r="B538" s="3">
        <v>471</v>
      </c>
      <c r="C538" s="3" t="s">
        <v>476</v>
      </c>
      <c r="D538" s="3">
        <v>1</v>
      </c>
      <c r="E538" s="3" t="s">
        <v>19</v>
      </c>
      <c r="F538" s="3" t="s">
        <v>19</v>
      </c>
      <c r="G538" s="3" t="s">
        <v>19</v>
      </c>
      <c r="H538" s="3" t="s">
        <v>101</v>
      </c>
      <c r="I538" s="3"/>
      <c r="J538" s="3" t="s">
        <v>91</v>
      </c>
      <c r="K538" s="3" t="s">
        <v>883</v>
      </c>
      <c r="L538" s="3" t="s">
        <v>335</v>
      </c>
      <c r="M538" s="3">
        <v>13</v>
      </c>
      <c r="N538" s="6"/>
      <c r="O538" s="3">
        <v>2</v>
      </c>
      <c r="P538" s="3">
        <v>2</v>
      </c>
      <c r="Q538" s="3">
        <v>2</v>
      </c>
      <c r="R538" s="3">
        <v>0</v>
      </c>
      <c r="S538" s="3">
        <v>0</v>
      </c>
      <c r="T538" s="3">
        <v>0</v>
      </c>
      <c r="U538" s="3">
        <v>0</v>
      </c>
      <c r="V538" s="3">
        <f t="shared" si="122"/>
        <v>2</v>
      </c>
      <c r="W538" s="3">
        <v>2</v>
      </c>
      <c r="X538" s="3">
        <v>0</v>
      </c>
      <c r="Y538" s="3">
        <v>0</v>
      </c>
      <c r="Z538" s="3">
        <v>0</v>
      </c>
      <c r="AA538" s="3">
        <v>0</v>
      </c>
      <c r="AB538" s="3">
        <f t="shared" si="123"/>
        <v>2</v>
      </c>
      <c r="AC538" s="6">
        <f t="shared" si="131"/>
        <v>-2</v>
      </c>
      <c r="AD538" s="6">
        <f t="shared" si="132"/>
        <v>0</v>
      </c>
      <c r="AE538" s="6">
        <f t="shared" si="133"/>
        <v>0</v>
      </c>
      <c r="AF538" s="6">
        <f t="shared" si="134"/>
        <v>0</v>
      </c>
      <c r="AG538" s="6">
        <f t="shared" si="135"/>
        <v>0</v>
      </c>
      <c r="AH538" s="6">
        <f t="shared" si="124"/>
        <v>-2</v>
      </c>
      <c r="AI538" s="3"/>
      <c r="AJ538" s="3" t="e">
        <f>_xlfn.XLOOKUP(K538,工作表1!A:A,工作表1!C:C)</f>
        <v>#N/A</v>
      </c>
      <c r="AK538" s="3"/>
      <c r="AL538" s="6">
        <f t="shared" si="125"/>
        <v>0</v>
      </c>
      <c r="AM538" s="6">
        <f t="shared" si="126"/>
        <v>0</v>
      </c>
      <c r="AN538" s="6">
        <f t="shared" si="127"/>
        <v>0</v>
      </c>
      <c r="AO538" s="6">
        <f t="shared" si="128"/>
        <v>0</v>
      </c>
      <c r="AP538" s="6">
        <f t="shared" si="129"/>
        <v>0</v>
      </c>
      <c r="AQ538" s="6">
        <f t="shared" si="130"/>
        <v>0</v>
      </c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  <c r="BC538" s="6"/>
      <c r="BD538" s="6"/>
      <c r="BE538" s="6"/>
      <c r="BF538" s="6"/>
      <c r="BG538" s="6"/>
      <c r="BH538" s="6"/>
      <c r="BI538" s="6"/>
      <c r="BJ538" s="6"/>
      <c r="BK538" s="6"/>
      <c r="BL538" s="6"/>
      <c r="BM538" s="6"/>
      <c r="BN538" s="6"/>
      <c r="BO538" s="6"/>
      <c r="BP538" s="3">
        <v>2</v>
      </c>
      <c r="BQ538" s="6">
        <f t="shared" si="121"/>
        <v>0</v>
      </c>
    </row>
    <row r="539" spans="1:69" x14ac:dyDescent="0.3">
      <c r="A539" s="3" t="s">
        <v>776</v>
      </c>
      <c r="B539" s="3">
        <v>481</v>
      </c>
      <c r="C539" s="3" t="s">
        <v>884</v>
      </c>
      <c r="D539" s="3">
        <v>1.375</v>
      </c>
      <c r="E539" s="3">
        <v>295</v>
      </c>
      <c r="F539" s="3" t="s">
        <v>19</v>
      </c>
      <c r="G539" s="3" t="s">
        <v>19</v>
      </c>
      <c r="H539" s="3" t="s">
        <v>887</v>
      </c>
      <c r="I539" s="3"/>
      <c r="J539" s="3" t="s">
        <v>486</v>
      </c>
      <c r="K539" s="3" t="s">
        <v>888</v>
      </c>
      <c r="L539" s="3" t="s">
        <v>335</v>
      </c>
      <c r="M539" s="3">
        <v>13</v>
      </c>
      <c r="N539" s="6"/>
      <c r="O539" s="3">
        <v>12</v>
      </c>
      <c r="P539" s="3">
        <v>12</v>
      </c>
      <c r="Q539" s="3">
        <v>12</v>
      </c>
      <c r="R539" s="3">
        <v>0</v>
      </c>
      <c r="S539" s="3">
        <v>0</v>
      </c>
      <c r="T539" s="3">
        <v>0</v>
      </c>
      <c r="U539" s="3">
        <v>0</v>
      </c>
      <c r="V539" s="3">
        <f t="shared" si="122"/>
        <v>12</v>
      </c>
      <c r="W539" s="3">
        <v>12</v>
      </c>
      <c r="X539" s="3">
        <v>0</v>
      </c>
      <c r="Y539" s="3">
        <v>0</v>
      </c>
      <c r="Z539" s="3">
        <v>0</v>
      </c>
      <c r="AA539" s="3">
        <v>0</v>
      </c>
      <c r="AB539" s="3">
        <f t="shared" si="123"/>
        <v>12</v>
      </c>
      <c r="AC539" s="6">
        <f t="shared" si="131"/>
        <v>-12</v>
      </c>
      <c r="AD539" s="6">
        <f t="shared" si="132"/>
        <v>0</v>
      </c>
      <c r="AE539" s="6">
        <f t="shared" si="133"/>
        <v>0</v>
      </c>
      <c r="AF539" s="6">
        <f t="shared" si="134"/>
        <v>0</v>
      </c>
      <c r="AG539" s="6">
        <f t="shared" si="135"/>
        <v>0</v>
      </c>
      <c r="AH539" s="6">
        <f t="shared" si="124"/>
        <v>-12</v>
      </c>
      <c r="AI539" s="3"/>
      <c r="AJ539" s="3" t="e">
        <f>_xlfn.XLOOKUP(K539,工作表1!A:A,工作表1!C:C)</f>
        <v>#N/A</v>
      </c>
      <c r="AK539" s="3"/>
      <c r="AL539" s="6">
        <f t="shared" si="125"/>
        <v>0</v>
      </c>
      <c r="AM539" s="6">
        <f t="shared" si="126"/>
        <v>0</v>
      </c>
      <c r="AN539" s="6">
        <f t="shared" si="127"/>
        <v>0</v>
      </c>
      <c r="AO539" s="6">
        <f t="shared" si="128"/>
        <v>0</v>
      </c>
      <c r="AP539" s="6">
        <f t="shared" si="129"/>
        <v>0</v>
      </c>
      <c r="AQ539" s="6">
        <f t="shared" si="130"/>
        <v>0</v>
      </c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  <c r="BC539" s="6"/>
      <c r="BD539" s="6"/>
      <c r="BE539" s="6"/>
      <c r="BF539" s="6"/>
      <c r="BG539" s="6"/>
      <c r="BH539" s="6"/>
      <c r="BI539" s="6"/>
      <c r="BJ539" s="6"/>
      <c r="BK539" s="6"/>
      <c r="BL539" s="6"/>
      <c r="BM539" s="6"/>
      <c r="BN539" s="6"/>
      <c r="BO539" s="6"/>
      <c r="BP539" s="3">
        <v>12</v>
      </c>
      <c r="BQ539" s="6">
        <f t="shared" si="121"/>
        <v>0</v>
      </c>
    </row>
    <row r="540" spans="1:69" x14ac:dyDescent="0.3">
      <c r="A540" s="3" t="s">
        <v>776</v>
      </c>
      <c r="B540" s="3">
        <v>481</v>
      </c>
      <c r="C540" s="3" t="s">
        <v>884</v>
      </c>
      <c r="D540" s="3">
        <v>1.25</v>
      </c>
      <c r="E540" s="3">
        <v>265</v>
      </c>
      <c r="F540" s="3" t="s">
        <v>19</v>
      </c>
      <c r="G540" s="3" t="s">
        <v>19</v>
      </c>
      <c r="H540" s="3" t="s">
        <v>889</v>
      </c>
      <c r="I540" s="3"/>
      <c r="J540" s="3" t="s">
        <v>486</v>
      </c>
      <c r="K540" s="3" t="s">
        <v>890</v>
      </c>
      <c r="L540" s="3" t="s">
        <v>335</v>
      </c>
      <c r="M540" s="3">
        <v>9</v>
      </c>
      <c r="N540" s="6"/>
      <c r="O540" s="3">
        <v>8</v>
      </c>
      <c r="P540" s="3">
        <v>8</v>
      </c>
      <c r="Q540" s="3">
        <v>8</v>
      </c>
      <c r="R540" s="3">
        <v>0</v>
      </c>
      <c r="S540" s="3">
        <v>0</v>
      </c>
      <c r="T540" s="3">
        <v>0</v>
      </c>
      <c r="U540" s="3">
        <v>0</v>
      </c>
      <c r="V540" s="3">
        <f t="shared" si="122"/>
        <v>8</v>
      </c>
      <c r="W540" s="3">
        <v>8</v>
      </c>
      <c r="X540" s="3">
        <v>0</v>
      </c>
      <c r="Y540" s="3">
        <v>0</v>
      </c>
      <c r="Z540" s="3">
        <v>0</v>
      </c>
      <c r="AA540" s="3">
        <v>0</v>
      </c>
      <c r="AB540" s="3">
        <f t="shared" si="123"/>
        <v>8</v>
      </c>
      <c r="AC540" s="6">
        <f t="shared" si="131"/>
        <v>-8</v>
      </c>
      <c r="AD540" s="6">
        <f t="shared" si="132"/>
        <v>0</v>
      </c>
      <c r="AE540" s="6">
        <f t="shared" si="133"/>
        <v>0</v>
      </c>
      <c r="AF540" s="6">
        <f t="shared" si="134"/>
        <v>0</v>
      </c>
      <c r="AG540" s="6">
        <f t="shared" si="135"/>
        <v>0</v>
      </c>
      <c r="AH540" s="6">
        <f t="shared" si="124"/>
        <v>-8</v>
      </c>
      <c r="AI540" s="3"/>
      <c r="AJ540" s="3" t="e">
        <f>_xlfn.XLOOKUP(K540,工作表1!A:A,工作表1!C:C)</f>
        <v>#N/A</v>
      </c>
      <c r="AK540" s="3"/>
      <c r="AL540" s="6">
        <f t="shared" si="125"/>
        <v>0</v>
      </c>
      <c r="AM540" s="6">
        <f t="shared" si="126"/>
        <v>0</v>
      </c>
      <c r="AN540" s="6">
        <f t="shared" si="127"/>
        <v>0</v>
      </c>
      <c r="AO540" s="6">
        <f t="shared" si="128"/>
        <v>0</v>
      </c>
      <c r="AP540" s="6">
        <f t="shared" si="129"/>
        <v>0</v>
      </c>
      <c r="AQ540" s="6">
        <f t="shared" si="130"/>
        <v>0</v>
      </c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  <c r="BC540" s="6"/>
      <c r="BD540" s="6"/>
      <c r="BE540" s="6"/>
      <c r="BF540" s="6"/>
      <c r="BG540" s="6"/>
      <c r="BH540" s="6"/>
      <c r="BI540" s="6"/>
      <c r="BJ540" s="6"/>
      <c r="BK540" s="6"/>
      <c r="BL540" s="6"/>
      <c r="BM540" s="6"/>
      <c r="BN540" s="6"/>
      <c r="BO540" s="6"/>
      <c r="BP540" s="3">
        <v>8</v>
      </c>
      <c r="BQ540" s="6">
        <f t="shared" si="121"/>
        <v>0</v>
      </c>
    </row>
    <row r="541" spans="1:69" x14ac:dyDescent="0.3">
      <c r="A541" s="3" t="s">
        <v>776</v>
      </c>
      <c r="B541" s="3">
        <v>481</v>
      </c>
      <c r="C541" s="3" t="s">
        <v>884</v>
      </c>
      <c r="D541" s="3">
        <v>1.25</v>
      </c>
      <c r="E541" s="3">
        <v>210</v>
      </c>
      <c r="F541" s="3" t="s">
        <v>19</v>
      </c>
      <c r="G541" s="3" t="s">
        <v>19</v>
      </c>
      <c r="H541" s="3" t="s">
        <v>891</v>
      </c>
      <c r="I541" s="3"/>
      <c r="J541" s="3" t="s">
        <v>486</v>
      </c>
      <c r="K541" s="3" t="s">
        <v>892</v>
      </c>
      <c r="L541" s="3" t="s">
        <v>335</v>
      </c>
      <c r="M541" s="3">
        <v>53</v>
      </c>
      <c r="N541" s="6"/>
      <c r="O541" s="3">
        <v>48</v>
      </c>
      <c r="P541" s="3">
        <v>48</v>
      </c>
      <c r="Q541" s="3">
        <v>48</v>
      </c>
      <c r="R541" s="3">
        <v>0</v>
      </c>
      <c r="S541" s="3">
        <v>0</v>
      </c>
      <c r="T541" s="3">
        <v>0</v>
      </c>
      <c r="U541" s="3">
        <v>0</v>
      </c>
      <c r="V541" s="3">
        <f t="shared" si="122"/>
        <v>48</v>
      </c>
      <c r="W541" s="3">
        <v>48</v>
      </c>
      <c r="X541" s="3">
        <v>0</v>
      </c>
      <c r="Y541" s="3">
        <v>0</v>
      </c>
      <c r="Z541" s="3">
        <v>0</v>
      </c>
      <c r="AA541" s="3">
        <v>0</v>
      </c>
      <c r="AB541" s="3">
        <f t="shared" si="123"/>
        <v>48</v>
      </c>
      <c r="AC541" s="6">
        <f t="shared" si="131"/>
        <v>-48</v>
      </c>
      <c r="AD541" s="6">
        <f t="shared" si="132"/>
        <v>0</v>
      </c>
      <c r="AE541" s="6">
        <f t="shared" si="133"/>
        <v>0</v>
      </c>
      <c r="AF541" s="6">
        <f t="shared" si="134"/>
        <v>0</v>
      </c>
      <c r="AG541" s="6">
        <f t="shared" si="135"/>
        <v>0</v>
      </c>
      <c r="AH541" s="6">
        <f t="shared" si="124"/>
        <v>-48</v>
      </c>
      <c r="AI541" s="3"/>
      <c r="AJ541" s="3" t="e">
        <f>_xlfn.XLOOKUP(K541,工作表1!A:A,工作表1!C:C)</f>
        <v>#N/A</v>
      </c>
      <c r="AK541" s="3"/>
      <c r="AL541" s="6">
        <f t="shared" si="125"/>
        <v>0</v>
      </c>
      <c r="AM541" s="6">
        <f t="shared" si="126"/>
        <v>0</v>
      </c>
      <c r="AN541" s="6">
        <f t="shared" si="127"/>
        <v>0</v>
      </c>
      <c r="AO541" s="6">
        <f t="shared" si="128"/>
        <v>0</v>
      </c>
      <c r="AP541" s="6">
        <f t="shared" si="129"/>
        <v>0</v>
      </c>
      <c r="AQ541" s="6">
        <f t="shared" si="130"/>
        <v>0</v>
      </c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  <c r="BC541" s="6"/>
      <c r="BD541" s="6"/>
      <c r="BE541" s="6"/>
      <c r="BF541" s="6"/>
      <c r="BG541" s="6"/>
      <c r="BH541" s="6"/>
      <c r="BI541" s="6"/>
      <c r="BJ541" s="6"/>
      <c r="BK541" s="6"/>
      <c r="BL541" s="6"/>
      <c r="BM541" s="6"/>
      <c r="BN541" s="6"/>
      <c r="BO541" s="6"/>
      <c r="BP541" s="3">
        <v>48</v>
      </c>
      <c r="BQ541" s="6">
        <f t="shared" si="121"/>
        <v>0</v>
      </c>
    </row>
    <row r="542" spans="1:69" x14ac:dyDescent="0.3">
      <c r="A542" s="3" t="s">
        <v>776</v>
      </c>
      <c r="B542" s="3">
        <v>481</v>
      </c>
      <c r="C542" s="3" t="s">
        <v>893</v>
      </c>
      <c r="D542" s="3">
        <v>0.875</v>
      </c>
      <c r="E542" s="3">
        <v>180</v>
      </c>
      <c r="F542" s="3" t="s">
        <v>19</v>
      </c>
      <c r="G542" s="3" t="s">
        <v>19</v>
      </c>
      <c r="H542" s="3" t="s">
        <v>895</v>
      </c>
      <c r="I542" s="3"/>
      <c r="J542" s="3" t="s">
        <v>486</v>
      </c>
      <c r="K542" s="3" t="s">
        <v>896</v>
      </c>
      <c r="L542" s="3" t="s">
        <v>335</v>
      </c>
      <c r="M542" s="3">
        <v>5</v>
      </c>
      <c r="N542" s="6"/>
      <c r="O542" s="3">
        <v>4</v>
      </c>
      <c r="P542" s="3">
        <v>4</v>
      </c>
      <c r="Q542" s="3">
        <v>4</v>
      </c>
      <c r="R542" s="3">
        <v>0</v>
      </c>
      <c r="S542" s="3">
        <v>0</v>
      </c>
      <c r="T542" s="3">
        <v>0</v>
      </c>
      <c r="U542" s="3">
        <v>0</v>
      </c>
      <c r="V542" s="3">
        <f t="shared" si="122"/>
        <v>4</v>
      </c>
      <c r="W542" s="3">
        <v>4</v>
      </c>
      <c r="X542" s="3">
        <v>0</v>
      </c>
      <c r="Y542" s="3">
        <v>0</v>
      </c>
      <c r="Z542" s="3">
        <v>0</v>
      </c>
      <c r="AA542" s="3">
        <v>0</v>
      </c>
      <c r="AB542" s="3">
        <f t="shared" si="123"/>
        <v>4</v>
      </c>
      <c r="AC542" s="6">
        <f t="shared" si="131"/>
        <v>-4</v>
      </c>
      <c r="AD542" s="6">
        <f t="shared" si="132"/>
        <v>0</v>
      </c>
      <c r="AE542" s="6">
        <f t="shared" si="133"/>
        <v>0</v>
      </c>
      <c r="AF542" s="6">
        <f t="shared" si="134"/>
        <v>0</v>
      </c>
      <c r="AG542" s="6">
        <f t="shared" si="135"/>
        <v>0</v>
      </c>
      <c r="AH542" s="6">
        <f t="shared" si="124"/>
        <v>-4</v>
      </c>
      <c r="AI542" s="3"/>
      <c r="AJ542" s="3" t="e">
        <f>_xlfn.XLOOKUP(K542,工作表1!A:A,工作表1!C:C)</f>
        <v>#N/A</v>
      </c>
      <c r="AK542" s="3"/>
      <c r="AL542" s="6">
        <f t="shared" si="125"/>
        <v>0</v>
      </c>
      <c r="AM542" s="6">
        <f t="shared" si="126"/>
        <v>0</v>
      </c>
      <c r="AN542" s="6">
        <f t="shared" si="127"/>
        <v>0</v>
      </c>
      <c r="AO542" s="6">
        <f t="shared" si="128"/>
        <v>0</v>
      </c>
      <c r="AP542" s="6">
        <f t="shared" si="129"/>
        <v>0</v>
      </c>
      <c r="AQ542" s="6">
        <f t="shared" si="130"/>
        <v>0</v>
      </c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  <c r="BC542" s="6"/>
      <c r="BD542" s="6"/>
      <c r="BE542" s="6"/>
      <c r="BF542" s="6"/>
      <c r="BG542" s="6"/>
      <c r="BH542" s="6"/>
      <c r="BI542" s="6"/>
      <c r="BJ542" s="6"/>
      <c r="BK542" s="6"/>
      <c r="BL542" s="6"/>
      <c r="BM542" s="6"/>
      <c r="BN542" s="6"/>
      <c r="BO542" s="6"/>
      <c r="BP542" s="3">
        <v>4</v>
      </c>
      <c r="BQ542" s="6">
        <f t="shared" si="121"/>
        <v>0</v>
      </c>
    </row>
    <row r="543" spans="1:69" x14ac:dyDescent="0.3">
      <c r="A543" s="3" t="s">
        <v>776</v>
      </c>
      <c r="B543" s="3">
        <v>481</v>
      </c>
      <c r="C543" s="3" t="s">
        <v>893</v>
      </c>
      <c r="D543" s="3">
        <v>0.75</v>
      </c>
      <c r="E543" s="3">
        <v>160</v>
      </c>
      <c r="F543" s="3" t="s">
        <v>19</v>
      </c>
      <c r="G543" s="3" t="s">
        <v>19</v>
      </c>
      <c r="H543" s="3" t="s">
        <v>897</v>
      </c>
      <c r="I543" s="3"/>
      <c r="J543" s="3" t="s">
        <v>486</v>
      </c>
      <c r="K543" s="3" t="s">
        <v>898</v>
      </c>
      <c r="L543" s="3" t="s">
        <v>335</v>
      </c>
      <c r="M543" s="3">
        <v>0</v>
      </c>
      <c r="N543" s="6"/>
      <c r="O543" s="3">
        <v>4</v>
      </c>
      <c r="P543" s="3">
        <v>4</v>
      </c>
      <c r="Q543" s="3">
        <v>4</v>
      </c>
      <c r="R543" s="3">
        <v>0</v>
      </c>
      <c r="S543" s="3">
        <v>0</v>
      </c>
      <c r="T543" s="3">
        <v>0</v>
      </c>
      <c r="U543" s="3">
        <v>0</v>
      </c>
      <c r="V543" s="3">
        <f t="shared" si="122"/>
        <v>4</v>
      </c>
      <c r="W543" s="3">
        <v>4</v>
      </c>
      <c r="X543" s="3">
        <v>0</v>
      </c>
      <c r="Y543" s="3">
        <v>0</v>
      </c>
      <c r="Z543" s="3">
        <v>0</v>
      </c>
      <c r="AA543" s="3">
        <v>0</v>
      </c>
      <c r="AB543" s="3">
        <f t="shared" si="123"/>
        <v>4</v>
      </c>
      <c r="AC543" s="6">
        <f t="shared" si="131"/>
        <v>-4</v>
      </c>
      <c r="AD543" s="6">
        <f t="shared" si="132"/>
        <v>0</v>
      </c>
      <c r="AE543" s="6">
        <f t="shared" si="133"/>
        <v>0</v>
      </c>
      <c r="AF543" s="6">
        <f t="shared" si="134"/>
        <v>0</v>
      </c>
      <c r="AG543" s="6">
        <f t="shared" si="135"/>
        <v>0</v>
      </c>
      <c r="AH543" s="6">
        <f t="shared" si="124"/>
        <v>-4</v>
      </c>
      <c r="AI543" s="3"/>
      <c r="AJ543" s="3" t="e">
        <f>_xlfn.XLOOKUP(K543,工作表1!A:A,工作表1!C:C)</f>
        <v>#N/A</v>
      </c>
      <c r="AK543" s="3"/>
      <c r="AL543" s="6">
        <f t="shared" si="125"/>
        <v>0</v>
      </c>
      <c r="AM543" s="6">
        <f t="shared" si="126"/>
        <v>0</v>
      </c>
      <c r="AN543" s="6">
        <f t="shared" si="127"/>
        <v>0</v>
      </c>
      <c r="AO543" s="6">
        <f t="shared" si="128"/>
        <v>0</v>
      </c>
      <c r="AP543" s="6">
        <f t="shared" si="129"/>
        <v>0</v>
      </c>
      <c r="AQ543" s="6">
        <f t="shared" si="130"/>
        <v>0</v>
      </c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  <c r="BC543" s="6"/>
      <c r="BD543" s="6"/>
      <c r="BE543" s="6"/>
      <c r="BF543" s="6"/>
      <c r="BG543" s="6"/>
      <c r="BH543" s="6"/>
      <c r="BI543" s="6"/>
      <c r="BJ543" s="6"/>
      <c r="BK543" s="6"/>
      <c r="BL543" s="6"/>
      <c r="BM543" s="6"/>
      <c r="BN543" s="6"/>
      <c r="BO543" s="6"/>
      <c r="BP543" s="3">
        <v>4</v>
      </c>
      <c r="BQ543" s="6">
        <f t="shared" si="121"/>
        <v>0</v>
      </c>
    </row>
    <row r="544" spans="1:69" x14ac:dyDescent="0.3">
      <c r="A544" s="3" t="s">
        <v>776</v>
      </c>
      <c r="B544" s="3">
        <v>481</v>
      </c>
      <c r="C544" s="3" t="s">
        <v>899</v>
      </c>
      <c r="D544" s="3">
        <v>0.75</v>
      </c>
      <c r="E544" s="3">
        <v>135</v>
      </c>
      <c r="F544" s="3" t="s">
        <v>19</v>
      </c>
      <c r="G544" s="3" t="s">
        <v>19</v>
      </c>
      <c r="H544" s="3" t="s">
        <v>518</v>
      </c>
      <c r="I544" s="3"/>
      <c r="J544" s="3" t="s">
        <v>486</v>
      </c>
      <c r="K544" s="3" t="s">
        <v>900</v>
      </c>
      <c r="L544" s="3" t="s">
        <v>335</v>
      </c>
      <c r="M544" s="3">
        <v>19</v>
      </c>
      <c r="N544" s="6"/>
      <c r="O544" s="3">
        <v>8</v>
      </c>
      <c r="P544" s="3">
        <v>8</v>
      </c>
      <c r="Q544" s="3">
        <v>8</v>
      </c>
      <c r="R544" s="3">
        <v>0</v>
      </c>
      <c r="S544" s="3">
        <v>0</v>
      </c>
      <c r="T544" s="3">
        <v>0</v>
      </c>
      <c r="U544" s="3">
        <v>0</v>
      </c>
      <c r="V544" s="3">
        <f t="shared" si="122"/>
        <v>8</v>
      </c>
      <c r="W544" s="3">
        <v>8</v>
      </c>
      <c r="X544" s="3">
        <v>0</v>
      </c>
      <c r="Y544" s="3">
        <v>0</v>
      </c>
      <c r="Z544" s="3">
        <v>0</v>
      </c>
      <c r="AA544" s="3">
        <v>0</v>
      </c>
      <c r="AB544" s="3">
        <f t="shared" si="123"/>
        <v>8</v>
      </c>
      <c r="AC544" s="6">
        <f t="shared" si="131"/>
        <v>-8</v>
      </c>
      <c r="AD544" s="6">
        <f t="shared" si="132"/>
        <v>0</v>
      </c>
      <c r="AE544" s="6">
        <f t="shared" si="133"/>
        <v>0</v>
      </c>
      <c r="AF544" s="6">
        <f t="shared" si="134"/>
        <v>0</v>
      </c>
      <c r="AG544" s="6">
        <f t="shared" si="135"/>
        <v>0</v>
      </c>
      <c r="AH544" s="6">
        <f t="shared" si="124"/>
        <v>-8</v>
      </c>
      <c r="AI544" s="3"/>
      <c r="AJ544" s="3" t="e">
        <f>_xlfn.XLOOKUP(K544,工作表1!A:A,工作表1!C:C)</f>
        <v>#N/A</v>
      </c>
      <c r="AK544" s="3"/>
      <c r="AL544" s="6">
        <f t="shared" si="125"/>
        <v>0</v>
      </c>
      <c r="AM544" s="6">
        <f t="shared" si="126"/>
        <v>0</v>
      </c>
      <c r="AN544" s="6">
        <f t="shared" si="127"/>
        <v>0</v>
      </c>
      <c r="AO544" s="6">
        <f t="shared" si="128"/>
        <v>0</v>
      </c>
      <c r="AP544" s="6">
        <f t="shared" si="129"/>
        <v>0</v>
      </c>
      <c r="AQ544" s="6">
        <f t="shared" si="130"/>
        <v>0</v>
      </c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  <c r="BC544" s="6"/>
      <c r="BD544" s="6"/>
      <c r="BE544" s="6"/>
      <c r="BF544" s="6"/>
      <c r="BG544" s="6"/>
      <c r="BH544" s="6"/>
      <c r="BI544" s="6"/>
      <c r="BJ544" s="6"/>
      <c r="BK544" s="6"/>
      <c r="BL544" s="6"/>
      <c r="BM544" s="6"/>
      <c r="BN544" s="6"/>
      <c r="BO544" s="6"/>
      <c r="BP544" s="3">
        <v>8</v>
      </c>
      <c r="BQ544" s="6">
        <f t="shared" si="121"/>
        <v>0</v>
      </c>
    </row>
    <row r="545" spans="1:69" x14ac:dyDescent="0.3">
      <c r="A545" s="3" t="s">
        <v>776</v>
      </c>
      <c r="B545" s="3">
        <v>481</v>
      </c>
      <c r="C545" s="3" t="s">
        <v>899</v>
      </c>
      <c r="D545" s="3">
        <v>0.625</v>
      </c>
      <c r="E545" s="3">
        <v>90</v>
      </c>
      <c r="F545" s="3" t="s">
        <v>19</v>
      </c>
      <c r="G545" s="3" t="s">
        <v>19</v>
      </c>
      <c r="H545" s="3" t="s">
        <v>520</v>
      </c>
      <c r="I545" s="3"/>
      <c r="J545" s="3" t="s">
        <v>486</v>
      </c>
      <c r="K545" s="3" t="s">
        <v>901</v>
      </c>
      <c r="L545" s="3" t="s">
        <v>335</v>
      </c>
      <c r="M545" s="3">
        <v>38</v>
      </c>
      <c r="N545" s="6"/>
      <c r="O545" s="3">
        <v>16</v>
      </c>
      <c r="P545" s="3">
        <v>16</v>
      </c>
      <c r="Q545" s="3">
        <v>16</v>
      </c>
      <c r="R545" s="3">
        <v>0</v>
      </c>
      <c r="S545" s="3">
        <v>0</v>
      </c>
      <c r="T545" s="3">
        <v>0</v>
      </c>
      <c r="U545" s="3">
        <v>0</v>
      </c>
      <c r="V545" s="3">
        <f t="shared" si="122"/>
        <v>16</v>
      </c>
      <c r="W545" s="3">
        <v>16</v>
      </c>
      <c r="X545" s="3">
        <v>0</v>
      </c>
      <c r="Y545" s="3">
        <v>0</v>
      </c>
      <c r="Z545" s="3">
        <v>0</v>
      </c>
      <c r="AA545" s="3">
        <v>0</v>
      </c>
      <c r="AB545" s="3">
        <f t="shared" si="123"/>
        <v>16</v>
      </c>
      <c r="AC545" s="6">
        <f t="shared" si="131"/>
        <v>-16</v>
      </c>
      <c r="AD545" s="6">
        <f t="shared" si="132"/>
        <v>0</v>
      </c>
      <c r="AE545" s="6">
        <f t="shared" si="133"/>
        <v>0</v>
      </c>
      <c r="AF545" s="6">
        <f t="shared" si="134"/>
        <v>0</v>
      </c>
      <c r="AG545" s="6">
        <f t="shared" si="135"/>
        <v>0</v>
      </c>
      <c r="AH545" s="6">
        <f t="shared" si="124"/>
        <v>-16</v>
      </c>
      <c r="AI545" s="3"/>
      <c r="AJ545" s="3" t="e">
        <f>_xlfn.XLOOKUP(K545,工作表1!A:A,工作表1!C:C)</f>
        <v>#N/A</v>
      </c>
      <c r="AK545" s="3"/>
      <c r="AL545" s="6">
        <f t="shared" si="125"/>
        <v>0</v>
      </c>
      <c r="AM545" s="6">
        <f t="shared" si="126"/>
        <v>0</v>
      </c>
      <c r="AN545" s="6">
        <f t="shared" si="127"/>
        <v>0</v>
      </c>
      <c r="AO545" s="6">
        <f t="shared" si="128"/>
        <v>0</v>
      </c>
      <c r="AP545" s="6">
        <f t="shared" si="129"/>
        <v>0</v>
      </c>
      <c r="AQ545" s="6">
        <f t="shared" si="130"/>
        <v>0</v>
      </c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  <c r="BC545" s="6"/>
      <c r="BD545" s="6"/>
      <c r="BE545" s="6"/>
      <c r="BF545" s="6"/>
      <c r="BG545" s="6"/>
      <c r="BH545" s="6"/>
      <c r="BI545" s="6"/>
      <c r="BJ545" s="6"/>
      <c r="BK545" s="6"/>
      <c r="BL545" s="6"/>
      <c r="BM545" s="6"/>
      <c r="BN545" s="6"/>
      <c r="BO545" s="6"/>
      <c r="BP545" s="3">
        <v>16</v>
      </c>
      <c r="BQ545" s="6">
        <f t="shared" si="121"/>
        <v>0</v>
      </c>
    </row>
    <row r="546" spans="1:69" x14ac:dyDescent="0.3">
      <c r="A546" s="3" t="s">
        <v>776</v>
      </c>
      <c r="B546" s="3">
        <v>481</v>
      </c>
      <c r="C546" s="3" t="s">
        <v>899</v>
      </c>
      <c r="D546" s="3">
        <v>0.625</v>
      </c>
      <c r="E546" s="3">
        <v>85</v>
      </c>
      <c r="F546" s="3" t="s">
        <v>19</v>
      </c>
      <c r="G546" s="3" t="s">
        <v>19</v>
      </c>
      <c r="H546" s="3" t="s">
        <v>522</v>
      </c>
      <c r="I546" s="3"/>
      <c r="J546" s="3" t="s">
        <v>486</v>
      </c>
      <c r="K546" s="3" t="s">
        <v>902</v>
      </c>
      <c r="L546" s="3" t="s">
        <v>335</v>
      </c>
      <c r="M546" s="3">
        <v>29</v>
      </c>
      <c r="N546" s="6"/>
      <c r="O546" s="3">
        <v>12</v>
      </c>
      <c r="P546" s="3">
        <v>12</v>
      </c>
      <c r="Q546" s="3">
        <v>12</v>
      </c>
      <c r="R546" s="3">
        <v>0</v>
      </c>
      <c r="S546" s="3">
        <v>0</v>
      </c>
      <c r="T546" s="3">
        <v>0</v>
      </c>
      <c r="U546" s="3">
        <v>0</v>
      </c>
      <c r="V546" s="3">
        <f t="shared" si="122"/>
        <v>12</v>
      </c>
      <c r="W546" s="3">
        <v>12</v>
      </c>
      <c r="X546" s="3">
        <v>0</v>
      </c>
      <c r="Y546" s="3">
        <v>0</v>
      </c>
      <c r="Z546" s="3">
        <v>0</v>
      </c>
      <c r="AA546" s="3">
        <v>0</v>
      </c>
      <c r="AB546" s="3">
        <f t="shared" si="123"/>
        <v>12</v>
      </c>
      <c r="AC546" s="6">
        <f t="shared" si="131"/>
        <v>-12</v>
      </c>
      <c r="AD546" s="6">
        <f t="shared" si="132"/>
        <v>0</v>
      </c>
      <c r="AE546" s="6">
        <f t="shared" si="133"/>
        <v>0</v>
      </c>
      <c r="AF546" s="6">
        <f t="shared" si="134"/>
        <v>0</v>
      </c>
      <c r="AG546" s="6">
        <f t="shared" si="135"/>
        <v>0</v>
      </c>
      <c r="AH546" s="6">
        <f t="shared" si="124"/>
        <v>-12</v>
      </c>
      <c r="AI546" s="3"/>
      <c r="AJ546" s="3" t="e">
        <f>_xlfn.XLOOKUP(K546,工作表1!A:A,工作表1!C:C)</f>
        <v>#N/A</v>
      </c>
      <c r="AK546" s="3"/>
      <c r="AL546" s="6">
        <f t="shared" si="125"/>
        <v>0</v>
      </c>
      <c r="AM546" s="6">
        <f t="shared" si="126"/>
        <v>0</v>
      </c>
      <c r="AN546" s="6">
        <f t="shared" si="127"/>
        <v>0</v>
      </c>
      <c r="AO546" s="6">
        <f t="shared" si="128"/>
        <v>0</v>
      </c>
      <c r="AP546" s="6">
        <f t="shared" si="129"/>
        <v>0</v>
      </c>
      <c r="AQ546" s="6">
        <f t="shared" si="130"/>
        <v>0</v>
      </c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  <c r="BC546" s="6"/>
      <c r="BD546" s="6"/>
      <c r="BE546" s="6"/>
      <c r="BF546" s="6"/>
      <c r="BG546" s="6"/>
      <c r="BH546" s="6"/>
      <c r="BI546" s="6"/>
      <c r="BJ546" s="6"/>
      <c r="BK546" s="6"/>
      <c r="BL546" s="6"/>
      <c r="BM546" s="6"/>
      <c r="BN546" s="6"/>
      <c r="BO546" s="6"/>
      <c r="BP546" s="3">
        <v>12</v>
      </c>
      <c r="BQ546" s="6">
        <f t="shared" si="121"/>
        <v>0</v>
      </c>
    </row>
    <row r="547" spans="1:69" x14ac:dyDescent="0.3">
      <c r="A547" s="3" t="s">
        <v>776</v>
      </c>
      <c r="B547" s="3">
        <v>481</v>
      </c>
      <c r="C547" s="3" t="s">
        <v>899</v>
      </c>
      <c r="D547" s="3">
        <v>0.625</v>
      </c>
      <c r="E547" s="3">
        <v>95</v>
      </c>
      <c r="F547" s="3" t="s">
        <v>19</v>
      </c>
      <c r="G547" s="3" t="s">
        <v>19</v>
      </c>
      <c r="H547" s="3" t="s">
        <v>526</v>
      </c>
      <c r="I547" s="3"/>
      <c r="J547" s="3" t="s">
        <v>486</v>
      </c>
      <c r="K547" s="3" t="s">
        <v>903</v>
      </c>
      <c r="L547" s="3" t="s">
        <v>335</v>
      </c>
      <c r="M547" s="3">
        <v>106</v>
      </c>
      <c r="N547" s="6"/>
      <c r="O547" s="3">
        <v>68</v>
      </c>
      <c r="P547" s="3">
        <v>68</v>
      </c>
      <c r="Q547" s="3">
        <v>68</v>
      </c>
      <c r="R547" s="3">
        <v>0</v>
      </c>
      <c r="S547" s="3">
        <v>0</v>
      </c>
      <c r="T547" s="3">
        <v>0</v>
      </c>
      <c r="U547" s="3">
        <v>0</v>
      </c>
      <c r="V547" s="3">
        <f t="shared" si="122"/>
        <v>68</v>
      </c>
      <c r="W547" s="3">
        <v>68</v>
      </c>
      <c r="X547" s="3">
        <v>0</v>
      </c>
      <c r="Y547" s="3">
        <v>0</v>
      </c>
      <c r="Z547" s="3">
        <v>0</v>
      </c>
      <c r="AA547" s="3">
        <v>0</v>
      </c>
      <c r="AB547" s="3">
        <f t="shared" si="123"/>
        <v>68</v>
      </c>
      <c r="AC547" s="6">
        <f t="shared" si="131"/>
        <v>-68</v>
      </c>
      <c r="AD547" s="6">
        <f t="shared" si="132"/>
        <v>0</v>
      </c>
      <c r="AE547" s="6">
        <f t="shared" si="133"/>
        <v>0</v>
      </c>
      <c r="AF547" s="6">
        <f t="shared" si="134"/>
        <v>0</v>
      </c>
      <c r="AG547" s="6">
        <f t="shared" si="135"/>
        <v>0</v>
      </c>
      <c r="AH547" s="6">
        <f t="shared" si="124"/>
        <v>-68</v>
      </c>
      <c r="AI547" s="3"/>
      <c r="AJ547" s="3" t="e">
        <f>_xlfn.XLOOKUP(K547,工作表1!A:A,工作表1!C:C)</f>
        <v>#N/A</v>
      </c>
      <c r="AK547" s="3"/>
      <c r="AL547" s="6">
        <f t="shared" si="125"/>
        <v>0</v>
      </c>
      <c r="AM547" s="6">
        <f t="shared" si="126"/>
        <v>0</v>
      </c>
      <c r="AN547" s="6">
        <f t="shared" si="127"/>
        <v>0</v>
      </c>
      <c r="AO547" s="6">
        <f t="shared" si="128"/>
        <v>0</v>
      </c>
      <c r="AP547" s="6">
        <f t="shared" si="129"/>
        <v>0</v>
      </c>
      <c r="AQ547" s="6">
        <f t="shared" si="130"/>
        <v>0</v>
      </c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  <c r="BC547" s="6"/>
      <c r="BD547" s="6"/>
      <c r="BE547" s="6"/>
      <c r="BF547" s="6"/>
      <c r="BG547" s="6"/>
      <c r="BH547" s="6"/>
      <c r="BI547" s="6"/>
      <c r="BJ547" s="6"/>
      <c r="BK547" s="6"/>
      <c r="BL547" s="6"/>
      <c r="BM547" s="6"/>
      <c r="BN547" s="6"/>
      <c r="BO547" s="6"/>
      <c r="BP547" s="3">
        <v>68</v>
      </c>
      <c r="BQ547" s="6">
        <f t="shared" si="121"/>
        <v>0</v>
      </c>
    </row>
    <row r="548" spans="1:69" x14ac:dyDescent="0.3">
      <c r="A548" s="3" t="s">
        <v>776</v>
      </c>
      <c r="B548" s="3">
        <v>481</v>
      </c>
      <c r="C548" s="3" t="s">
        <v>899</v>
      </c>
      <c r="D548" s="3">
        <v>0.5</v>
      </c>
      <c r="E548" s="3">
        <v>65</v>
      </c>
      <c r="F548" s="3" t="s">
        <v>19</v>
      </c>
      <c r="G548" s="3" t="s">
        <v>19</v>
      </c>
      <c r="H548" s="3" t="s">
        <v>531</v>
      </c>
      <c r="I548" s="3"/>
      <c r="J548" s="3" t="s">
        <v>486</v>
      </c>
      <c r="K548" s="3" t="s">
        <v>904</v>
      </c>
      <c r="L548" s="3" t="s">
        <v>335</v>
      </c>
      <c r="M548" s="3">
        <v>19</v>
      </c>
      <c r="N548" s="6"/>
      <c r="O548" s="3">
        <v>16</v>
      </c>
      <c r="P548" s="3">
        <v>16</v>
      </c>
      <c r="Q548" s="3">
        <v>16</v>
      </c>
      <c r="R548" s="3">
        <v>0</v>
      </c>
      <c r="S548" s="3">
        <v>0</v>
      </c>
      <c r="T548" s="3">
        <v>0</v>
      </c>
      <c r="U548" s="3">
        <v>0</v>
      </c>
      <c r="V548" s="3">
        <f t="shared" si="122"/>
        <v>16</v>
      </c>
      <c r="W548" s="3">
        <v>16</v>
      </c>
      <c r="X548" s="3">
        <v>0</v>
      </c>
      <c r="Y548" s="3">
        <v>0</v>
      </c>
      <c r="Z548" s="3">
        <v>0</v>
      </c>
      <c r="AA548" s="3">
        <v>0</v>
      </c>
      <c r="AB548" s="3">
        <f t="shared" si="123"/>
        <v>16</v>
      </c>
      <c r="AC548" s="6">
        <f t="shared" si="131"/>
        <v>-16</v>
      </c>
      <c r="AD548" s="6">
        <f t="shared" si="132"/>
        <v>0</v>
      </c>
      <c r="AE548" s="6">
        <f t="shared" si="133"/>
        <v>0</v>
      </c>
      <c r="AF548" s="6">
        <f t="shared" si="134"/>
        <v>0</v>
      </c>
      <c r="AG548" s="6">
        <f t="shared" si="135"/>
        <v>0</v>
      </c>
      <c r="AH548" s="6">
        <f t="shared" si="124"/>
        <v>-16</v>
      </c>
      <c r="AI548" s="3"/>
      <c r="AJ548" s="3" t="e">
        <f>_xlfn.XLOOKUP(K548,工作表1!A:A,工作表1!C:C)</f>
        <v>#N/A</v>
      </c>
      <c r="AK548" s="3"/>
      <c r="AL548" s="6">
        <f t="shared" si="125"/>
        <v>0</v>
      </c>
      <c r="AM548" s="6">
        <f t="shared" si="126"/>
        <v>0</v>
      </c>
      <c r="AN548" s="6">
        <f t="shared" si="127"/>
        <v>0</v>
      </c>
      <c r="AO548" s="6">
        <f t="shared" si="128"/>
        <v>0</v>
      </c>
      <c r="AP548" s="6">
        <f t="shared" si="129"/>
        <v>0</v>
      </c>
      <c r="AQ548" s="6">
        <f t="shared" si="130"/>
        <v>0</v>
      </c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  <c r="BC548" s="6"/>
      <c r="BD548" s="6"/>
      <c r="BE548" s="6"/>
      <c r="BF548" s="6"/>
      <c r="BG548" s="6"/>
      <c r="BH548" s="6"/>
      <c r="BI548" s="6"/>
      <c r="BJ548" s="6"/>
      <c r="BK548" s="6"/>
      <c r="BL548" s="6"/>
      <c r="BM548" s="6"/>
      <c r="BN548" s="6"/>
      <c r="BO548" s="6"/>
      <c r="BP548" s="3">
        <v>16</v>
      </c>
      <c r="BQ548" s="6">
        <f t="shared" si="121"/>
        <v>0</v>
      </c>
    </row>
    <row r="549" spans="1:69" x14ac:dyDescent="0.3">
      <c r="A549" s="3" t="s">
        <v>776</v>
      </c>
      <c r="B549" s="3">
        <v>481</v>
      </c>
      <c r="C549" s="3" t="s">
        <v>899</v>
      </c>
      <c r="D549" s="3">
        <v>0.5</v>
      </c>
      <c r="E549" s="3">
        <v>70</v>
      </c>
      <c r="F549" s="3" t="s">
        <v>19</v>
      </c>
      <c r="G549" s="3" t="s">
        <v>19</v>
      </c>
      <c r="H549" s="3" t="s">
        <v>535</v>
      </c>
      <c r="I549" s="3"/>
      <c r="J549" s="3" t="s">
        <v>486</v>
      </c>
      <c r="K549" s="3" t="s">
        <v>905</v>
      </c>
      <c r="L549" s="3" t="s">
        <v>335</v>
      </c>
      <c r="M549" s="3">
        <v>19</v>
      </c>
      <c r="N549" s="6"/>
      <c r="O549" s="3">
        <v>12</v>
      </c>
      <c r="P549" s="3">
        <v>12</v>
      </c>
      <c r="Q549" s="3">
        <v>12</v>
      </c>
      <c r="R549" s="3">
        <v>0</v>
      </c>
      <c r="S549" s="3">
        <v>0</v>
      </c>
      <c r="T549" s="3">
        <v>0</v>
      </c>
      <c r="U549" s="3">
        <v>0</v>
      </c>
      <c r="V549" s="3">
        <f t="shared" si="122"/>
        <v>12</v>
      </c>
      <c r="W549" s="3">
        <v>12</v>
      </c>
      <c r="X549" s="3">
        <v>0</v>
      </c>
      <c r="Y549" s="3">
        <v>0</v>
      </c>
      <c r="Z549" s="3">
        <v>0</v>
      </c>
      <c r="AA549" s="3">
        <v>0</v>
      </c>
      <c r="AB549" s="3">
        <f t="shared" si="123"/>
        <v>12</v>
      </c>
      <c r="AC549" s="6">
        <f t="shared" si="131"/>
        <v>-12</v>
      </c>
      <c r="AD549" s="6">
        <f t="shared" si="132"/>
        <v>0</v>
      </c>
      <c r="AE549" s="6">
        <f t="shared" si="133"/>
        <v>0</v>
      </c>
      <c r="AF549" s="6">
        <f t="shared" si="134"/>
        <v>0</v>
      </c>
      <c r="AG549" s="6">
        <f t="shared" si="135"/>
        <v>0</v>
      </c>
      <c r="AH549" s="6">
        <f t="shared" si="124"/>
        <v>-12</v>
      </c>
      <c r="AI549" s="3"/>
      <c r="AJ549" s="3" t="e">
        <f>_xlfn.XLOOKUP(K549,工作表1!A:A,工作表1!C:C)</f>
        <v>#N/A</v>
      </c>
      <c r="AK549" s="3"/>
      <c r="AL549" s="6">
        <f t="shared" si="125"/>
        <v>0</v>
      </c>
      <c r="AM549" s="6">
        <f t="shared" si="126"/>
        <v>0</v>
      </c>
      <c r="AN549" s="6">
        <f t="shared" si="127"/>
        <v>0</v>
      </c>
      <c r="AO549" s="6">
        <f t="shared" si="128"/>
        <v>0</v>
      </c>
      <c r="AP549" s="6">
        <f t="shared" si="129"/>
        <v>0</v>
      </c>
      <c r="AQ549" s="6">
        <f t="shared" si="130"/>
        <v>0</v>
      </c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  <c r="BC549" s="6"/>
      <c r="BD549" s="6"/>
      <c r="BE549" s="6"/>
      <c r="BF549" s="6"/>
      <c r="BG549" s="6"/>
      <c r="BH549" s="6"/>
      <c r="BI549" s="6"/>
      <c r="BJ549" s="6"/>
      <c r="BK549" s="6"/>
      <c r="BL549" s="6"/>
      <c r="BM549" s="6"/>
      <c r="BN549" s="6"/>
      <c r="BO549" s="6"/>
      <c r="BP549" s="3">
        <v>12</v>
      </c>
      <c r="BQ549" s="6">
        <f t="shared" si="121"/>
        <v>0</v>
      </c>
    </row>
    <row r="550" spans="1:69" x14ac:dyDescent="0.3">
      <c r="A550" s="3" t="s">
        <v>776</v>
      </c>
      <c r="B550" s="3">
        <v>610</v>
      </c>
      <c r="C550" s="3" t="s">
        <v>906</v>
      </c>
      <c r="D550" s="3">
        <v>4</v>
      </c>
      <c r="E550" s="3" t="s">
        <v>19</v>
      </c>
      <c r="F550" s="3" t="s">
        <v>19</v>
      </c>
      <c r="G550" s="3" t="s">
        <v>19</v>
      </c>
      <c r="H550" s="3" t="s">
        <v>336</v>
      </c>
      <c r="I550" s="3"/>
      <c r="J550" s="3" t="s">
        <v>91</v>
      </c>
      <c r="K550" s="3" t="s">
        <v>907</v>
      </c>
      <c r="L550" s="3" t="s">
        <v>1467</v>
      </c>
      <c r="M550" s="3">
        <v>2</v>
      </c>
      <c r="N550" s="6"/>
      <c r="O550" s="3">
        <v>2</v>
      </c>
      <c r="P550" s="3">
        <v>2</v>
      </c>
      <c r="Q550" s="3">
        <v>2</v>
      </c>
      <c r="R550" s="3">
        <v>0</v>
      </c>
      <c r="S550" s="3">
        <v>0</v>
      </c>
      <c r="T550" s="3">
        <v>0</v>
      </c>
      <c r="U550" s="3">
        <v>0</v>
      </c>
      <c r="V550" s="3">
        <f t="shared" si="122"/>
        <v>2</v>
      </c>
      <c r="W550" s="3">
        <v>2</v>
      </c>
      <c r="X550" s="3">
        <v>0</v>
      </c>
      <c r="Y550" s="3">
        <v>0</v>
      </c>
      <c r="Z550" s="3">
        <v>0</v>
      </c>
      <c r="AA550" s="3">
        <v>0</v>
      </c>
      <c r="AB550" s="3">
        <f t="shared" si="123"/>
        <v>2</v>
      </c>
      <c r="AC550" s="6">
        <f t="shared" si="131"/>
        <v>-2</v>
      </c>
      <c r="AD550" s="6">
        <f t="shared" si="132"/>
        <v>0</v>
      </c>
      <c r="AE550" s="6">
        <f t="shared" si="133"/>
        <v>0</v>
      </c>
      <c r="AF550" s="6">
        <f t="shared" si="134"/>
        <v>0</v>
      </c>
      <c r="AG550" s="6">
        <f t="shared" si="135"/>
        <v>0</v>
      </c>
      <c r="AH550" s="6">
        <f t="shared" si="124"/>
        <v>-2</v>
      </c>
      <c r="AI550" s="3"/>
      <c r="AJ550" s="3" t="e">
        <f>_xlfn.XLOOKUP(K550,工作表1!A:A,工作表1!C:C)</f>
        <v>#N/A</v>
      </c>
      <c r="AK550" s="3"/>
      <c r="AL550" s="6">
        <f t="shared" si="125"/>
        <v>0</v>
      </c>
      <c r="AM550" s="6">
        <f t="shared" si="126"/>
        <v>0</v>
      </c>
      <c r="AN550" s="6">
        <f t="shared" si="127"/>
        <v>0</v>
      </c>
      <c r="AO550" s="6">
        <f t="shared" si="128"/>
        <v>0</v>
      </c>
      <c r="AP550" s="6">
        <f t="shared" si="129"/>
        <v>0</v>
      </c>
      <c r="AQ550" s="6">
        <f t="shared" si="130"/>
        <v>0</v>
      </c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  <c r="BC550" s="6"/>
      <c r="BD550" s="6"/>
      <c r="BE550" s="6"/>
      <c r="BF550" s="6"/>
      <c r="BG550" s="6"/>
      <c r="BH550" s="6"/>
      <c r="BI550" s="6"/>
      <c r="BJ550" s="6"/>
      <c r="BK550" s="6"/>
      <c r="BL550" s="6"/>
      <c r="BM550" s="6"/>
      <c r="BN550" s="6"/>
      <c r="BO550" s="6"/>
      <c r="BP550" s="3">
        <v>2</v>
      </c>
      <c r="BQ550" s="6">
        <f t="shared" si="121"/>
        <v>0</v>
      </c>
    </row>
    <row r="551" spans="1:69" x14ac:dyDescent="0.3">
      <c r="A551" s="3" t="s">
        <v>776</v>
      </c>
      <c r="B551" s="3">
        <v>610</v>
      </c>
      <c r="C551" s="3" t="s">
        <v>906</v>
      </c>
      <c r="D551" s="3">
        <v>3</v>
      </c>
      <c r="E551" s="3" t="s">
        <v>19</v>
      </c>
      <c r="F551" s="3" t="s">
        <v>19</v>
      </c>
      <c r="G551" s="3" t="s">
        <v>19</v>
      </c>
      <c r="H551" s="3" t="s">
        <v>338</v>
      </c>
      <c r="I551" s="3"/>
      <c r="J551" s="3" t="s">
        <v>91</v>
      </c>
      <c r="K551" s="3" t="s">
        <v>908</v>
      </c>
      <c r="L551" s="3" t="s">
        <v>1467</v>
      </c>
      <c r="M551" s="3">
        <v>4</v>
      </c>
      <c r="N551" s="6"/>
      <c r="O551" s="3">
        <v>2</v>
      </c>
      <c r="P551" s="3">
        <v>2</v>
      </c>
      <c r="Q551" s="3">
        <v>2</v>
      </c>
      <c r="R551" s="3">
        <v>0</v>
      </c>
      <c r="S551" s="3">
        <v>0</v>
      </c>
      <c r="T551" s="3">
        <v>0</v>
      </c>
      <c r="U551" s="3">
        <v>0</v>
      </c>
      <c r="V551" s="3">
        <f t="shared" si="122"/>
        <v>2</v>
      </c>
      <c r="W551" s="3">
        <v>2</v>
      </c>
      <c r="X551" s="3">
        <v>0</v>
      </c>
      <c r="Y551" s="3">
        <v>0</v>
      </c>
      <c r="Z551" s="3">
        <v>0</v>
      </c>
      <c r="AA551" s="3">
        <v>0</v>
      </c>
      <c r="AB551" s="3">
        <f t="shared" si="123"/>
        <v>2</v>
      </c>
      <c r="AC551" s="6">
        <f t="shared" si="131"/>
        <v>-2</v>
      </c>
      <c r="AD551" s="6">
        <f t="shared" si="132"/>
        <v>0</v>
      </c>
      <c r="AE551" s="6">
        <f t="shared" si="133"/>
        <v>0</v>
      </c>
      <c r="AF551" s="6">
        <f t="shared" si="134"/>
        <v>0</v>
      </c>
      <c r="AG551" s="6">
        <f t="shared" si="135"/>
        <v>0</v>
      </c>
      <c r="AH551" s="6">
        <f t="shared" si="124"/>
        <v>-2</v>
      </c>
      <c r="AI551" s="3"/>
      <c r="AJ551" s="3" t="e">
        <f>_xlfn.XLOOKUP(K551,工作表1!A:A,工作表1!C:C)</f>
        <v>#N/A</v>
      </c>
      <c r="AK551" s="3"/>
      <c r="AL551" s="6">
        <f t="shared" si="125"/>
        <v>0</v>
      </c>
      <c r="AM551" s="6">
        <f t="shared" si="126"/>
        <v>0</v>
      </c>
      <c r="AN551" s="6">
        <f t="shared" si="127"/>
        <v>0</v>
      </c>
      <c r="AO551" s="6">
        <f t="shared" si="128"/>
        <v>0</v>
      </c>
      <c r="AP551" s="6">
        <f t="shared" si="129"/>
        <v>0</v>
      </c>
      <c r="AQ551" s="6">
        <f t="shared" si="130"/>
        <v>0</v>
      </c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  <c r="BC551" s="6"/>
      <c r="BD551" s="6"/>
      <c r="BE551" s="6"/>
      <c r="BF551" s="6"/>
      <c r="BG551" s="6"/>
      <c r="BH551" s="6"/>
      <c r="BI551" s="6"/>
      <c r="BJ551" s="6"/>
      <c r="BK551" s="6"/>
      <c r="BL551" s="6"/>
      <c r="BM551" s="6"/>
      <c r="BN551" s="6"/>
      <c r="BO551" s="6"/>
      <c r="BP551" s="3">
        <v>2</v>
      </c>
      <c r="BQ551" s="6">
        <f t="shared" si="121"/>
        <v>0</v>
      </c>
    </row>
    <row r="552" spans="1:69" x14ac:dyDescent="0.3">
      <c r="A552" s="3" t="s">
        <v>776</v>
      </c>
      <c r="B552" s="3">
        <v>610</v>
      </c>
      <c r="C552" s="3" t="s">
        <v>909</v>
      </c>
      <c r="D552" s="3">
        <v>1</v>
      </c>
      <c r="E552" s="3" t="s">
        <v>19</v>
      </c>
      <c r="F552" s="3" t="s">
        <v>41</v>
      </c>
      <c r="G552" s="3" t="s">
        <v>19</v>
      </c>
      <c r="H552" s="3" t="s">
        <v>59</v>
      </c>
      <c r="I552" s="3">
        <v>6.35</v>
      </c>
      <c r="J552" s="3" t="s">
        <v>91</v>
      </c>
      <c r="K552" s="3" t="s">
        <v>910</v>
      </c>
      <c r="L552" s="3" t="s">
        <v>1468</v>
      </c>
      <c r="M552" s="3">
        <v>2</v>
      </c>
      <c r="N552" s="6"/>
      <c r="O552" s="3">
        <v>2</v>
      </c>
      <c r="P552" s="3">
        <v>2</v>
      </c>
      <c r="Q552" s="3">
        <v>2</v>
      </c>
      <c r="R552" s="3">
        <v>0</v>
      </c>
      <c r="S552" s="3">
        <v>0</v>
      </c>
      <c r="T552" s="3">
        <v>0</v>
      </c>
      <c r="U552" s="3">
        <v>0</v>
      </c>
      <c r="V552" s="3">
        <f t="shared" si="122"/>
        <v>2</v>
      </c>
      <c r="W552" s="3">
        <v>2</v>
      </c>
      <c r="X552" s="3">
        <v>0</v>
      </c>
      <c r="Y552" s="3">
        <v>0</v>
      </c>
      <c r="Z552" s="3">
        <v>0</v>
      </c>
      <c r="AA552" s="3">
        <v>0</v>
      </c>
      <c r="AB552" s="3">
        <f t="shared" si="123"/>
        <v>2</v>
      </c>
      <c r="AC552" s="6">
        <f t="shared" si="131"/>
        <v>-2</v>
      </c>
      <c r="AD552" s="6">
        <f t="shared" si="132"/>
        <v>0</v>
      </c>
      <c r="AE552" s="6">
        <f t="shared" si="133"/>
        <v>0</v>
      </c>
      <c r="AF552" s="6">
        <f t="shared" si="134"/>
        <v>0</v>
      </c>
      <c r="AG552" s="6">
        <f t="shared" si="135"/>
        <v>0</v>
      </c>
      <c r="AH552" s="6">
        <f t="shared" si="124"/>
        <v>-2</v>
      </c>
      <c r="AI552" s="3"/>
      <c r="AJ552" s="3" t="e">
        <f>_xlfn.XLOOKUP(K552,工作表1!A:A,工作表1!C:C)</f>
        <v>#N/A</v>
      </c>
      <c r="AK552" s="3"/>
      <c r="AL552" s="6">
        <f t="shared" si="125"/>
        <v>0</v>
      </c>
      <c r="AM552" s="6">
        <f t="shared" si="126"/>
        <v>0</v>
      </c>
      <c r="AN552" s="6">
        <f t="shared" si="127"/>
        <v>0</v>
      </c>
      <c r="AO552" s="6">
        <f t="shared" si="128"/>
        <v>0</v>
      </c>
      <c r="AP552" s="6">
        <f t="shared" si="129"/>
        <v>0</v>
      </c>
      <c r="AQ552" s="6">
        <f t="shared" si="130"/>
        <v>0</v>
      </c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  <c r="BC552" s="6"/>
      <c r="BD552" s="6"/>
      <c r="BE552" s="6"/>
      <c r="BF552" s="6"/>
      <c r="BG552" s="6"/>
      <c r="BH552" s="6"/>
      <c r="BI552" s="6"/>
      <c r="BJ552" s="6"/>
      <c r="BK552" s="6"/>
      <c r="BL552" s="6"/>
      <c r="BM552" s="6"/>
      <c r="BN552" s="6"/>
      <c r="BO552" s="6"/>
      <c r="BP552" s="3">
        <v>2</v>
      </c>
      <c r="BQ552" s="6">
        <f t="shared" si="121"/>
        <v>0</v>
      </c>
    </row>
    <row r="553" spans="1:69" x14ac:dyDescent="0.3">
      <c r="A553" s="3" t="s">
        <v>776</v>
      </c>
      <c r="B553" s="3">
        <v>610</v>
      </c>
      <c r="C553" s="3" t="s">
        <v>911</v>
      </c>
      <c r="D553" s="3">
        <v>1</v>
      </c>
      <c r="E553" s="3" t="s">
        <v>19</v>
      </c>
      <c r="F553" s="3" t="s">
        <v>19</v>
      </c>
      <c r="G553" s="3" t="s">
        <v>19</v>
      </c>
      <c r="H553" s="3" t="s">
        <v>101</v>
      </c>
      <c r="I553" s="3"/>
      <c r="J553" s="3" t="s">
        <v>91</v>
      </c>
      <c r="K553" s="3" t="s">
        <v>912</v>
      </c>
      <c r="L553" s="3" t="s">
        <v>1468</v>
      </c>
      <c r="M553" s="3">
        <v>6</v>
      </c>
      <c r="N553" s="6"/>
      <c r="O553" s="3">
        <v>5</v>
      </c>
      <c r="P553" s="3">
        <v>5</v>
      </c>
      <c r="Q553" s="3">
        <v>5</v>
      </c>
      <c r="R553" s="3">
        <v>0</v>
      </c>
      <c r="S553" s="3">
        <v>0</v>
      </c>
      <c r="T553" s="3">
        <v>0</v>
      </c>
      <c r="U553" s="3">
        <v>0</v>
      </c>
      <c r="V553" s="3">
        <f t="shared" si="122"/>
        <v>5</v>
      </c>
      <c r="W553" s="3">
        <v>5</v>
      </c>
      <c r="X553" s="3">
        <v>0</v>
      </c>
      <c r="Y553" s="3">
        <v>0</v>
      </c>
      <c r="Z553" s="3">
        <v>0</v>
      </c>
      <c r="AA553" s="3">
        <v>0</v>
      </c>
      <c r="AB553" s="3">
        <f t="shared" si="123"/>
        <v>5</v>
      </c>
      <c r="AC553" s="6">
        <f t="shared" si="131"/>
        <v>-5</v>
      </c>
      <c r="AD553" s="6">
        <f t="shared" si="132"/>
        <v>0</v>
      </c>
      <c r="AE553" s="6">
        <f t="shared" si="133"/>
        <v>0</v>
      </c>
      <c r="AF553" s="6">
        <f t="shared" si="134"/>
        <v>0</v>
      </c>
      <c r="AG553" s="6">
        <f t="shared" si="135"/>
        <v>0</v>
      </c>
      <c r="AH553" s="6">
        <f t="shared" si="124"/>
        <v>-5</v>
      </c>
      <c r="AI553" s="3"/>
      <c r="AJ553" s="3" t="e">
        <f>_xlfn.XLOOKUP(K553,工作表1!A:A,工作表1!C:C)</f>
        <v>#N/A</v>
      </c>
      <c r="AK553" s="3"/>
      <c r="AL553" s="6">
        <f t="shared" si="125"/>
        <v>0</v>
      </c>
      <c r="AM553" s="6">
        <f t="shared" si="126"/>
        <v>0</v>
      </c>
      <c r="AN553" s="6">
        <f t="shared" si="127"/>
        <v>0</v>
      </c>
      <c r="AO553" s="6">
        <f t="shared" si="128"/>
        <v>0</v>
      </c>
      <c r="AP553" s="6">
        <f t="shared" si="129"/>
        <v>0</v>
      </c>
      <c r="AQ553" s="6">
        <f t="shared" si="130"/>
        <v>0</v>
      </c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  <c r="BC553" s="6"/>
      <c r="BD553" s="6"/>
      <c r="BE553" s="6"/>
      <c r="BF553" s="6"/>
      <c r="BG553" s="6"/>
      <c r="BH553" s="6"/>
      <c r="BI553" s="6"/>
      <c r="BJ553" s="6"/>
      <c r="BK553" s="6"/>
      <c r="BL553" s="6"/>
      <c r="BM553" s="6"/>
      <c r="BN553" s="6"/>
      <c r="BO553" s="6"/>
      <c r="BP553" s="3">
        <v>5</v>
      </c>
      <c r="BQ553" s="6">
        <f t="shared" si="121"/>
        <v>0</v>
      </c>
    </row>
    <row r="554" spans="1:69" x14ac:dyDescent="0.3">
      <c r="A554" s="3" t="s">
        <v>776</v>
      </c>
      <c r="B554" s="3">
        <v>610</v>
      </c>
      <c r="C554" s="3" t="s">
        <v>911</v>
      </c>
      <c r="D554" s="3">
        <v>0.75</v>
      </c>
      <c r="E554" s="3" t="s">
        <v>19</v>
      </c>
      <c r="F554" s="3" t="s">
        <v>19</v>
      </c>
      <c r="G554" s="3" t="s">
        <v>19</v>
      </c>
      <c r="H554" s="3" t="s">
        <v>103</v>
      </c>
      <c r="I554" s="3"/>
      <c r="J554" s="3" t="s">
        <v>91</v>
      </c>
      <c r="K554" s="3" t="s">
        <v>913</v>
      </c>
      <c r="L554" s="3" t="s">
        <v>1468</v>
      </c>
      <c r="M554" s="3">
        <v>7</v>
      </c>
      <c r="N554" s="6"/>
      <c r="O554" s="3">
        <v>4</v>
      </c>
      <c r="P554" s="3">
        <v>4</v>
      </c>
      <c r="Q554" s="3">
        <v>4</v>
      </c>
      <c r="R554" s="3">
        <v>0</v>
      </c>
      <c r="S554" s="3">
        <v>0</v>
      </c>
      <c r="T554" s="3">
        <v>0</v>
      </c>
      <c r="U554" s="3">
        <v>0</v>
      </c>
      <c r="V554" s="3">
        <f t="shared" si="122"/>
        <v>4</v>
      </c>
      <c r="W554" s="3">
        <v>4</v>
      </c>
      <c r="X554" s="3">
        <v>0</v>
      </c>
      <c r="Y554" s="3">
        <v>0</v>
      </c>
      <c r="Z554" s="3">
        <v>0</v>
      </c>
      <c r="AA554" s="3">
        <v>0</v>
      </c>
      <c r="AB554" s="3">
        <f t="shared" si="123"/>
        <v>4</v>
      </c>
      <c r="AC554" s="6">
        <f t="shared" si="131"/>
        <v>-4</v>
      </c>
      <c r="AD554" s="6">
        <f t="shared" si="132"/>
        <v>0</v>
      </c>
      <c r="AE554" s="6">
        <f t="shared" si="133"/>
        <v>0</v>
      </c>
      <c r="AF554" s="6">
        <f t="shared" si="134"/>
        <v>0</v>
      </c>
      <c r="AG554" s="6">
        <f t="shared" si="135"/>
        <v>0</v>
      </c>
      <c r="AH554" s="6">
        <f t="shared" si="124"/>
        <v>-4</v>
      </c>
      <c r="AI554" s="3"/>
      <c r="AJ554" s="3" t="e">
        <f>_xlfn.XLOOKUP(K554,工作表1!A:A,工作表1!C:C)</f>
        <v>#N/A</v>
      </c>
      <c r="AK554" s="3"/>
      <c r="AL554" s="6">
        <f t="shared" si="125"/>
        <v>0</v>
      </c>
      <c r="AM554" s="6">
        <f t="shared" si="126"/>
        <v>0</v>
      </c>
      <c r="AN554" s="6">
        <f t="shared" si="127"/>
        <v>0</v>
      </c>
      <c r="AO554" s="6">
        <f t="shared" si="128"/>
        <v>0</v>
      </c>
      <c r="AP554" s="6">
        <f t="shared" si="129"/>
        <v>0</v>
      </c>
      <c r="AQ554" s="6">
        <f t="shared" si="130"/>
        <v>0</v>
      </c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  <c r="BC554" s="6"/>
      <c r="BD554" s="6"/>
      <c r="BE554" s="6"/>
      <c r="BF554" s="6"/>
      <c r="BG554" s="6"/>
      <c r="BH554" s="6"/>
      <c r="BI554" s="6"/>
      <c r="BJ554" s="6"/>
      <c r="BK554" s="6"/>
      <c r="BL554" s="6"/>
      <c r="BM554" s="6"/>
      <c r="BN554" s="6"/>
      <c r="BO554" s="6"/>
      <c r="BP554" s="3">
        <v>4</v>
      </c>
      <c r="BQ554" s="6">
        <f t="shared" si="121"/>
        <v>0</v>
      </c>
    </row>
    <row r="555" spans="1:69" x14ac:dyDescent="0.3">
      <c r="A555" s="3" t="s">
        <v>776</v>
      </c>
      <c r="B555" s="3">
        <v>610</v>
      </c>
      <c r="C555" s="3" t="s">
        <v>914</v>
      </c>
      <c r="D555" s="3">
        <v>0.75</v>
      </c>
      <c r="E555" s="3" t="s">
        <v>19</v>
      </c>
      <c r="F555" s="3" t="s">
        <v>19</v>
      </c>
      <c r="G555" s="3" t="s">
        <v>19</v>
      </c>
      <c r="H555" s="3" t="s">
        <v>103</v>
      </c>
      <c r="I555" s="3"/>
      <c r="J555" s="3" t="s">
        <v>91</v>
      </c>
      <c r="K555" s="3" t="s">
        <v>915</v>
      </c>
      <c r="L555" s="3" t="s">
        <v>1468</v>
      </c>
      <c r="M555" s="3">
        <v>4</v>
      </c>
      <c r="N555" s="6"/>
      <c r="O555" s="3">
        <v>4</v>
      </c>
      <c r="P555" s="3">
        <v>4</v>
      </c>
      <c r="Q555" s="3">
        <v>4</v>
      </c>
      <c r="R555" s="3">
        <v>0</v>
      </c>
      <c r="S555" s="3">
        <v>0</v>
      </c>
      <c r="T555" s="3">
        <v>0</v>
      </c>
      <c r="U555" s="3">
        <v>0</v>
      </c>
      <c r="V555" s="3">
        <f t="shared" si="122"/>
        <v>4</v>
      </c>
      <c r="W555" s="3">
        <v>4</v>
      </c>
      <c r="X555" s="3">
        <v>0</v>
      </c>
      <c r="Y555" s="3">
        <v>0</v>
      </c>
      <c r="Z555" s="3">
        <v>0</v>
      </c>
      <c r="AA555" s="3">
        <v>0</v>
      </c>
      <c r="AB555" s="3">
        <f t="shared" si="123"/>
        <v>4</v>
      </c>
      <c r="AC555" s="6">
        <f t="shared" si="131"/>
        <v>-4</v>
      </c>
      <c r="AD555" s="6">
        <f t="shared" si="132"/>
        <v>0</v>
      </c>
      <c r="AE555" s="6">
        <f t="shared" si="133"/>
        <v>0</v>
      </c>
      <c r="AF555" s="6">
        <f t="shared" si="134"/>
        <v>0</v>
      </c>
      <c r="AG555" s="6">
        <f t="shared" si="135"/>
        <v>0</v>
      </c>
      <c r="AH555" s="6">
        <f t="shared" si="124"/>
        <v>-4</v>
      </c>
      <c r="AI555" s="3"/>
      <c r="AJ555" s="3" t="e">
        <f>_xlfn.XLOOKUP(K555,工作表1!A:A,工作表1!C:C)</f>
        <v>#N/A</v>
      </c>
      <c r="AK555" s="3"/>
      <c r="AL555" s="6">
        <f t="shared" si="125"/>
        <v>0</v>
      </c>
      <c r="AM555" s="6">
        <f t="shared" si="126"/>
        <v>0</v>
      </c>
      <c r="AN555" s="6">
        <f t="shared" si="127"/>
        <v>0</v>
      </c>
      <c r="AO555" s="6">
        <f t="shared" si="128"/>
        <v>0</v>
      </c>
      <c r="AP555" s="6">
        <f t="shared" si="129"/>
        <v>0</v>
      </c>
      <c r="AQ555" s="6">
        <f t="shared" si="130"/>
        <v>0</v>
      </c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  <c r="BC555" s="6"/>
      <c r="BD555" s="6"/>
      <c r="BE555" s="6"/>
      <c r="BF555" s="6"/>
      <c r="BG555" s="6"/>
      <c r="BH555" s="6"/>
      <c r="BI555" s="6"/>
      <c r="BJ555" s="6"/>
      <c r="BK555" s="6"/>
      <c r="BL555" s="6"/>
      <c r="BM555" s="6"/>
      <c r="BN555" s="6"/>
      <c r="BO555" s="6"/>
      <c r="BP555" s="3">
        <v>4</v>
      </c>
      <c r="BQ555" s="6">
        <f t="shared" si="121"/>
        <v>0</v>
      </c>
    </row>
    <row r="556" spans="1:69" x14ac:dyDescent="0.3">
      <c r="A556" s="3" t="s">
        <v>776</v>
      </c>
      <c r="B556" s="3">
        <v>610</v>
      </c>
      <c r="C556" s="3" t="s">
        <v>914</v>
      </c>
      <c r="D556" s="3">
        <v>0.5</v>
      </c>
      <c r="E556" s="3" t="s">
        <v>19</v>
      </c>
      <c r="F556" s="3" t="s">
        <v>19</v>
      </c>
      <c r="G556" s="3" t="s">
        <v>19</v>
      </c>
      <c r="H556" s="3" t="s">
        <v>105</v>
      </c>
      <c r="I556" s="3"/>
      <c r="J556" s="3" t="s">
        <v>91</v>
      </c>
      <c r="K556" s="3" t="s">
        <v>916</v>
      </c>
      <c r="L556" s="3" t="s">
        <v>1468</v>
      </c>
      <c r="M556" s="3">
        <v>4</v>
      </c>
      <c r="N556" s="6"/>
      <c r="O556" s="3">
        <v>2</v>
      </c>
      <c r="P556" s="3">
        <v>2</v>
      </c>
      <c r="Q556" s="3">
        <v>2</v>
      </c>
      <c r="R556" s="3">
        <v>0</v>
      </c>
      <c r="S556" s="3">
        <v>0</v>
      </c>
      <c r="T556" s="3">
        <v>0</v>
      </c>
      <c r="U556" s="3">
        <v>0</v>
      </c>
      <c r="V556" s="3">
        <f t="shared" si="122"/>
        <v>2</v>
      </c>
      <c r="W556" s="3">
        <v>2</v>
      </c>
      <c r="X556" s="3">
        <v>0</v>
      </c>
      <c r="Y556" s="3">
        <v>0</v>
      </c>
      <c r="Z556" s="3">
        <v>0</v>
      </c>
      <c r="AA556" s="3">
        <v>0</v>
      </c>
      <c r="AB556" s="3">
        <f t="shared" si="123"/>
        <v>2</v>
      </c>
      <c r="AC556" s="6">
        <f t="shared" si="131"/>
        <v>-2</v>
      </c>
      <c r="AD556" s="6">
        <f t="shared" si="132"/>
        <v>0</v>
      </c>
      <c r="AE556" s="6">
        <f t="shared" si="133"/>
        <v>0</v>
      </c>
      <c r="AF556" s="6">
        <f t="shared" si="134"/>
        <v>0</v>
      </c>
      <c r="AG556" s="6">
        <f t="shared" si="135"/>
        <v>0</v>
      </c>
      <c r="AH556" s="6">
        <f t="shared" si="124"/>
        <v>-2</v>
      </c>
      <c r="AI556" s="3"/>
      <c r="AJ556" s="3" t="e">
        <f>_xlfn.XLOOKUP(K556,工作表1!A:A,工作表1!C:C)</f>
        <v>#N/A</v>
      </c>
      <c r="AK556" s="3"/>
      <c r="AL556" s="6">
        <f t="shared" si="125"/>
        <v>0</v>
      </c>
      <c r="AM556" s="6">
        <f t="shared" si="126"/>
        <v>0</v>
      </c>
      <c r="AN556" s="6">
        <f t="shared" si="127"/>
        <v>0</v>
      </c>
      <c r="AO556" s="6">
        <f t="shared" si="128"/>
        <v>0</v>
      </c>
      <c r="AP556" s="6">
        <f t="shared" si="129"/>
        <v>0</v>
      </c>
      <c r="AQ556" s="6">
        <f t="shared" si="130"/>
        <v>0</v>
      </c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  <c r="BC556" s="6"/>
      <c r="BD556" s="6"/>
      <c r="BE556" s="6"/>
      <c r="BF556" s="6"/>
      <c r="BG556" s="6"/>
      <c r="BH556" s="6"/>
      <c r="BI556" s="6"/>
      <c r="BJ556" s="6"/>
      <c r="BK556" s="6"/>
      <c r="BL556" s="6"/>
      <c r="BM556" s="6"/>
      <c r="BN556" s="6"/>
      <c r="BO556" s="6"/>
      <c r="BP556" s="3">
        <v>2</v>
      </c>
      <c r="BQ556" s="6">
        <f t="shared" si="121"/>
        <v>0</v>
      </c>
    </row>
    <row r="557" spans="1:69" x14ac:dyDescent="0.3">
      <c r="A557" s="3" t="s">
        <v>776</v>
      </c>
      <c r="B557" s="3">
        <v>620</v>
      </c>
      <c r="C557" s="3" t="s">
        <v>917</v>
      </c>
      <c r="D557" s="3">
        <v>0.5</v>
      </c>
      <c r="E557" s="3" t="s">
        <v>19</v>
      </c>
      <c r="F557" s="3" t="s">
        <v>41</v>
      </c>
      <c r="G557" s="3" t="s">
        <v>19</v>
      </c>
      <c r="H557" s="3" t="s">
        <v>66</v>
      </c>
      <c r="I557" s="3">
        <v>4.78</v>
      </c>
      <c r="J557" s="3" t="s">
        <v>91</v>
      </c>
      <c r="K557" s="3" t="s">
        <v>918</v>
      </c>
      <c r="L557" s="3" t="s">
        <v>1468</v>
      </c>
      <c r="M557" s="3">
        <v>4</v>
      </c>
      <c r="N557" s="6"/>
      <c r="O557" s="3">
        <v>4</v>
      </c>
      <c r="P557" s="3">
        <v>4</v>
      </c>
      <c r="Q557" s="3">
        <v>4</v>
      </c>
      <c r="R557" s="3">
        <v>0</v>
      </c>
      <c r="S557" s="3">
        <v>0</v>
      </c>
      <c r="T557" s="3">
        <v>0</v>
      </c>
      <c r="U557" s="3">
        <v>0</v>
      </c>
      <c r="V557" s="3">
        <f t="shared" si="122"/>
        <v>4</v>
      </c>
      <c r="W557" s="3">
        <v>4</v>
      </c>
      <c r="X557" s="3">
        <v>0</v>
      </c>
      <c r="Y557" s="3">
        <v>0</v>
      </c>
      <c r="Z557" s="3">
        <v>0</v>
      </c>
      <c r="AA557" s="3">
        <v>0</v>
      </c>
      <c r="AB557" s="3">
        <f t="shared" si="123"/>
        <v>4</v>
      </c>
      <c r="AC557" s="6">
        <f t="shared" si="131"/>
        <v>-4</v>
      </c>
      <c r="AD557" s="6">
        <f t="shared" si="132"/>
        <v>0</v>
      </c>
      <c r="AE557" s="6">
        <f t="shared" si="133"/>
        <v>0</v>
      </c>
      <c r="AF557" s="6">
        <f t="shared" si="134"/>
        <v>0</v>
      </c>
      <c r="AG557" s="6">
        <f t="shared" si="135"/>
        <v>0</v>
      </c>
      <c r="AH557" s="6">
        <f t="shared" si="124"/>
        <v>-4</v>
      </c>
      <c r="AI557" s="3"/>
      <c r="AJ557" s="3" t="e">
        <f>_xlfn.XLOOKUP(K557,工作表1!A:A,工作表1!C:C)</f>
        <v>#N/A</v>
      </c>
      <c r="AK557" s="3"/>
      <c r="AL557" s="6">
        <f t="shared" si="125"/>
        <v>0</v>
      </c>
      <c r="AM557" s="6">
        <f t="shared" si="126"/>
        <v>0</v>
      </c>
      <c r="AN557" s="6">
        <f t="shared" si="127"/>
        <v>0</v>
      </c>
      <c r="AO557" s="6">
        <f t="shared" si="128"/>
        <v>0</v>
      </c>
      <c r="AP557" s="6">
        <f t="shared" si="129"/>
        <v>0</v>
      </c>
      <c r="AQ557" s="6">
        <f t="shared" si="130"/>
        <v>0</v>
      </c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  <c r="BC557" s="6"/>
      <c r="BD557" s="6"/>
      <c r="BE557" s="6"/>
      <c r="BF557" s="6"/>
      <c r="BG557" s="6"/>
      <c r="BH557" s="6"/>
      <c r="BI557" s="6"/>
      <c r="BJ557" s="6"/>
      <c r="BK557" s="6"/>
      <c r="BL557" s="6"/>
      <c r="BM557" s="6"/>
      <c r="BN557" s="6"/>
      <c r="BO557" s="6"/>
      <c r="BP557" s="3">
        <v>4</v>
      </c>
      <c r="BQ557" s="6">
        <f t="shared" si="121"/>
        <v>0</v>
      </c>
    </row>
    <row r="558" spans="1:69" x14ac:dyDescent="0.3">
      <c r="A558" s="3" t="s">
        <v>776</v>
      </c>
      <c r="B558" s="3">
        <v>620</v>
      </c>
      <c r="C558" s="3" t="s">
        <v>919</v>
      </c>
      <c r="D558" s="3">
        <v>1</v>
      </c>
      <c r="E558" s="3" t="s">
        <v>19</v>
      </c>
      <c r="F558" s="3" t="s">
        <v>41</v>
      </c>
      <c r="G558" s="3" t="s">
        <v>19</v>
      </c>
      <c r="H558" s="3" t="s">
        <v>59</v>
      </c>
      <c r="I558" s="3">
        <v>6.35</v>
      </c>
      <c r="J558" s="3" t="s">
        <v>91</v>
      </c>
      <c r="K558" s="3" t="s">
        <v>920</v>
      </c>
      <c r="L558" s="3" t="s">
        <v>1468</v>
      </c>
      <c r="M558" s="3">
        <v>3</v>
      </c>
      <c r="N558" s="6"/>
      <c r="O558" s="3">
        <v>3</v>
      </c>
      <c r="P558" s="3">
        <v>3</v>
      </c>
      <c r="Q558" s="3">
        <v>3</v>
      </c>
      <c r="R558" s="3">
        <v>0</v>
      </c>
      <c r="S558" s="3">
        <v>0</v>
      </c>
      <c r="T558" s="3">
        <v>0</v>
      </c>
      <c r="U558" s="3">
        <v>0</v>
      </c>
      <c r="V558" s="3">
        <f t="shared" si="122"/>
        <v>3</v>
      </c>
      <c r="W558" s="3">
        <v>3</v>
      </c>
      <c r="X558" s="3">
        <v>0</v>
      </c>
      <c r="Y558" s="3">
        <v>0</v>
      </c>
      <c r="Z558" s="3">
        <v>0</v>
      </c>
      <c r="AA558" s="3">
        <v>0</v>
      </c>
      <c r="AB558" s="3">
        <f t="shared" si="123"/>
        <v>3</v>
      </c>
      <c r="AC558" s="6">
        <f t="shared" si="131"/>
        <v>-3</v>
      </c>
      <c r="AD558" s="6">
        <f t="shared" si="132"/>
        <v>0</v>
      </c>
      <c r="AE558" s="6">
        <f t="shared" si="133"/>
        <v>0</v>
      </c>
      <c r="AF558" s="6">
        <f t="shared" si="134"/>
        <v>0</v>
      </c>
      <c r="AG558" s="6">
        <f t="shared" si="135"/>
        <v>0</v>
      </c>
      <c r="AH558" s="6">
        <f t="shared" si="124"/>
        <v>-3</v>
      </c>
      <c r="AI558" s="3"/>
      <c r="AJ558" s="3" t="e">
        <f>_xlfn.XLOOKUP(K558,工作表1!A:A,工作表1!C:C)</f>
        <v>#N/A</v>
      </c>
      <c r="AK558" s="3"/>
      <c r="AL558" s="6">
        <f t="shared" si="125"/>
        <v>0</v>
      </c>
      <c r="AM558" s="6">
        <f t="shared" si="126"/>
        <v>0</v>
      </c>
      <c r="AN558" s="6">
        <f t="shared" si="127"/>
        <v>0</v>
      </c>
      <c r="AO558" s="6">
        <f t="shared" si="128"/>
        <v>0</v>
      </c>
      <c r="AP558" s="6">
        <f t="shared" si="129"/>
        <v>0</v>
      </c>
      <c r="AQ558" s="6">
        <f t="shared" si="130"/>
        <v>0</v>
      </c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  <c r="BC558" s="6"/>
      <c r="BD558" s="6"/>
      <c r="BE558" s="6"/>
      <c r="BF558" s="6"/>
      <c r="BG558" s="6"/>
      <c r="BH558" s="6"/>
      <c r="BI558" s="6"/>
      <c r="BJ558" s="6"/>
      <c r="BK558" s="6"/>
      <c r="BL558" s="6"/>
      <c r="BM558" s="6"/>
      <c r="BN558" s="6"/>
      <c r="BO558" s="6"/>
      <c r="BP558" s="3">
        <v>3</v>
      </c>
      <c r="BQ558" s="6">
        <f t="shared" si="121"/>
        <v>0</v>
      </c>
    </row>
    <row r="559" spans="1:69" x14ac:dyDescent="0.3">
      <c r="A559" s="3" t="s">
        <v>776</v>
      </c>
      <c r="B559" s="3">
        <v>620</v>
      </c>
      <c r="C559" s="3" t="s">
        <v>921</v>
      </c>
      <c r="D559" s="3">
        <v>6</v>
      </c>
      <c r="E559" s="3" t="s">
        <v>19</v>
      </c>
      <c r="F559" s="3" t="s">
        <v>41</v>
      </c>
      <c r="G559" s="3" t="s">
        <v>19</v>
      </c>
      <c r="H559" s="3" t="s">
        <v>42</v>
      </c>
      <c r="I559" s="3">
        <v>18.260000000000002</v>
      </c>
      <c r="J559" s="3" t="s">
        <v>91</v>
      </c>
      <c r="K559" s="3" t="s">
        <v>922</v>
      </c>
      <c r="L559" s="3" t="s">
        <v>1468</v>
      </c>
      <c r="M559" s="3">
        <v>3</v>
      </c>
      <c r="N559" s="6"/>
      <c r="O559" s="3">
        <v>3</v>
      </c>
      <c r="P559" s="3">
        <v>3</v>
      </c>
      <c r="Q559" s="3">
        <v>3</v>
      </c>
      <c r="R559" s="3">
        <v>0</v>
      </c>
      <c r="S559" s="3">
        <v>0</v>
      </c>
      <c r="T559" s="3">
        <v>0</v>
      </c>
      <c r="U559" s="3">
        <v>0</v>
      </c>
      <c r="V559" s="3">
        <f t="shared" si="122"/>
        <v>3</v>
      </c>
      <c r="W559" s="3">
        <v>3</v>
      </c>
      <c r="X559" s="3">
        <v>0</v>
      </c>
      <c r="Y559" s="3">
        <v>0</v>
      </c>
      <c r="Z559" s="3">
        <v>0</v>
      </c>
      <c r="AA559" s="3">
        <v>0</v>
      </c>
      <c r="AB559" s="3">
        <f t="shared" si="123"/>
        <v>3</v>
      </c>
      <c r="AC559" s="6">
        <f t="shared" si="131"/>
        <v>-3</v>
      </c>
      <c r="AD559" s="6">
        <f t="shared" si="132"/>
        <v>0</v>
      </c>
      <c r="AE559" s="6">
        <f t="shared" si="133"/>
        <v>0</v>
      </c>
      <c r="AF559" s="6">
        <f t="shared" si="134"/>
        <v>0</v>
      </c>
      <c r="AG559" s="6">
        <f t="shared" si="135"/>
        <v>0</v>
      </c>
      <c r="AH559" s="6">
        <f t="shared" si="124"/>
        <v>-3</v>
      </c>
      <c r="AI559" s="3"/>
      <c r="AJ559" s="3" t="e">
        <f>_xlfn.XLOOKUP(K559,工作表1!A:A,工作表1!C:C)</f>
        <v>#N/A</v>
      </c>
      <c r="AK559" s="3"/>
      <c r="AL559" s="6">
        <f t="shared" si="125"/>
        <v>0</v>
      </c>
      <c r="AM559" s="6">
        <f t="shared" si="126"/>
        <v>0</v>
      </c>
      <c r="AN559" s="6">
        <f t="shared" si="127"/>
        <v>0</v>
      </c>
      <c r="AO559" s="6">
        <f t="shared" si="128"/>
        <v>0</v>
      </c>
      <c r="AP559" s="6">
        <f t="shared" si="129"/>
        <v>0</v>
      </c>
      <c r="AQ559" s="6">
        <f t="shared" si="130"/>
        <v>0</v>
      </c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  <c r="BC559" s="6"/>
      <c r="BD559" s="6"/>
      <c r="BE559" s="6"/>
      <c r="BF559" s="6"/>
      <c r="BG559" s="6"/>
      <c r="BH559" s="6"/>
      <c r="BI559" s="6"/>
      <c r="BJ559" s="6"/>
      <c r="BK559" s="6"/>
      <c r="BL559" s="6"/>
      <c r="BM559" s="6"/>
      <c r="BN559" s="6"/>
      <c r="BO559" s="6"/>
      <c r="BP559" s="3">
        <v>3</v>
      </c>
      <c r="BQ559" s="6">
        <f t="shared" si="121"/>
        <v>0</v>
      </c>
    </row>
    <row r="560" spans="1:69" x14ac:dyDescent="0.3">
      <c r="A560" s="3" t="s">
        <v>776</v>
      </c>
      <c r="B560" s="3">
        <v>620</v>
      </c>
      <c r="C560" s="3" t="s">
        <v>921</v>
      </c>
      <c r="D560" s="3">
        <v>4</v>
      </c>
      <c r="E560" s="3" t="s">
        <v>19</v>
      </c>
      <c r="F560" s="3" t="s">
        <v>41</v>
      </c>
      <c r="G560" s="3" t="s">
        <v>19</v>
      </c>
      <c r="H560" s="3" t="s">
        <v>48</v>
      </c>
      <c r="I560" s="3">
        <v>13.49</v>
      </c>
      <c r="J560" s="3" t="s">
        <v>91</v>
      </c>
      <c r="K560" s="3" t="s">
        <v>923</v>
      </c>
      <c r="L560" s="3" t="s">
        <v>1468</v>
      </c>
      <c r="M560" s="3">
        <v>2</v>
      </c>
      <c r="N560" s="6"/>
      <c r="O560" s="3">
        <v>2</v>
      </c>
      <c r="P560" s="3">
        <v>2</v>
      </c>
      <c r="Q560" s="3">
        <v>2</v>
      </c>
      <c r="R560" s="3">
        <v>0</v>
      </c>
      <c r="S560" s="3">
        <v>0</v>
      </c>
      <c r="T560" s="3">
        <v>0</v>
      </c>
      <c r="U560" s="3">
        <v>0</v>
      </c>
      <c r="V560" s="3">
        <f t="shared" si="122"/>
        <v>2</v>
      </c>
      <c r="W560" s="3">
        <v>2</v>
      </c>
      <c r="X560" s="3">
        <v>0</v>
      </c>
      <c r="Y560" s="3">
        <v>0</v>
      </c>
      <c r="Z560" s="3">
        <v>0</v>
      </c>
      <c r="AA560" s="3">
        <v>0</v>
      </c>
      <c r="AB560" s="3">
        <f t="shared" si="123"/>
        <v>2</v>
      </c>
      <c r="AC560" s="6">
        <f t="shared" si="131"/>
        <v>-2</v>
      </c>
      <c r="AD560" s="6">
        <f t="shared" si="132"/>
        <v>0</v>
      </c>
      <c r="AE560" s="6">
        <f t="shared" si="133"/>
        <v>0</v>
      </c>
      <c r="AF560" s="6">
        <f t="shared" si="134"/>
        <v>0</v>
      </c>
      <c r="AG560" s="6">
        <f t="shared" si="135"/>
        <v>0</v>
      </c>
      <c r="AH560" s="6">
        <f t="shared" si="124"/>
        <v>-2</v>
      </c>
      <c r="AI560" s="3"/>
      <c r="AJ560" s="3" t="e">
        <f>_xlfn.XLOOKUP(K560,工作表1!A:A,工作表1!C:C)</f>
        <v>#N/A</v>
      </c>
      <c r="AK560" s="3"/>
      <c r="AL560" s="6">
        <f t="shared" si="125"/>
        <v>0</v>
      </c>
      <c r="AM560" s="6">
        <f t="shared" si="126"/>
        <v>0</v>
      </c>
      <c r="AN560" s="6">
        <f t="shared" si="127"/>
        <v>0</v>
      </c>
      <c r="AO560" s="6">
        <f t="shared" si="128"/>
        <v>0</v>
      </c>
      <c r="AP560" s="6">
        <f t="shared" si="129"/>
        <v>0</v>
      </c>
      <c r="AQ560" s="6">
        <f t="shared" si="130"/>
        <v>0</v>
      </c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  <c r="BC560" s="6"/>
      <c r="BD560" s="6"/>
      <c r="BE560" s="6"/>
      <c r="BF560" s="6"/>
      <c r="BG560" s="6"/>
      <c r="BH560" s="6"/>
      <c r="BI560" s="6"/>
      <c r="BJ560" s="6"/>
      <c r="BK560" s="6"/>
      <c r="BL560" s="6"/>
      <c r="BM560" s="6"/>
      <c r="BN560" s="6"/>
      <c r="BO560" s="6"/>
      <c r="BP560" s="3">
        <v>2</v>
      </c>
      <c r="BQ560" s="6">
        <f t="shared" si="121"/>
        <v>0</v>
      </c>
    </row>
    <row r="561" spans="1:71" x14ac:dyDescent="0.3">
      <c r="A561" s="3" t="s">
        <v>776</v>
      </c>
      <c r="B561" s="3">
        <v>630</v>
      </c>
      <c r="C561" s="3" t="s">
        <v>924</v>
      </c>
      <c r="D561" s="3">
        <v>3</v>
      </c>
      <c r="E561" s="3" t="s">
        <v>19</v>
      </c>
      <c r="F561" s="3" t="s">
        <v>19</v>
      </c>
      <c r="G561" s="3" t="s">
        <v>19</v>
      </c>
      <c r="H561" s="3" t="s">
        <v>338</v>
      </c>
      <c r="I561" s="3"/>
      <c r="J561" s="3" t="s">
        <v>91</v>
      </c>
      <c r="K561" s="3" t="s">
        <v>925</v>
      </c>
      <c r="L561" s="3" t="s">
        <v>1467</v>
      </c>
      <c r="M561" s="3">
        <v>2</v>
      </c>
      <c r="N561" s="6"/>
      <c r="O561" s="3">
        <v>2</v>
      </c>
      <c r="P561" s="3">
        <v>2</v>
      </c>
      <c r="Q561" s="3">
        <v>2</v>
      </c>
      <c r="R561" s="3">
        <v>0</v>
      </c>
      <c r="S561" s="3">
        <v>0</v>
      </c>
      <c r="T561" s="3">
        <v>0</v>
      </c>
      <c r="U561" s="3">
        <v>0</v>
      </c>
      <c r="V561" s="3">
        <f t="shared" si="122"/>
        <v>2</v>
      </c>
      <c r="W561" s="3">
        <v>2</v>
      </c>
      <c r="X561" s="3">
        <v>0</v>
      </c>
      <c r="Y561" s="3">
        <v>0</v>
      </c>
      <c r="Z561" s="3">
        <v>0</v>
      </c>
      <c r="AA561" s="3">
        <v>0</v>
      </c>
      <c r="AB561" s="3">
        <f t="shared" si="123"/>
        <v>2</v>
      </c>
      <c r="AC561" s="6">
        <f t="shared" si="131"/>
        <v>-2</v>
      </c>
      <c r="AD561" s="6">
        <f t="shared" si="132"/>
        <v>0</v>
      </c>
      <c r="AE561" s="6">
        <f t="shared" si="133"/>
        <v>0</v>
      </c>
      <c r="AF561" s="6">
        <f t="shared" si="134"/>
        <v>0</v>
      </c>
      <c r="AG561" s="6">
        <f t="shared" si="135"/>
        <v>0</v>
      </c>
      <c r="AH561" s="6">
        <f t="shared" si="124"/>
        <v>-2</v>
      </c>
      <c r="AI561" s="3"/>
      <c r="AJ561" s="3" t="e">
        <f>_xlfn.XLOOKUP(K561,工作表1!A:A,工作表1!C:C)</f>
        <v>#N/A</v>
      </c>
      <c r="AK561" s="3"/>
      <c r="AL561" s="6">
        <f t="shared" si="125"/>
        <v>0</v>
      </c>
      <c r="AM561" s="6">
        <f t="shared" si="126"/>
        <v>0</v>
      </c>
      <c r="AN561" s="6">
        <f t="shared" si="127"/>
        <v>0</v>
      </c>
      <c r="AO561" s="6">
        <f t="shared" si="128"/>
        <v>0</v>
      </c>
      <c r="AP561" s="6">
        <f t="shared" si="129"/>
        <v>0</v>
      </c>
      <c r="AQ561" s="6">
        <f t="shared" si="130"/>
        <v>0</v>
      </c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  <c r="BC561" s="6"/>
      <c r="BD561" s="6"/>
      <c r="BE561" s="6"/>
      <c r="BF561" s="6"/>
      <c r="BG561" s="6"/>
      <c r="BH561" s="6"/>
      <c r="BI561" s="6"/>
      <c r="BJ561" s="6"/>
      <c r="BK561" s="6"/>
      <c r="BL561" s="6"/>
      <c r="BM561" s="6"/>
      <c r="BN561" s="6"/>
      <c r="BO561" s="6"/>
      <c r="BP561" s="3">
        <v>2</v>
      </c>
      <c r="BQ561" s="6">
        <f t="shared" si="121"/>
        <v>0</v>
      </c>
    </row>
    <row r="562" spans="1:71" x14ac:dyDescent="0.3">
      <c r="A562" s="3" t="s">
        <v>776</v>
      </c>
      <c r="B562" s="3">
        <v>630</v>
      </c>
      <c r="C562" s="3" t="s">
        <v>926</v>
      </c>
      <c r="D562" s="3">
        <v>1</v>
      </c>
      <c r="E562" s="3" t="s">
        <v>19</v>
      </c>
      <c r="F562" s="3" t="s">
        <v>19</v>
      </c>
      <c r="G562" s="3" t="s">
        <v>19</v>
      </c>
      <c r="H562" s="3" t="s">
        <v>101</v>
      </c>
      <c r="I562" s="3"/>
      <c r="J562" s="3" t="s">
        <v>91</v>
      </c>
      <c r="K562" s="3" t="s">
        <v>927</v>
      </c>
      <c r="L562" s="3" t="s">
        <v>1468</v>
      </c>
      <c r="M562" s="3">
        <v>1</v>
      </c>
      <c r="N562" s="6"/>
      <c r="O562" s="3">
        <v>1</v>
      </c>
      <c r="P562" s="3">
        <v>1</v>
      </c>
      <c r="Q562" s="3">
        <v>1</v>
      </c>
      <c r="R562" s="3">
        <v>0</v>
      </c>
      <c r="S562" s="3">
        <v>0</v>
      </c>
      <c r="T562" s="3">
        <v>0</v>
      </c>
      <c r="U562" s="3">
        <v>0</v>
      </c>
      <c r="V562" s="3">
        <f t="shared" si="122"/>
        <v>1</v>
      </c>
      <c r="W562" s="3">
        <v>1</v>
      </c>
      <c r="X562" s="3">
        <v>0</v>
      </c>
      <c r="Y562" s="3">
        <v>0</v>
      </c>
      <c r="Z562" s="3">
        <v>0</v>
      </c>
      <c r="AA562" s="3">
        <v>0</v>
      </c>
      <c r="AB562" s="3">
        <f t="shared" si="123"/>
        <v>1</v>
      </c>
      <c r="AC562" s="6">
        <f t="shared" si="131"/>
        <v>-1</v>
      </c>
      <c r="AD562" s="6">
        <f t="shared" si="132"/>
        <v>0</v>
      </c>
      <c r="AE562" s="6">
        <f t="shared" si="133"/>
        <v>0</v>
      </c>
      <c r="AF562" s="6">
        <f t="shared" si="134"/>
        <v>0</v>
      </c>
      <c r="AG562" s="6">
        <f t="shared" si="135"/>
        <v>0</v>
      </c>
      <c r="AH562" s="6">
        <f t="shared" si="124"/>
        <v>-1</v>
      </c>
      <c r="AI562" s="3"/>
      <c r="AJ562" s="3" t="e">
        <f>_xlfn.XLOOKUP(K562,工作表1!A:A,工作表1!C:C)</f>
        <v>#N/A</v>
      </c>
      <c r="AK562" s="3"/>
      <c r="AL562" s="6">
        <f t="shared" si="125"/>
        <v>0</v>
      </c>
      <c r="AM562" s="6">
        <f t="shared" si="126"/>
        <v>0</v>
      </c>
      <c r="AN562" s="6">
        <f t="shared" si="127"/>
        <v>0</v>
      </c>
      <c r="AO562" s="6">
        <f t="shared" si="128"/>
        <v>0</v>
      </c>
      <c r="AP562" s="6">
        <f t="shared" si="129"/>
        <v>0</v>
      </c>
      <c r="AQ562" s="6">
        <f t="shared" si="130"/>
        <v>0</v>
      </c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  <c r="BC562" s="6"/>
      <c r="BD562" s="6"/>
      <c r="BE562" s="6"/>
      <c r="BF562" s="6"/>
      <c r="BG562" s="6"/>
      <c r="BH562" s="6"/>
      <c r="BI562" s="6"/>
      <c r="BJ562" s="6"/>
      <c r="BK562" s="6"/>
      <c r="BL562" s="6"/>
      <c r="BM562" s="6"/>
      <c r="BN562" s="6"/>
      <c r="BO562" s="6"/>
      <c r="BP562" s="3">
        <v>1</v>
      </c>
      <c r="BQ562" s="6">
        <f t="shared" si="121"/>
        <v>0</v>
      </c>
    </row>
    <row r="563" spans="1:71" x14ac:dyDescent="0.3">
      <c r="A563" s="3" t="s">
        <v>776</v>
      </c>
      <c r="B563" s="3">
        <v>999</v>
      </c>
      <c r="C563" s="3" t="s">
        <v>928</v>
      </c>
      <c r="D563" s="3" t="s">
        <v>19</v>
      </c>
      <c r="E563" s="3" t="s">
        <v>19</v>
      </c>
      <c r="F563" s="3" t="s">
        <v>19</v>
      </c>
      <c r="G563" s="3" t="s">
        <v>19</v>
      </c>
      <c r="H563" s="3"/>
      <c r="I563" s="3"/>
      <c r="J563" s="3" t="s">
        <v>91</v>
      </c>
      <c r="K563" s="3" t="s">
        <v>929</v>
      </c>
      <c r="L563" s="3" t="s">
        <v>24</v>
      </c>
      <c r="M563" s="3">
        <v>1</v>
      </c>
      <c r="N563" s="6"/>
      <c r="O563" s="3">
        <v>1</v>
      </c>
      <c r="P563" s="3">
        <v>1</v>
      </c>
      <c r="Q563" s="3">
        <v>1</v>
      </c>
      <c r="R563" s="3">
        <v>0</v>
      </c>
      <c r="S563" s="3">
        <v>0</v>
      </c>
      <c r="T563" s="3">
        <v>0</v>
      </c>
      <c r="U563" s="3">
        <v>0</v>
      </c>
      <c r="V563" s="3">
        <f t="shared" si="122"/>
        <v>1</v>
      </c>
      <c r="W563" s="3">
        <v>1</v>
      </c>
      <c r="X563" s="3">
        <v>0</v>
      </c>
      <c r="Y563" s="3">
        <v>0</v>
      </c>
      <c r="Z563" s="3">
        <v>0</v>
      </c>
      <c r="AA563" s="3">
        <v>0</v>
      </c>
      <c r="AB563" s="3">
        <f t="shared" si="123"/>
        <v>1</v>
      </c>
      <c r="AC563" s="6">
        <f t="shared" si="131"/>
        <v>-1</v>
      </c>
      <c r="AD563" s="6">
        <f t="shared" si="132"/>
        <v>0</v>
      </c>
      <c r="AE563" s="6">
        <f t="shared" si="133"/>
        <v>0</v>
      </c>
      <c r="AF563" s="6">
        <f t="shared" si="134"/>
        <v>0</v>
      </c>
      <c r="AG563" s="6">
        <f t="shared" si="135"/>
        <v>0</v>
      </c>
      <c r="AH563" s="6">
        <f t="shared" si="124"/>
        <v>-1</v>
      </c>
      <c r="AI563" s="3"/>
      <c r="AJ563" s="3" t="e">
        <f>_xlfn.XLOOKUP(K563,工作表1!A:A,工作表1!C:C)</f>
        <v>#N/A</v>
      </c>
      <c r="AK563" s="3"/>
      <c r="AL563" s="6">
        <f t="shared" si="125"/>
        <v>0</v>
      </c>
      <c r="AM563" s="6">
        <f t="shared" si="126"/>
        <v>0</v>
      </c>
      <c r="AN563" s="6">
        <f t="shared" si="127"/>
        <v>0</v>
      </c>
      <c r="AO563" s="6">
        <f t="shared" si="128"/>
        <v>0</v>
      </c>
      <c r="AP563" s="6">
        <f t="shared" si="129"/>
        <v>0</v>
      </c>
      <c r="AQ563" s="6">
        <f t="shared" si="130"/>
        <v>0</v>
      </c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  <c r="BC563" s="6"/>
      <c r="BD563" s="6"/>
      <c r="BE563" s="6"/>
      <c r="BF563" s="6"/>
      <c r="BG563" s="6"/>
      <c r="BH563" s="6"/>
      <c r="BI563" s="6"/>
      <c r="BJ563" s="6"/>
      <c r="BK563" s="6"/>
      <c r="BL563" s="6"/>
      <c r="BM563" s="6"/>
      <c r="BN563" s="6"/>
      <c r="BO563" s="6"/>
      <c r="BP563" s="3">
        <v>1</v>
      </c>
      <c r="BQ563" s="6">
        <f t="shared" si="121"/>
        <v>0</v>
      </c>
    </row>
    <row r="564" spans="1:71" x14ac:dyDescent="0.3">
      <c r="A564" s="3" t="s">
        <v>776</v>
      </c>
      <c r="B564" s="3">
        <v>999</v>
      </c>
      <c r="C564" s="3" t="s">
        <v>928</v>
      </c>
      <c r="D564" s="3" t="s">
        <v>19</v>
      </c>
      <c r="E564" s="3" t="s">
        <v>19</v>
      </c>
      <c r="F564" s="3" t="s">
        <v>19</v>
      </c>
      <c r="G564" s="3" t="s">
        <v>19</v>
      </c>
      <c r="H564" s="3"/>
      <c r="I564" s="3"/>
      <c r="J564" s="3" t="s">
        <v>91</v>
      </c>
      <c r="K564" s="3" t="s">
        <v>930</v>
      </c>
      <c r="L564" s="3" t="s">
        <v>24</v>
      </c>
      <c r="M564" s="3">
        <v>1</v>
      </c>
      <c r="N564" s="6"/>
      <c r="O564" s="3">
        <v>1</v>
      </c>
      <c r="P564" s="3">
        <v>1</v>
      </c>
      <c r="Q564" s="3">
        <v>1</v>
      </c>
      <c r="R564" s="3">
        <v>0</v>
      </c>
      <c r="S564" s="3">
        <v>0</v>
      </c>
      <c r="T564" s="3">
        <v>0</v>
      </c>
      <c r="U564" s="3">
        <v>0</v>
      </c>
      <c r="V564" s="3">
        <f t="shared" si="122"/>
        <v>1</v>
      </c>
      <c r="W564" s="3">
        <v>1</v>
      </c>
      <c r="X564" s="3">
        <v>0</v>
      </c>
      <c r="Y564" s="3">
        <v>0</v>
      </c>
      <c r="Z564" s="3">
        <v>0</v>
      </c>
      <c r="AA564" s="3">
        <v>0</v>
      </c>
      <c r="AB564" s="3">
        <f t="shared" si="123"/>
        <v>1</v>
      </c>
      <c r="AC564" s="6">
        <f t="shared" si="131"/>
        <v>-1</v>
      </c>
      <c r="AD564" s="6">
        <f t="shared" si="132"/>
        <v>0</v>
      </c>
      <c r="AE564" s="6">
        <f t="shared" si="133"/>
        <v>0</v>
      </c>
      <c r="AF564" s="6">
        <f t="shared" si="134"/>
        <v>0</v>
      </c>
      <c r="AG564" s="6">
        <f t="shared" si="135"/>
        <v>0</v>
      </c>
      <c r="AH564" s="6">
        <f t="shared" si="124"/>
        <v>-1</v>
      </c>
      <c r="AI564" s="3"/>
      <c r="AJ564" s="3" t="e">
        <f>_xlfn.XLOOKUP(K564,工作表1!A:A,工作表1!C:C)</f>
        <v>#N/A</v>
      </c>
      <c r="AK564" s="3"/>
      <c r="AL564" s="6">
        <f t="shared" si="125"/>
        <v>0</v>
      </c>
      <c r="AM564" s="6">
        <f t="shared" si="126"/>
        <v>0</v>
      </c>
      <c r="AN564" s="6">
        <f t="shared" si="127"/>
        <v>0</v>
      </c>
      <c r="AO564" s="6">
        <f t="shared" si="128"/>
        <v>0</v>
      </c>
      <c r="AP564" s="6">
        <f t="shared" si="129"/>
        <v>0</v>
      </c>
      <c r="AQ564" s="6">
        <f t="shared" si="130"/>
        <v>0</v>
      </c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  <c r="BC564" s="6"/>
      <c r="BD564" s="6"/>
      <c r="BE564" s="6"/>
      <c r="BF564" s="6"/>
      <c r="BG564" s="6"/>
      <c r="BH564" s="6"/>
      <c r="BI564" s="6"/>
      <c r="BJ564" s="6"/>
      <c r="BK564" s="6"/>
      <c r="BL564" s="6"/>
      <c r="BM564" s="6"/>
      <c r="BN564" s="6"/>
      <c r="BO564" s="6"/>
      <c r="BP564" s="3">
        <v>1</v>
      </c>
      <c r="BQ564" s="6">
        <f t="shared" si="121"/>
        <v>0</v>
      </c>
    </row>
    <row r="565" spans="1:71" x14ac:dyDescent="0.3">
      <c r="A565" s="3" t="s">
        <v>931</v>
      </c>
      <c r="B565" s="3">
        <v>102</v>
      </c>
      <c r="C565" s="3" t="s">
        <v>932</v>
      </c>
      <c r="D565" s="3">
        <v>10</v>
      </c>
      <c r="E565" s="3" t="s">
        <v>19</v>
      </c>
      <c r="F565" s="3" t="s">
        <v>767</v>
      </c>
      <c r="G565" s="3" t="s">
        <v>19</v>
      </c>
      <c r="H565" s="3" t="s">
        <v>933</v>
      </c>
      <c r="I565" s="3">
        <v>9.27</v>
      </c>
      <c r="J565" s="3" t="s">
        <v>22</v>
      </c>
      <c r="K565" s="3" t="s">
        <v>934</v>
      </c>
      <c r="L565" s="3" t="s">
        <v>24</v>
      </c>
      <c r="M565" s="3">
        <v>60</v>
      </c>
      <c r="N565" s="6"/>
      <c r="O565" s="3">
        <v>54.1</v>
      </c>
      <c r="P565" s="3">
        <v>54.1</v>
      </c>
      <c r="Q565" s="3">
        <v>54.1</v>
      </c>
      <c r="R565" s="3">
        <v>0</v>
      </c>
      <c r="S565" s="3">
        <v>0</v>
      </c>
      <c r="T565" s="3">
        <v>0</v>
      </c>
      <c r="U565" s="3">
        <v>0</v>
      </c>
      <c r="V565" s="3">
        <f t="shared" si="122"/>
        <v>54.1</v>
      </c>
      <c r="W565" s="3">
        <v>60</v>
      </c>
      <c r="X565" s="3">
        <v>0</v>
      </c>
      <c r="Y565" s="3">
        <v>0</v>
      </c>
      <c r="Z565" s="3">
        <v>0</v>
      </c>
      <c r="AA565" s="3">
        <v>0</v>
      </c>
      <c r="AB565" s="3">
        <f t="shared" si="123"/>
        <v>60</v>
      </c>
      <c r="AC565" s="6">
        <f t="shared" si="131"/>
        <v>-30</v>
      </c>
      <c r="AD565" s="6">
        <f t="shared" si="132"/>
        <v>0</v>
      </c>
      <c r="AE565" s="6">
        <f t="shared" si="133"/>
        <v>0</v>
      </c>
      <c r="AF565" s="6">
        <f t="shared" si="134"/>
        <v>0</v>
      </c>
      <c r="AG565" s="6">
        <f t="shared" si="135"/>
        <v>0</v>
      </c>
      <c r="AH565" s="6">
        <f t="shared" si="124"/>
        <v>-30</v>
      </c>
      <c r="AI565" s="3"/>
      <c r="AJ565" s="3" t="e">
        <f>_xlfn.XLOOKUP(K565,工作表1!A:A,工作表1!C:C)</f>
        <v>#N/A</v>
      </c>
      <c r="AK565" s="3"/>
      <c r="AL565" s="6">
        <f t="shared" si="125"/>
        <v>30</v>
      </c>
      <c r="AM565" s="6">
        <f t="shared" si="126"/>
        <v>0</v>
      </c>
      <c r="AN565" s="6">
        <f t="shared" si="127"/>
        <v>0</v>
      </c>
      <c r="AO565" s="6">
        <f t="shared" si="128"/>
        <v>0</v>
      </c>
      <c r="AP565" s="6">
        <f t="shared" si="129"/>
        <v>0</v>
      </c>
      <c r="AQ565" s="6">
        <f t="shared" si="130"/>
        <v>30</v>
      </c>
      <c r="AR565" s="6"/>
      <c r="AS565" s="6">
        <v>30</v>
      </c>
      <c r="AT565" s="6"/>
      <c r="AU565" s="6"/>
      <c r="AV565" s="6"/>
      <c r="AW565" s="6"/>
      <c r="AX565" s="6"/>
      <c r="AY565" s="6"/>
      <c r="AZ565" s="6"/>
      <c r="BA565" s="6"/>
      <c r="BB565" s="6"/>
      <c r="BC565" s="6"/>
      <c r="BD565" s="6"/>
      <c r="BE565" s="6"/>
      <c r="BF565" s="6"/>
      <c r="BG565" s="6"/>
      <c r="BH565" s="6"/>
      <c r="BI565" s="6"/>
      <c r="BJ565" s="6"/>
      <c r="BK565" s="6"/>
      <c r="BL565" s="6"/>
      <c r="BM565" s="6"/>
      <c r="BN565" s="6"/>
      <c r="BO565" s="6"/>
      <c r="BP565" s="3">
        <v>60</v>
      </c>
      <c r="BQ565" s="6">
        <f t="shared" si="121"/>
        <v>30</v>
      </c>
      <c r="BS565">
        <v>30</v>
      </c>
    </row>
    <row r="566" spans="1:71" x14ac:dyDescent="0.3">
      <c r="A566" s="3" t="s">
        <v>931</v>
      </c>
      <c r="B566" s="3">
        <v>102</v>
      </c>
      <c r="C566" s="3" t="s">
        <v>932</v>
      </c>
      <c r="D566" s="3">
        <v>8</v>
      </c>
      <c r="E566" s="3" t="s">
        <v>19</v>
      </c>
      <c r="F566" s="3" t="s">
        <v>767</v>
      </c>
      <c r="G566" s="3" t="s">
        <v>19</v>
      </c>
      <c r="H566" s="3" t="s">
        <v>935</v>
      </c>
      <c r="I566" s="3">
        <v>8.18</v>
      </c>
      <c r="J566" s="3" t="s">
        <v>22</v>
      </c>
      <c r="K566" s="3" t="s">
        <v>936</v>
      </c>
      <c r="L566" s="3" t="s">
        <v>24</v>
      </c>
      <c r="M566" s="3">
        <v>6</v>
      </c>
      <c r="N566" s="6"/>
      <c r="O566" s="3">
        <v>1</v>
      </c>
      <c r="P566" s="3">
        <v>1</v>
      </c>
      <c r="Q566" s="3">
        <v>1</v>
      </c>
      <c r="R566" s="3">
        <v>0</v>
      </c>
      <c r="S566" s="3">
        <v>0</v>
      </c>
      <c r="T566" s="3">
        <v>0</v>
      </c>
      <c r="U566" s="3">
        <v>0</v>
      </c>
      <c r="V566" s="3">
        <f t="shared" si="122"/>
        <v>1</v>
      </c>
      <c r="W566" s="3">
        <v>6</v>
      </c>
      <c r="X566" s="3">
        <v>0</v>
      </c>
      <c r="Y566" s="3">
        <v>0</v>
      </c>
      <c r="Z566" s="3">
        <v>0</v>
      </c>
      <c r="AA566" s="3">
        <v>0</v>
      </c>
      <c r="AB566" s="3">
        <f t="shared" si="123"/>
        <v>6</v>
      </c>
      <c r="AC566" s="6">
        <f t="shared" si="131"/>
        <v>0</v>
      </c>
      <c r="AD566" s="6">
        <f t="shared" si="132"/>
        <v>0</v>
      </c>
      <c r="AE566" s="6">
        <f t="shared" si="133"/>
        <v>0</v>
      </c>
      <c r="AF566" s="6">
        <f t="shared" si="134"/>
        <v>0</v>
      </c>
      <c r="AG566" s="6">
        <f t="shared" si="135"/>
        <v>0</v>
      </c>
      <c r="AH566" s="6">
        <f t="shared" si="124"/>
        <v>0</v>
      </c>
      <c r="AI566" s="3"/>
      <c r="AJ566" s="3" t="e">
        <f>_xlfn.XLOOKUP(K566,工作表1!A:A,工作表1!C:C)</f>
        <v>#N/A</v>
      </c>
      <c r="AK566" s="3"/>
      <c r="AL566" s="6">
        <f t="shared" si="125"/>
        <v>6</v>
      </c>
      <c r="AM566" s="6">
        <f t="shared" si="126"/>
        <v>0</v>
      </c>
      <c r="AN566" s="6">
        <f t="shared" si="127"/>
        <v>0</v>
      </c>
      <c r="AO566" s="6">
        <f t="shared" si="128"/>
        <v>0</v>
      </c>
      <c r="AP566" s="6">
        <f t="shared" si="129"/>
        <v>0</v>
      </c>
      <c r="AQ566" s="6">
        <f t="shared" si="130"/>
        <v>6</v>
      </c>
      <c r="AR566" s="6"/>
      <c r="AS566" s="6">
        <v>6</v>
      </c>
      <c r="AT566" s="6"/>
      <c r="AU566" s="6"/>
      <c r="AV566" s="6"/>
      <c r="AW566" s="6"/>
      <c r="AX566" s="6"/>
      <c r="AY566" s="6"/>
      <c r="AZ566" s="6"/>
      <c r="BA566" s="6"/>
      <c r="BB566" s="6"/>
      <c r="BC566" s="6"/>
      <c r="BD566" s="6"/>
      <c r="BE566" s="6"/>
      <c r="BF566" s="6"/>
      <c r="BG566" s="6"/>
      <c r="BH566" s="6"/>
      <c r="BI566" s="6"/>
      <c r="BJ566" s="6"/>
      <c r="BK566" s="6"/>
      <c r="BL566" s="6"/>
      <c r="BM566" s="6"/>
      <c r="BN566" s="6"/>
      <c r="BO566" s="6"/>
      <c r="BP566" s="3">
        <v>6</v>
      </c>
      <c r="BQ566" s="6">
        <f t="shared" si="121"/>
        <v>6</v>
      </c>
      <c r="BS566">
        <v>6</v>
      </c>
    </row>
    <row r="567" spans="1:71" x14ac:dyDescent="0.3">
      <c r="A567" s="3" t="s">
        <v>931</v>
      </c>
      <c r="B567" s="3">
        <v>102</v>
      </c>
      <c r="C567" s="3" t="s">
        <v>932</v>
      </c>
      <c r="D567" s="3">
        <v>6</v>
      </c>
      <c r="E567" s="3" t="s">
        <v>19</v>
      </c>
      <c r="F567" s="3" t="s">
        <v>767</v>
      </c>
      <c r="G567" s="3" t="s">
        <v>19</v>
      </c>
      <c r="H567" s="3" t="s">
        <v>937</v>
      </c>
      <c r="I567" s="3">
        <v>7.11</v>
      </c>
      <c r="J567" s="3" t="s">
        <v>22</v>
      </c>
      <c r="K567" s="3" t="s">
        <v>938</v>
      </c>
      <c r="L567" s="3" t="s">
        <v>24</v>
      </c>
      <c r="M567" s="3">
        <v>36</v>
      </c>
      <c r="N567" s="6"/>
      <c r="O567" s="3">
        <v>32.299999999999997</v>
      </c>
      <c r="P567" s="3">
        <v>32.42</v>
      </c>
      <c r="Q567" s="3">
        <v>32.42</v>
      </c>
      <c r="R567" s="3">
        <v>0</v>
      </c>
      <c r="S567" s="3">
        <v>0</v>
      </c>
      <c r="T567" s="3">
        <v>0</v>
      </c>
      <c r="U567" s="3">
        <v>0</v>
      </c>
      <c r="V567" s="3">
        <f t="shared" si="122"/>
        <v>32.42</v>
      </c>
      <c r="W567" s="3">
        <v>36</v>
      </c>
      <c r="X567" s="3">
        <v>0</v>
      </c>
      <c r="Y567" s="3">
        <v>0</v>
      </c>
      <c r="Z567" s="3">
        <v>0</v>
      </c>
      <c r="AA567" s="3">
        <v>0</v>
      </c>
      <c r="AB567" s="3">
        <f t="shared" si="123"/>
        <v>36</v>
      </c>
      <c r="AC567" s="6">
        <f t="shared" si="131"/>
        <v>0</v>
      </c>
      <c r="AD567" s="6">
        <f t="shared" si="132"/>
        <v>0</v>
      </c>
      <c r="AE567" s="6">
        <f t="shared" si="133"/>
        <v>0</v>
      </c>
      <c r="AF567" s="6">
        <f t="shared" si="134"/>
        <v>0</v>
      </c>
      <c r="AG567" s="6">
        <f t="shared" si="135"/>
        <v>0</v>
      </c>
      <c r="AH567" s="6">
        <f t="shared" si="124"/>
        <v>0</v>
      </c>
      <c r="AI567" s="3"/>
      <c r="AJ567" s="3" t="e">
        <f>_xlfn.XLOOKUP(K567,工作表1!A:A,工作表1!C:C)</f>
        <v>#N/A</v>
      </c>
      <c r="AK567" s="3"/>
      <c r="AL567" s="6">
        <f t="shared" si="125"/>
        <v>36</v>
      </c>
      <c r="AM567" s="6">
        <f t="shared" si="126"/>
        <v>0</v>
      </c>
      <c r="AN567" s="6">
        <f t="shared" si="127"/>
        <v>0</v>
      </c>
      <c r="AO567" s="6">
        <f t="shared" si="128"/>
        <v>0</v>
      </c>
      <c r="AP567" s="6">
        <f t="shared" si="129"/>
        <v>0</v>
      </c>
      <c r="AQ567" s="6">
        <f t="shared" si="130"/>
        <v>36</v>
      </c>
      <c r="AR567" s="6"/>
      <c r="AS567" s="6">
        <v>36</v>
      </c>
      <c r="AT567" s="6"/>
      <c r="AU567" s="6"/>
      <c r="AV567" s="6"/>
      <c r="AW567" s="6"/>
      <c r="AX567" s="6"/>
      <c r="AY567" s="6"/>
      <c r="AZ567" s="6"/>
      <c r="BA567" s="6"/>
      <c r="BB567" s="6"/>
      <c r="BC567" s="6"/>
      <c r="BD567" s="6"/>
      <c r="BE567" s="6"/>
      <c r="BF567" s="6"/>
      <c r="BG567" s="6"/>
      <c r="BH567" s="6"/>
      <c r="BI567" s="6"/>
      <c r="BJ567" s="6"/>
      <c r="BK567" s="6"/>
      <c r="BL567" s="6"/>
      <c r="BM567" s="6"/>
      <c r="BN567" s="6"/>
      <c r="BO567" s="6"/>
      <c r="BP567" s="5">
        <v>36</v>
      </c>
      <c r="BQ567" s="6">
        <f t="shared" si="121"/>
        <v>36</v>
      </c>
      <c r="BS567">
        <v>36</v>
      </c>
    </row>
    <row r="568" spans="1:71" x14ac:dyDescent="0.3">
      <c r="A568" s="3" t="s">
        <v>931</v>
      </c>
      <c r="B568" s="3">
        <v>102</v>
      </c>
      <c r="C568" s="3" t="s">
        <v>932</v>
      </c>
      <c r="D568" s="3">
        <v>4</v>
      </c>
      <c r="E568" s="3" t="s">
        <v>19</v>
      </c>
      <c r="F568" s="3" t="s">
        <v>767</v>
      </c>
      <c r="G568" s="3" t="s">
        <v>19</v>
      </c>
      <c r="H568" s="3" t="s">
        <v>785</v>
      </c>
      <c r="I568" s="3">
        <v>6.02</v>
      </c>
      <c r="J568" s="3" t="s">
        <v>22</v>
      </c>
      <c r="K568" s="3" t="s">
        <v>939</v>
      </c>
      <c r="L568" s="3" t="s">
        <v>24</v>
      </c>
      <c r="M568" s="3">
        <v>30</v>
      </c>
      <c r="N568" s="6"/>
      <c r="O568" s="3">
        <v>28.4</v>
      </c>
      <c r="P568" s="3">
        <v>28.52</v>
      </c>
      <c r="Q568" s="3">
        <v>28.52</v>
      </c>
      <c r="R568" s="3">
        <v>0</v>
      </c>
      <c r="S568" s="3">
        <v>0</v>
      </c>
      <c r="T568" s="3">
        <v>0</v>
      </c>
      <c r="U568" s="3">
        <v>0</v>
      </c>
      <c r="V568" s="3">
        <f t="shared" si="122"/>
        <v>28.52</v>
      </c>
      <c r="W568" s="3">
        <v>36</v>
      </c>
      <c r="X568" s="3">
        <v>0</v>
      </c>
      <c r="Y568" s="3">
        <v>0</v>
      </c>
      <c r="Z568" s="3">
        <v>0</v>
      </c>
      <c r="AA568" s="3">
        <v>0</v>
      </c>
      <c r="AB568" s="3">
        <f t="shared" si="123"/>
        <v>36</v>
      </c>
      <c r="AC568" s="6">
        <f t="shared" si="131"/>
        <v>-6</v>
      </c>
      <c r="AD568" s="6">
        <f t="shared" si="132"/>
        <v>0</v>
      </c>
      <c r="AE568" s="6">
        <f t="shared" si="133"/>
        <v>0</v>
      </c>
      <c r="AF568" s="6">
        <f t="shared" si="134"/>
        <v>0</v>
      </c>
      <c r="AG568" s="6">
        <f t="shared" si="135"/>
        <v>0</v>
      </c>
      <c r="AH568" s="6">
        <f t="shared" si="124"/>
        <v>-6</v>
      </c>
      <c r="AI568" s="3"/>
      <c r="AJ568" s="3" t="e">
        <f>_xlfn.XLOOKUP(K568,工作表1!A:A,工作表1!C:C)</f>
        <v>#N/A</v>
      </c>
      <c r="AK568" s="3"/>
      <c r="AL568" s="6">
        <f t="shared" si="125"/>
        <v>30</v>
      </c>
      <c r="AM568" s="6">
        <f t="shared" si="126"/>
        <v>0</v>
      </c>
      <c r="AN568" s="6">
        <f t="shared" si="127"/>
        <v>0</v>
      </c>
      <c r="AO568" s="6">
        <f t="shared" si="128"/>
        <v>0</v>
      </c>
      <c r="AP568" s="6">
        <f t="shared" si="129"/>
        <v>0</v>
      </c>
      <c r="AQ568" s="6">
        <f t="shared" si="130"/>
        <v>30</v>
      </c>
      <c r="AR568" s="6"/>
      <c r="AS568" s="6">
        <v>30</v>
      </c>
      <c r="AT568" s="6"/>
      <c r="AU568" s="6"/>
      <c r="AV568" s="6"/>
      <c r="AW568" s="6"/>
      <c r="AX568" s="6"/>
      <c r="AY568" s="6"/>
      <c r="AZ568" s="6"/>
      <c r="BA568" s="6"/>
      <c r="BB568" s="6"/>
      <c r="BC568" s="6"/>
      <c r="BD568" s="6"/>
      <c r="BE568" s="6"/>
      <c r="BF568" s="6"/>
      <c r="BG568" s="6"/>
      <c r="BH568" s="6"/>
      <c r="BI568" s="6"/>
      <c r="BJ568" s="6"/>
      <c r="BK568" s="6"/>
      <c r="BL568" s="6"/>
      <c r="BM568" s="6"/>
      <c r="BN568" s="6"/>
      <c r="BO568" s="6"/>
      <c r="BP568" s="3">
        <v>36</v>
      </c>
      <c r="BQ568" s="6">
        <f t="shared" si="121"/>
        <v>30</v>
      </c>
      <c r="BS568">
        <v>30</v>
      </c>
    </row>
    <row r="569" spans="1:71" x14ac:dyDescent="0.3">
      <c r="A569" s="3" t="s">
        <v>931</v>
      </c>
      <c r="B569" s="3">
        <v>102</v>
      </c>
      <c r="C569" s="3" t="s">
        <v>932</v>
      </c>
      <c r="D569" s="3">
        <v>3</v>
      </c>
      <c r="E569" s="3" t="s">
        <v>19</v>
      </c>
      <c r="F569" s="3" t="s">
        <v>767</v>
      </c>
      <c r="G569" s="3" t="s">
        <v>19</v>
      </c>
      <c r="H569" s="3" t="s">
        <v>940</v>
      </c>
      <c r="I569" s="3">
        <v>5.49</v>
      </c>
      <c r="J569" s="3" t="s">
        <v>22</v>
      </c>
      <c r="K569" s="3" t="s">
        <v>941</v>
      </c>
      <c r="L569" s="3" t="s">
        <v>24</v>
      </c>
      <c r="M569" s="3">
        <v>6</v>
      </c>
      <c r="N569" s="6"/>
      <c r="O569" s="3">
        <v>0.4</v>
      </c>
      <c r="P569" s="3">
        <v>0.4</v>
      </c>
      <c r="Q569" s="3">
        <v>0.4</v>
      </c>
      <c r="R569" s="3">
        <v>0</v>
      </c>
      <c r="S569" s="3">
        <v>0</v>
      </c>
      <c r="T569" s="3">
        <v>0</v>
      </c>
      <c r="U569" s="3">
        <v>0</v>
      </c>
      <c r="V569" s="3">
        <f t="shared" si="122"/>
        <v>0.4</v>
      </c>
      <c r="W569" s="3">
        <v>6</v>
      </c>
      <c r="X569" s="3">
        <v>0</v>
      </c>
      <c r="Y569" s="3">
        <v>0</v>
      </c>
      <c r="Z569" s="3">
        <v>0</v>
      </c>
      <c r="AA569" s="3">
        <v>0</v>
      </c>
      <c r="AB569" s="3">
        <f t="shared" si="123"/>
        <v>6</v>
      </c>
      <c r="AC569" s="6">
        <f t="shared" si="131"/>
        <v>0</v>
      </c>
      <c r="AD569" s="6">
        <f t="shared" si="132"/>
        <v>0</v>
      </c>
      <c r="AE569" s="6">
        <f t="shared" si="133"/>
        <v>0</v>
      </c>
      <c r="AF569" s="6">
        <f t="shared" si="134"/>
        <v>0</v>
      </c>
      <c r="AG569" s="6">
        <f t="shared" si="135"/>
        <v>0</v>
      </c>
      <c r="AH569" s="6">
        <f t="shared" si="124"/>
        <v>0</v>
      </c>
      <c r="AI569" s="3"/>
      <c r="AJ569" s="3" t="e">
        <f>_xlfn.XLOOKUP(K569,工作表1!A:A,工作表1!C:C)</f>
        <v>#N/A</v>
      </c>
      <c r="AK569" s="3"/>
      <c r="AL569" s="6">
        <f t="shared" si="125"/>
        <v>6</v>
      </c>
      <c r="AM569" s="6">
        <f t="shared" si="126"/>
        <v>0</v>
      </c>
      <c r="AN569" s="6">
        <f t="shared" si="127"/>
        <v>0</v>
      </c>
      <c r="AO569" s="6">
        <f t="shared" si="128"/>
        <v>0</v>
      </c>
      <c r="AP569" s="6">
        <f t="shared" si="129"/>
        <v>0</v>
      </c>
      <c r="AQ569" s="6">
        <f t="shared" si="130"/>
        <v>6</v>
      </c>
      <c r="AR569" s="6"/>
      <c r="AS569" s="6">
        <v>6</v>
      </c>
      <c r="AT569" s="6"/>
      <c r="AU569" s="6"/>
      <c r="AV569" s="6"/>
      <c r="AW569" s="6"/>
      <c r="AX569" s="6"/>
      <c r="AY569" s="6"/>
      <c r="AZ569" s="6"/>
      <c r="BA569" s="6"/>
      <c r="BB569" s="6"/>
      <c r="BC569" s="6"/>
      <c r="BD569" s="6"/>
      <c r="BE569" s="6"/>
      <c r="BF569" s="6"/>
      <c r="BG569" s="6"/>
      <c r="BH569" s="6"/>
      <c r="BI569" s="6"/>
      <c r="BJ569" s="6"/>
      <c r="BK569" s="6"/>
      <c r="BL569" s="6"/>
      <c r="BM569" s="6"/>
      <c r="BN569" s="6"/>
      <c r="BO569" s="6"/>
      <c r="BP569" s="3">
        <v>6</v>
      </c>
      <c r="BQ569" s="6">
        <f t="shared" si="121"/>
        <v>6</v>
      </c>
      <c r="BS569">
        <v>6</v>
      </c>
    </row>
    <row r="570" spans="1:71" x14ac:dyDescent="0.3">
      <c r="A570" s="3" t="s">
        <v>931</v>
      </c>
      <c r="B570" s="3">
        <v>102</v>
      </c>
      <c r="C570" s="3" t="s">
        <v>932</v>
      </c>
      <c r="D570" s="3">
        <v>2</v>
      </c>
      <c r="E570" s="3" t="s">
        <v>19</v>
      </c>
      <c r="F570" s="3" t="s">
        <v>41</v>
      </c>
      <c r="G570" s="3" t="s">
        <v>19</v>
      </c>
      <c r="H570" s="3" t="s">
        <v>54</v>
      </c>
      <c r="I570" s="3">
        <v>8.74</v>
      </c>
      <c r="J570" s="3" t="s">
        <v>22</v>
      </c>
      <c r="K570" s="3" t="s">
        <v>942</v>
      </c>
      <c r="L570" s="3" t="s">
        <v>24</v>
      </c>
      <c r="M570" s="3">
        <v>6</v>
      </c>
      <c r="N570" s="6"/>
      <c r="O570" s="3">
        <v>3.4</v>
      </c>
      <c r="P570" s="3">
        <v>3.4</v>
      </c>
      <c r="Q570" s="3">
        <v>3.4</v>
      </c>
      <c r="R570" s="3">
        <v>0</v>
      </c>
      <c r="S570" s="3">
        <v>0</v>
      </c>
      <c r="T570" s="3">
        <v>0</v>
      </c>
      <c r="U570" s="3">
        <v>0</v>
      </c>
      <c r="V570" s="3">
        <f t="shared" si="122"/>
        <v>3.4</v>
      </c>
      <c r="W570" s="3">
        <v>6</v>
      </c>
      <c r="X570" s="3">
        <v>0</v>
      </c>
      <c r="Y570" s="3">
        <v>0</v>
      </c>
      <c r="Z570" s="3">
        <v>0</v>
      </c>
      <c r="AA570" s="3">
        <v>0</v>
      </c>
      <c r="AB570" s="3">
        <f t="shared" si="123"/>
        <v>6</v>
      </c>
      <c r="AC570" s="6">
        <f t="shared" si="131"/>
        <v>0</v>
      </c>
      <c r="AD570" s="6">
        <f t="shared" si="132"/>
        <v>0</v>
      </c>
      <c r="AE570" s="6">
        <f t="shared" si="133"/>
        <v>0</v>
      </c>
      <c r="AF570" s="6">
        <f t="shared" si="134"/>
        <v>0</v>
      </c>
      <c r="AG570" s="6">
        <f t="shared" si="135"/>
        <v>0</v>
      </c>
      <c r="AH570" s="6">
        <f t="shared" si="124"/>
        <v>0</v>
      </c>
      <c r="AI570" s="3"/>
      <c r="AJ570" s="3" t="e">
        <f>_xlfn.XLOOKUP(K570,工作表1!A:A,工作表1!C:C)</f>
        <v>#N/A</v>
      </c>
      <c r="AK570" s="3"/>
      <c r="AL570" s="6">
        <f t="shared" si="125"/>
        <v>6</v>
      </c>
      <c r="AM570" s="6">
        <f t="shared" si="126"/>
        <v>0</v>
      </c>
      <c r="AN570" s="6">
        <f t="shared" si="127"/>
        <v>0</v>
      </c>
      <c r="AO570" s="6">
        <f t="shared" si="128"/>
        <v>0</v>
      </c>
      <c r="AP570" s="6">
        <f t="shared" si="129"/>
        <v>0</v>
      </c>
      <c r="AQ570" s="6">
        <f t="shared" si="130"/>
        <v>6</v>
      </c>
      <c r="AR570" s="6"/>
      <c r="AS570" s="6">
        <v>6</v>
      </c>
      <c r="AT570" s="6"/>
      <c r="AU570" s="6"/>
      <c r="AV570" s="6"/>
      <c r="AW570" s="6"/>
      <c r="AX570" s="6"/>
      <c r="AY570" s="6"/>
      <c r="AZ570" s="6"/>
      <c r="BA570" s="6"/>
      <c r="BB570" s="6"/>
      <c r="BC570" s="6"/>
      <c r="BD570" s="6"/>
      <c r="BE570" s="6"/>
      <c r="BF570" s="6"/>
      <c r="BG570" s="6"/>
      <c r="BH570" s="6"/>
      <c r="BI570" s="6"/>
      <c r="BJ570" s="6"/>
      <c r="BK570" s="6"/>
      <c r="BL570" s="6"/>
      <c r="BM570" s="6"/>
      <c r="BN570" s="6"/>
      <c r="BO570" s="6"/>
      <c r="BP570" s="3">
        <v>6</v>
      </c>
      <c r="BQ570" s="6">
        <f t="shared" si="121"/>
        <v>6</v>
      </c>
      <c r="BS570">
        <v>6</v>
      </c>
    </row>
    <row r="571" spans="1:71" x14ac:dyDescent="0.3">
      <c r="A571" s="3" t="s">
        <v>931</v>
      </c>
      <c r="B571" s="3">
        <v>102</v>
      </c>
      <c r="C571" s="3" t="s">
        <v>932</v>
      </c>
      <c r="D571" s="3">
        <v>1.5</v>
      </c>
      <c r="E571" s="3" t="s">
        <v>19</v>
      </c>
      <c r="F571" s="3" t="s">
        <v>41</v>
      </c>
      <c r="G571" s="3" t="s">
        <v>19</v>
      </c>
      <c r="H571" s="3" t="s">
        <v>57</v>
      </c>
      <c r="I571" s="3">
        <v>7.14</v>
      </c>
      <c r="J571" s="3" t="s">
        <v>22</v>
      </c>
      <c r="K571" s="3" t="s">
        <v>943</v>
      </c>
      <c r="L571" s="3" t="s">
        <v>24</v>
      </c>
      <c r="M571" s="3">
        <v>6</v>
      </c>
      <c r="N571" s="6"/>
      <c r="O571" s="3">
        <v>0.8</v>
      </c>
      <c r="P571" s="3">
        <v>0.8</v>
      </c>
      <c r="Q571" s="3">
        <v>0.8</v>
      </c>
      <c r="R571" s="3">
        <v>0</v>
      </c>
      <c r="S571" s="3">
        <v>0</v>
      </c>
      <c r="T571" s="3">
        <v>0</v>
      </c>
      <c r="U571" s="3">
        <v>0</v>
      </c>
      <c r="V571" s="3">
        <f t="shared" si="122"/>
        <v>0.8</v>
      </c>
      <c r="W571" s="3">
        <v>6</v>
      </c>
      <c r="X571" s="3">
        <v>0</v>
      </c>
      <c r="Y571" s="3">
        <v>0</v>
      </c>
      <c r="Z571" s="3">
        <v>0</v>
      </c>
      <c r="AA571" s="3">
        <v>0</v>
      </c>
      <c r="AB571" s="3">
        <f t="shared" si="123"/>
        <v>6</v>
      </c>
      <c r="AC571" s="6">
        <f t="shared" si="131"/>
        <v>0</v>
      </c>
      <c r="AD571" s="6">
        <f t="shared" si="132"/>
        <v>0</v>
      </c>
      <c r="AE571" s="6">
        <f t="shared" si="133"/>
        <v>0</v>
      </c>
      <c r="AF571" s="6">
        <f t="shared" si="134"/>
        <v>0</v>
      </c>
      <c r="AG571" s="6">
        <f t="shared" si="135"/>
        <v>0</v>
      </c>
      <c r="AH571" s="6">
        <f t="shared" si="124"/>
        <v>0</v>
      </c>
      <c r="AI571" s="3"/>
      <c r="AJ571" s="3" t="e">
        <f>_xlfn.XLOOKUP(K571,工作表1!A:A,工作表1!C:C)</f>
        <v>#N/A</v>
      </c>
      <c r="AK571" s="3"/>
      <c r="AL571" s="6">
        <f t="shared" si="125"/>
        <v>6</v>
      </c>
      <c r="AM571" s="6">
        <f t="shared" si="126"/>
        <v>0</v>
      </c>
      <c r="AN571" s="6">
        <f t="shared" si="127"/>
        <v>0</v>
      </c>
      <c r="AO571" s="6">
        <f t="shared" si="128"/>
        <v>0</v>
      </c>
      <c r="AP571" s="6">
        <f t="shared" si="129"/>
        <v>0</v>
      </c>
      <c r="AQ571" s="6">
        <f t="shared" si="130"/>
        <v>6</v>
      </c>
      <c r="AR571" s="6"/>
      <c r="AS571" s="6">
        <v>6</v>
      </c>
      <c r="AT571" s="6"/>
      <c r="AU571" s="6"/>
      <c r="AV571" s="6"/>
      <c r="AW571" s="6"/>
      <c r="AX571" s="6"/>
      <c r="AY571" s="6"/>
      <c r="AZ571" s="6"/>
      <c r="BA571" s="6"/>
      <c r="BB571" s="6"/>
      <c r="BC571" s="6"/>
      <c r="BD571" s="6"/>
      <c r="BE571" s="6"/>
      <c r="BF571" s="6"/>
      <c r="BG571" s="6"/>
      <c r="BH571" s="6"/>
      <c r="BI571" s="6"/>
      <c r="BJ571" s="6"/>
      <c r="BK571" s="6"/>
      <c r="BL571" s="6"/>
      <c r="BM571" s="6"/>
      <c r="BN571" s="6"/>
      <c r="BO571" s="6"/>
      <c r="BP571" s="3">
        <v>6</v>
      </c>
      <c r="BQ571" s="6">
        <f t="shared" si="121"/>
        <v>6</v>
      </c>
      <c r="BS571">
        <v>6</v>
      </c>
    </row>
    <row r="572" spans="1:71" x14ac:dyDescent="0.3">
      <c r="A572" s="3" t="s">
        <v>931</v>
      </c>
      <c r="B572" s="3">
        <v>102</v>
      </c>
      <c r="C572" s="3" t="s">
        <v>932</v>
      </c>
      <c r="D572" s="3">
        <v>1</v>
      </c>
      <c r="E572" s="3" t="s">
        <v>19</v>
      </c>
      <c r="F572" s="3" t="s">
        <v>41</v>
      </c>
      <c r="G572" s="3" t="s">
        <v>19</v>
      </c>
      <c r="H572" s="3" t="s">
        <v>59</v>
      </c>
      <c r="I572" s="3">
        <v>6.35</v>
      </c>
      <c r="J572" s="3" t="s">
        <v>22</v>
      </c>
      <c r="K572" s="3" t="s">
        <v>944</v>
      </c>
      <c r="L572" s="3" t="s">
        <v>24</v>
      </c>
      <c r="M572" s="3">
        <v>90</v>
      </c>
      <c r="N572" s="6"/>
      <c r="O572" s="3">
        <v>78.600000000000009</v>
      </c>
      <c r="P572" s="3">
        <v>78.3</v>
      </c>
      <c r="Q572" s="3">
        <v>78.3</v>
      </c>
      <c r="R572" s="3">
        <v>0</v>
      </c>
      <c r="S572" s="3">
        <v>0</v>
      </c>
      <c r="T572" s="3">
        <v>0</v>
      </c>
      <c r="U572" s="3">
        <v>0</v>
      </c>
      <c r="V572" s="3">
        <f t="shared" si="122"/>
        <v>78.3</v>
      </c>
      <c r="W572" s="3">
        <v>90</v>
      </c>
      <c r="X572" s="3">
        <v>0</v>
      </c>
      <c r="Y572" s="3">
        <v>0</v>
      </c>
      <c r="Z572" s="3">
        <v>0</v>
      </c>
      <c r="AA572" s="3">
        <v>0</v>
      </c>
      <c r="AB572" s="3">
        <f t="shared" si="123"/>
        <v>90</v>
      </c>
      <c r="AC572" s="6">
        <f t="shared" si="131"/>
        <v>-6</v>
      </c>
      <c r="AD572" s="6">
        <f t="shared" si="132"/>
        <v>0</v>
      </c>
      <c r="AE572" s="6">
        <f t="shared" si="133"/>
        <v>0</v>
      </c>
      <c r="AF572" s="6">
        <f t="shared" si="134"/>
        <v>0</v>
      </c>
      <c r="AG572" s="6">
        <f t="shared" si="135"/>
        <v>0</v>
      </c>
      <c r="AH572" s="6">
        <f t="shared" si="124"/>
        <v>-6</v>
      </c>
      <c r="AI572" s="3"/>
      <c r="AJ572" s="3" t="e">
        <f>_xlfn.XLOOKUP(K572,工作表1!A:A,工作表1!C:C)</f>
        <v>#N/A</v>
      </c>
      <c r="AK572" s="3"/>
      <c r="AL572" s="6">
        <f t="shared" si="125"/>
        <v>84</v>
      </c>
      <c r="AM572" s="6">
        <f t="shared" si="126"/>
        <v>0</v>
      </c>
      <c r="AN572" s="6">
        <f t="shared" si="127"/>
        <v>0</v>
      </c>
      <c r="AO572" s="6">
        <f t="shared" si="128"/>
        <v>0</v>
      </c>
      <c r="AP572" s="6">
        <f t="shared" si="129"/>
        <v>0</v>
      </c>
      <c r="AQ572" s="6">
        <f t="shared" si="130"/>
        <v>84</v>
      </c>
      <c r="AR572" s="6"/>
      <c r="AS572" s="6">
        <v>84</v>
      </c>
      <c r="AT572" s="6"/>
      <c r="AU572" s="6"/>
      <c r="AV572" s="6"/>
      <c r="AW572" s="6"/>
      <c r="AX572" s="6"/>
      <c r="AY572" s="6"/>
      <c r="AZ572" s="6"/>
      <c r="BA572" s="6"/>
      <c r="BB572" s="6"/>
      <c r="BC572" s="6"/>
      <c r="BD572" s="6"/>
      <c r="BE572" s="6"/>
      <c r="BF572" s="6"/>
      <c r="BG572" s="6"/>
      <c r="BH572" s="6"/>
      <c r="BI572" s="6"/>
      <c r="BJ572" s="6"/>
      <c r="BK572" s="6"/>
      <c r="BL572" s="6"/>
      <c r="BM572" s="6"/>
      <c r="BN572" s="6"/>
      <c r="BO572" s="6"/>
      <c r="BP572" s="3">
        <v>90</v>
      </c>
      <c r="BQ572" s="6">
        <f t="shared" si="121"/>
        <v>84</v>
      </c>
      <c r="BS572">
        <v>84</v>
      </c>
    </row>
    <row r="573" spans="1:71" x14ac:dyDescent="0.3">
      <c r="A573" s="3" t="s">
        <v>931</v>
      </c>
      <c r="B573" s="3">
        <v>102</v>
      </c>
      <c r="C573" s="3" t="s">
        <v>932</v>
      </c>
      <c r="D573" s="3">
        <v>0.75</v>
      </c>
      <c r="E573" s="3" t="s">
        <v>19</v>
      </c>
      <c r="F573" s="3" t="s">
        <v>41</v>
      </c>
      <c r="G573" s="3" t="s">
        <v>19</v>
      </c>
      <c r="H573" s="3" t="s">
        <v>61</v>
      </c>
      <c r="I573" s="3">
        <v>5.56</v>
      </c>
      <c r="J573" s="3" t="s">
        <v>22</v>
      </c>
      <c r="K573" s="3" t="s">
        <v>945</v>
      </c>
      <c r="L573" s="3" t="s">
        <v>24</v>
      </c>
      <c r="M573" s="3">
        <v>612</v>
      </c>
      <c r="N573" s="6"/>
      <c r="O573" s="3">
        <v>110.9</v>
      </c>
      <c r="P573" s="3">
        <v>110.9</v>
      </c>
      <c r="Q573" s="3">
        <v>110.9</v>
      </c>
      <c r="R573" s="3">
        <v>0</v>
      </c>
      <c r="S573" s="3">
        <v>0</v>
      </c>
      <c r="T573" s="3">
        <v>0</v>
      </c>
      <c r="U573" s="3">
        <v>0</v>
      </c>
      <c r="V573" s="3">
        <f t="shared" si="122"/>
        <v>110.9</v>
      </c>
      <c r="W573" s="3">
        <v>126</v>
      </c>
      <c r="X573" s="3">
        <v>0</v>
      </c>
      <c r="Y573" s="3">
        <v>0</v>
      </c>
      <c r="Z573" s="3">
        <v>0</v>
      </c>
      <c r="AA573" s="3">
        <v>0</v>
      </c>
      <c r="AB573" s="3">
        <f t="shared" si="123"/>
        <v>126</v>
      </c>
      <c r="AC573" s="6">
        <f t="shared" si="131"/>
        <v>-6</v>
      </c>
      <c r="AD573" s="6">
        <f t="shared" si="132"/>
        <v>0</v>
      </c>
      <c r="AE573" s="6">
        <f t="shared" si="133"/>
        <v>0</v>
      </c>
      <c r="AF573" s="6">
        <f t="shared" si="134"/>
        <v>0</v>
      </c>
      <c r="AG573" s="6">
        <f t="shared" si="135"/>
        <v>0</v>
      </c>
      <c r="AH573" s="6">
        <f t="shared" si="124"/>
        <v>-6</v>
      </c>
      <c r="AI573" s="3"/>
      <c r="AJ573" s="3" t="e">
        <f>_xlfn.XLOOKUP(K573,工作表1!A:A,工作表1!C:C)</f>
        <v>#N/A</v>
      </c>
      <c r="AK573" s="3"/>
      <c r="AL573" s="6">
        <f t="shared" si="125"/>
        <v>120</v>
      </c>
      <c r="AM573" s="6">
        <f t="shared" si="126"/>
        <v>0</v>
      </c>
      <c r="AN573" s="6">
        <f t="shared" si="127"/>
        <v>0</v>
      </c>
      <c r="AO573" s="6">
        <f t="shared" si="128"/>
        <v>0</v>
      </c>
      <c r="AP573" s="6">
        <f t="shared" si="129"/>
        <v>0</v>
      </c>
      <c r="AQ573" s="6">
        <f t="shared" si="130"/>
        <v>120</v>
      </c>
      <c r="AR573" s="6"/>
      <c r="AS573" s="6">
        <v>120</v>
      </c>
      <c r="AT573" s="6"/>
      <c r="AU573" s="6"/>
      <c r="AV573" s="6"/>
      <c r="AW573" s="6"/>
      <c r="AX573" s="6"/>
      <c r="AY573" s="6"/>
      <c r="AZ573" s="6"/>
      <c r="BA573" s="6"/>
      <c r="BB573" s="6"/>
      <c r="BC573" s="6"/>
      <c r="BD573" s="6"/>
      <c r="BE573" s="6"/>
      <c r="BF573" s="6"/>
      <c r="BG573" s="6"/>
      <c r="BH573" s="6"/>
      <c r="BI573" s="6"/>
      <c r="BJ573" s="6"/>
      <c r="BK573" s="6"/>
      <c r="BL573" s="6"/>
      <c r="BM573" s="6"/>
      <c r="BN573" s="6"/>
      <c r="BO573" s="6"/>
      <c r="BP573" s="3">
        <v>126</v>
      </c>
      <c r="BQ573" s="6">
        <f t="shared" si="121"/>
        <v>120</v>
      </c>
      <c r="BS573">
        <v>120</v>
      </c>
    </row>
    <row r="574" spans="1:71" x14ac:dyDescent="0.3">
      <c r="A574" s="3" t="s">
        <v>931</v>
      </c>
      <c r="B574" s="3">
        <v>102</v>
      </c>
      <c r="C574" s="3" t="s">
        <v>932</v>
      </c>
      <c r="D574" s="3">
        <v>0.5</v>
      </c>
      <c r="E574" s="3" t="s">
        <v>19</v>
      </c>
      <c r="F574" s="3" t="s">
        <v>25</v>
      </c>
      <c r="G574" s="3" t="s">
        <v>19</v>
      </c>
      <c r="H574" s="3" t="s">
        <v>81</v>
      </c>
      <c r="I574" s="3">
        <v>3.73</v>
      </c>
      <c r="J574" s="3" t="s">
        <v>22</v>
      </c>
      <c r="K574" s="3" t="s">
        <v>946</v>
      </c>
      <c r="L574" s="3" t="s">
        <v>24</v>
      </c>
      <c r="M574" s="3">
        <v>108</v>
      </c>
      <c r="N574" s="6"/>
      <c r="O574" s="3">
        <v>0.4</v>
      </c>
      <c r="P574" s="3">
        <v>0.4</v>
      </c>
      <c r="Q574" s="3">
        <v>0.4</v>
      </c>
      <c r="R574" s="3">
        <v>0</v>
      </c>
      <c r="S574" s="3">
        <v>0</v>
      </c>
      <c r="T574" s="3">
        <v>0</v>
      </c>
      <c r="U574" s="3">
        <v>0</v>
      </c>
      <c r="V574" s="3">
        <f t="shared" si="122"/>
        <v>0.4</v>
      </c>
      <c r="W574" s="3">
        <v>6</v>
      </c>
      <c r="X574" s="3">
        <v>0</v>
      </c>
      <c r="Y574" s="3">
        <v>0</v>
      </c>
      <c r="Z574" s="3">
        <v>0</v>
      </c>
      <c r="AA574" s="3">
        <v>0</v>
      </c>
      <c r="AB574" s="3">
        <f t="shared" si="123"/>
        <v>6</v>
      </c>
      <c r="AC574" s="6">
        <f t="shared" si="131"/>
        <v>0</v>
      </c>
      <c r="AD574" s="6">
        <f t="shared" si="132"/>
        <v>0</v>
      </c>
      <c r="AE574" s="6">
        <f t="shared" si="133"/>
        <v>0</v>
      </c>
      <c r="AF574" s="6">
        <f t="shared" si="134"/>
        <v>0</v>
      </c>
      <c r="AG574" s="6">
        <f t="shared" si="135"/>
        <v>0</v>
      </c>
      <c r="AH574" s="6">
        <f t="shared" si="124"/>
        <v>0</v>
      </c>
      <c r="AI574" s="3"/>
      <c r="AJ574" s="3" t="e">
        <f>_xlfn.XLOOKUP(K574,工作表1!A:A,工作表1!C:C)</f>
        <v>#N/A</v>
      </c>
      <c r="AK574" s="3"/>
      <c r="AL574" s="6">
        <f t="shared" si="125"/>
        <v>6</v>
      </c>
      <c r="AM574" s="6">
        <f t="shared" si="126"/>
        <v>0</v>
      </c>
      <c r="AN574" s="6">
        <f t="shared" si="127"/>
        <v>0</v>
      </c>
      <c r="AO574" s="6">
        <f t="shared" si="128"/>
        <v>0</v>
      </c>
      <c r="AP574" s="6">
        <f t="shared" si="129"/>
        <v>0</v>
      </c>
      <c r="AQ574" s="6">
        <f t="shared" si="130"/>
        <v>6</v>
      </c>
      <c r="AR574" s="6"/>
      <c r="AS574" s="6">
        <v>6</v>
      </c>
      <c r="AT574" s="6"/>
      <c r="AU574" s="6"/>
      <c r="AV574" s="6"/>
      <c r="AW574" s="6"/>
      <c r="AX574" s="6"/>
      <c r="AY574" s="6"/>
      <c r="AZ574" s="6"/>
      <c r="BA574" s="6"/>
      <c r="BB574" s="6"/>
      <c r="BC574" s="6"/>
      <c r="BD574" s="6"/>
      <c r="BE574" s="6"/>
      <c r="BF574" s="6"/>
      <c r="BG574" s="6"/>
      <c r="BH574" s="6"/>
      <c r="BI574" s="6"/>
      <c r="BJ574" s="6"/>
      <c r="BK574" s="6"/>
      <c r="BL574" s="6"/>
      <c r="BM574" s="6"/>
      <c r="BN574" s="6"/>
      <c r="BO574" s="6"/>
      <c r="BP574" s="3">
        <v>6</v>
      </c>
      <c r="BQ574" s="6">
        <f t="shared" si="121"/>
        <v>6</v>
      </c>
      <c r="BS574">
        <v>6</v>
      </c>
    </row>
    <row r="575" spans="1:71" x14ac:dyDescent="0.3">
      <c r="A575" s="3" t="s">
        <v>931</v>
      </c>
      <c r="B575" s="3">
        <v>102</v>
      </c>
      <c r="C575" s="3" t="s">
        <v>947</v>
      </c>
      <c r="D575" s="3">
        <v>14</v>
      </c>
      <c r="E575" s="3" t="s">
        <v>19</v>
      </c>
      <c r="F575" s="3" t="s">
        <v>41</v>
      </c>
      <c r="G575" s="3" t="s">
        <v>19</v>
      </c>
      <c r="H575" s="3" t="s">
        <v>948</v>
      </c>
      <c r="I575" s="3">
        <v>35.71</v>
      </c>
      <c r="J575" s="3" t="s">
        <v>22</v>
      </c>
      <c r="K575" s="3" t="s">
        <v>1508</v>
      </c>
      <c r="L575" s="3" t="s">
        <v>24</v>
      </c>
      <c r="M575" s="3">
        <v>48</v>
      </c>
      <c r="N575" s="6"/>
      <c r="O575" s="3">
        <v>45.999999999999993</v>
      </c>
      <c r="P575" s="3">
        <v>46</v>
      </c>
      <c r="Q575" s="3">
        <v>46</v>
      </c>
      <c r="R575" s="3">
        <v>0</v>
      </c>
      <c r="S575" s="3">
        <v>0</v>
      </c>
      <c r="T575" s="3">
        <v>0</v>
      </c>
      <c r="U575" s="3">
        <v>0</v>
      </c>
      <c r="V575" s="3">
        <f t="shared" si="122"/>
        <v>46</v>
      </c>
      <c r="W575" s="3">
        <v>54</v>
      </c>
      <c r="X575" s="3">
        <v>0</v>
      </c>
      <c r="Y575" s="3">
        <v>0</v>
      </c>
      <c r="Z575" s="3">
        <v>0</v>
      </c>
      <c r="AA575" s="3">
        <v>0</v>
      </c>
      <c r="AB575" s="3">
        <f t="shared" si="123"/>
        <v>54</v>
      </c>
      <c r="AC575" s="6">
        <f t="shared" si="131"/>
        <v>-6</v>
      </c>
      <c r="AD575" s="6">
        <f t="shared" si="132"/>
        <v>0</v>
      </c>
      <c r="AE575" s="6">
        <f t="shared" si="133"/>
        <v>0</v>
      </c>
      <c r="AF575" s="6">
        <f t="shared" si="134"/>
        <v>0</v>
      </c>
      <c r="AG575" s="6">
        <f t="shared" si="135"/>
        <v>0</v>
      </c>
      <c r="AH575" s="6">
        <f t="shared" si="124"/>
        <v>-6</v>
      </c>
      <c r="AI575" s="3"/>
      <c r="AJ575" s="3" t="e">
        <f>_xlfn.XLOOKUP(K575,工作表1!A:A,工作表1!C:C)</f>
        <v>#N/A</v>
      </c>
      <c r="AK575" s="3"/>
      <c r="AL575" s="6">
        <f t="shared" si="125"/>
        <v>48</v>
      </c>
      <c r="AM575" s="6">
        <f t="shared" si="126"/>
        <v>0</v>
      </c>
      <c r="AN575" s="6">
        <f t="shared" si="127"/>
        <v>0</v>
      </c>
      <c r="AO575" s="6">
        <f t="shared" si="128"/>
        <v>0</v>
      </c>
      <c r="AP575" s="6">
        <f t="shared" si="129"/>
        <v>0</v>
      </c>
      <c r="AQ575" s="6">
        <f t="shared" si="130"/>
        <v>48</v>
      </c>
      <c r="AR575" s="6"/>
      <c r="AS575" s="6">
        <v>48</v>
      </c>
      <c r="AT575" s="6"/>
      <c r="AU575" s="6"/>
      <c r="AV575" s="6"/>
      <c r="AW575" s="6"/>
      <c r="AX575" s="6"/>
      <c r="AY575" s="6"/>
      <c r="AZ575" s="6"/>
      <c r="BA575" s="6"/>
      <c r="BB575" s="6"/>
      <c r="BC575" s="6"/>
      <c r="BD575" s="6"/>
      <c r="BE575" s="6"/>
      <c r="BF575" s="6"/>
      <c r="BG575" s="6"/>
      <c r="BH575" s="6"/>
      <c r="BI575" s="6"/>
      <c r="BJ575" s="6"/>
      <c r="BK575" s="6"/>
      <c r="BL575" s="6"/>
      <c r="BM575" s="6"/>
      <c r="BN575" s="6"/>
      <c r="BO575" s="6"/>
      <c r="BP575" s="3">
        <v>54</v>
      </c>
      <c r="BQ575" s="6">
        <f t="shared" si="121"/>
        <v>48</v>
      </c>
      <c r="BS575">
        <v>48</v>
      </c>
    </row>
    <row r="576" spans="1:71" x14ac:dyDescent="0.3">
      <c r="A576" s="3" t="s">
        <v>931</v>
      </c>
      <c r="B576" s="3">
        <v>102</v>
      </c>
      <c r="C576" s="3" t="s">
        <v>947</v>
      </c>
      <c r="D576" s="3">
        <v>12</v>
      </c>
      <c r="E576" s="3" t="s">
        <v>19</v>
      </c>
      <c r="F576" s="3" t="s">
        <v>41</v>
      </c>
      <c r="G576" s="3" t="s">
        <v>19</v>
      </c>
      <c r="H576" s="3" t="s">
        <v>949</v>
      </c>
      <c r="I576" s="3">
        <v>33.32</v>
      </c>
      <c r="J576" s="3" t="s">
        <v>22</v>
      </c>
      <c r="K576" s="3" t="s">
        <v>1507</v>
      </c>
      <c r="L576" s="3" t="s">
        <v>24</v>
      </c>
      <c r="M576" s="3">
        <v>42</v>
      </c>
      <c r="N576" s="6"/>
      <c r="O576" s="3">
        <v>38.200000000000003</v>
      </c>
      <c r="P576" s="3">
        <v>38.200000000000003</v>
      </c>
      <c r="Q576" s="3">
        <v>38.200000000000003</v>
      </c>
      <c r="R576" s="3">
        <v>0</v>
      </c>
      <c r="S576" s="3">
        <v>0</v>
      </c>
      <c r="T576" s="3">
        <v>0</v>
      </c>
      <c r="U576" s="3">
        <v>0</v>
      </c>
      <c r="V576" s="3">
        <f t="shared" si="122"/>
        <v>38.200000000000003</v>
      </c>
      <c r="W576" s="3">
        <v>48</v>
      </c>
      <c r="X576" s="3">
        <v>0</v>
      </c>
      <c r="Y576" s="3">
        <v>0</v>
      </c>
      <c r="Z576" s="3">
        <v>0</v>
      </c>
      <c r="AA576" s="3">
        <v>0</v>
      </c>
      <c r="AB576" s="3">
        <f t="shared" si="123"/>
        <v>48</v>
      </c>
      <c r="AC576" s="6">
        <f t="shared" si="131"/>
        <v>-6</v>
      </c>
      <c r="AD576" s="6">
        <f t="shared" si="132"/>
        <v>0</v>
      </c>
      <c r="AE576" s="6">
        <f t="shared" si="133"/>
        <v>0</v>
      </c>
      <c r="AF576" s="6">
        <f t="shared" si="134"/>
        <v>0</v>
      </c>
      <c r="AG576" s="6">
        <f t="shared" si="135"/>
        <v>0</v>
      </c>
      <c r="AH576" s="6">
        <f t="shared" si="124"/>
        <v>-6</v>
      </c>
      <c r="AI576" s="3"/>
      <c r="AJ576" s="3" t="e">
        <f>_xlfn.XLOOKUP(K576,工作表1!A:A,工作表1!C:C)</f>
        <v>#N/A</v>
      </c>
      <c r="AK576" s="3"/>
      <c r="AL576" s="6">
        <f t="shared" si="125"/>
        <v>42</v>
      </c>
      <c r="AM576" s="6">
        <f t="shared" si="126"/>
        <v>0</v>
      </c>
      <c r="AN576" s="6">
        <f t="shared" si="127"/>
        <v>0</v>
      </c>
      <c r="AO576" s="6">
        <f t="shared" si="128"/>
        <v>0</v>
      </c>
      <c r="AP576" s="6">
        <f t="shared" si="129"/>
        <v>0</v>
      </c>
      <c r="AQ576" s="6">
        <f t="shared" si="130"/>
        <v>42</v>
      </c>
      <c r="AR576" s="6"/>
      <c r="AS576" s="6">
        <v>42</v>
      </c>
      <c r="AT576" s="6"/>
      <c r="AU576" s="6"/>
      <c r="AV576" s="6"/>
      <c r="AW576" s="6"/>
      <c r="AX576" s="6"/>
      <c r="AY576" s="6"/>
      <c r="AZ576" s="6"/>
      <c r="BA576" s="6"/>
      <c r="BB576" s="6"/>
      <c r="BC576" s="6"/>
      <c r="BD576" s="6"/>
      <c r="BE576" s="6"/>
      <c r="BF576" s="6"/>
      <c r="BG576" s="6"/>
      <c r="BH576" s="6"/>
      <c r="BI576" s="6"/>
      <c r="BJ576" s="6"/>
      <c r="BK576" s="6"/>
      <c r="BL576" s="6"/>
      <c r="BM576" s="6"/>
      <c r="BN576" s="6"/>
      <c r="BO576" s="6"/>
      <c r="BP576" s="3">
        <v>48</v>
      </c>
      <c r="BQ576" s="6">
        <f t="shared" si="121"/>
        <v>42</v>
      </c>
      <c r="BS576">
        <v>42</v>
      </c>
    </row>
    <row r="577" spans="1:74" x14ac:dyDescent="0.3">
      <c r="A577" s="3" t="s">
        <v>931</v>
      </c>
      <c r="B577" s="3">
        <v>102</v>
      </c>
      <c r="C577" s="3" t="s">
        <v>947</v>
      </c>
      <c r="D577" s="3">
        <v>10</v>
      </c>
      <c r="E577" s="3" t="s">
        <v>19</v>
      </c>
      <c r="F577" s="3" t="s">
        <v>41</v>
      </c>
      <c r="G577" s="3" t="s">
        <v>19</v>
      </c>
      <c r="H577" s="3" t="s">
        <v>950</v>
      </c>
      <c r="I577" s="3">
        <v>28.58</v>
      </c>
      <c r="J577" s="3" t="s">
        <v>22</v>
      </c>
      <c r="K577" s="3" t="s">
        <v>951</v>
      </c>
      <c r="L577" s="3" t="s">
        <v>24</v>
      </c>
      <c r="M577" s="3">
        <v>18</v>
      </c>
      <c r="N577" s="6"/>
      <c r="O577" s="3">
        <v>13.799999999999999</v>
      </c>
      <c r="P577" s="3">
        <v>13.799999999999999</v>
      </c>
      <c r="Q577" s="3">
        <v>13.799999999999999</v>
      </c>
      <c r="R577" s="3">
        <v>0</v>
      </c>
      <c r="S577" s="3">
        <v>0</v>
      </c>
      <c r="T577" s="3">
        <v>0</v>
      </c>
      <c r="U577" s="3">
        <v>0</v>
      </c>
      <c r="V577" s="3">
        <f t="shared" si="122"/>
        <v>13.799999999999999</v>
      </c>
      <c r="W577" s="3">
        <v>18</v>
      </c>
      <c r="X577" s="3">
        <v>0</v>
      </c>
      <c r="Y577" s="3">
        <v>0</v>
      </c>
      <c r="Z577" s="3">
        <v>0</v>
      </c>
      <c r="AA577" s="3">
        <v>0</v>
      </c>
      <c r="AB577" s="3">
        <f t="shared" si="123"/>
        <v>18</v>
      </c>
      <c r="AC577" s="6">
        <f t="shared" si="131"/>
        <v>0</v>
      </c>
      <c r="AD577" s="6">
        <f t="shared" si="132"/>
        <v>0</v>
      </c>
      <c r="AE577" s="6">
        <f t="shared" si="133"/>
        <v>0</v>
      </c>
      <c r="AF577" s="6">
        <f t="shared" si="134"/>
        <v>0</v>
      </c>
      <c r="AG577" s="6">
        <f t="shared" si="135"/>
        <v>0</v>
      </c>
      <c r="AH577" s="6">
        <f t="shared" si="124"/>
        <v>0</v>
      </c>
      <c r="AI577" s="3"/>
      <c r="AJ577" s="3" t="e">
        <f>_xlfn.XLOOKUP(K577,工作表1!A:A,工作表1!C:C)</f>
        <v>#N/A</v>
      </c>
      <c r="AK577" s="3"/>
      <c r="AL577" s="6">
        <f t="shared" si="125"/>
        <v>18</v>
      </c>
      <c r="AM577" s="6">
        <f t="shared" si="126"/>
        <v>0</v>
      </c>
      <c r="AN577" s="6">
        <f t="shared" si="127"/>
        <v>0</v>
      </c>
      <c r="AO577" s="6">
        <f t="shared" si="128"/>
        <v>0</v>
      </c>
      <c r="AP577" s="6">
        <f t="shared" si="129"/>
        <v>0</v>
      </c>
      <c r="AQ577" s="6">
        <f t="shared" si="130"/>
        <v>18</v>
      </c>
      <c r="AR577" s="6"/>
      <c r="AS577" s="6">
        <v>18</v>
      </c>
      <c r="AT577" s="6"/>
      <c r="AU577" s="6"/>
      <c r="AV577" s="6"/>
      <c r="AW577" s="6"/>
      <c r="AX577" s="6"/>
      <c r="AY577" s="6"/>
      <c r="AZ577" s="6"/>
      <c r="BA577" s="6"/>
      <c r="BB577" s="6"/>
      <c r="BC577" s="6"/>
      <c r="BD577" s="6"/>
      <c r="BE577" s="6"/>
      <c r="BF577" s="6"/>
      <c r="BG577" s="6"/>
      <c r="BH577" s="6"/>
      <c r="BI577" s="6"/>
      <c r="BJ577" s="6"/>
      <c r="BK577" s="6"/>
      <c r="BL577" s="6"/>
      <c r="BM577" s="6"/>
      <c r="BN577" s="6"/>
      <c r="BO577" s="6"/>
      <c r="BP577" s="3">
        <v>18</v>
      </c>
      <c r="BQ577" s="6">
        <f t="shared" si="121"/>
        <v>18</v>
      </c>
      <c r="BS577">
        <v>18</v>
      </c>
    </row>
    <row r="578" spans="1:74" x14ac:dyDescent="0.3">
      <c r="A578" s="3" t="s">
        <v>931</v>
      </c>
      <c r="B578" s="3">
        <v>102</v>
      </c>
      <c r="C578" s="3" t="s">
        <v>947</v>
      </c>
      <c r="D578" s="3">
        <v>8</v>
      </c>
      <c r="E578" s="3" t="s">
        <v>19</v>
      </c>
      <c r="F578" s="3" t="s">
        <v>41</v>
      </c>
      <c r="G578" s="3" t="s">
        <v>19</v>
      </c>
      <c r="H578" s="3" t="s">
        <v>952</v>
      </c>
      <c r="I578" s="3">
        <v>23.01</v>
      </c>
      <c r="J578" s="3" t="s">
        <v>22</v>
      </c>
      <c r="K578" s="3" t="s">
        <v>953</v>
      </c>
      <c r="L578" s="3" t="s">
        <v>24</v>
      </c>
      <c r="M578" s="3">
        <v>30</v>
      </c>
      <c r="N578" s="6"/>
      <c r="O578" s="3">
        <v>23.9</v>
      </c>
      <c r="P578" s="3">
        <v>23.9</v>
      </c>
      <c r="Q578" s="3">
        <v>23.9</v>
      </c>
      <c r="R578" s="3">
        <v>0</v>
      </c>
      <c r="S578" s="3">
        <v>0</v>
      </c>
      <c r="T578" s="3">
        <v>0</v>
      </c>
      <c r="U578" s="3">
        <v>0</v>
      </c>
      <c r="V578" s="3">
        <f t="shared" si="122"/>
        <v>23.9</v>
      </c>
      <c r="W578" s="3">
        <v>30</v>
      </c>
      <c r="X578" s="3">
        <v>0</v>
      </c>
      <c r="Y578" s="3">
        <v>0</v>
      </c>
      <c r="Z578" s="3">
        <v>0</v>
      </c>
      <c r="AA578" s="3">
        <v>0</v>
      </c>
      <c r="AB578" s="3">
        <f t="shared" si="123"/>
        <v>30</v>
      </c>
      <c r="AC578" s="6">
        <f t="shared" si="131"/>
        <v>-6</v>
      </c>
      <c r="AD578" s="6">
        <f t="shared" si="132"/>
        <v>0</v>
      </c>
      <c r="AE578" s="6">
        <f t="shared" si="133"/>
        <v>0</v>
      </c>
      <c r="AF578" s="6">
        <f t="shared" si="134"/>
        <v>0</v>
      </c>
      <c r="AG578" s="6">
        <f t="shared" si="135"/>
        <v>0</v>
      </c>
      <c r="AH578" s="6">
        <f t="shared" si="124"/>
        <v>-6</v>
      </c>
      <c r="AI578" s="3"/>
      <c r="AJ578" s="3" t="e">
        <f>_xlfn.XLOOKUP(K578,工作表1!A:A,工作表1!C:C)</f>
        <v>#N/A</v>
      </c>
      <c r="AK578" s="3"/>
      <c r="AL578" s="6">
        <f t="shared" si="125"/>
        <v>24</v>
      </c>
      <c r="AM578" s="6">
        <f t="shared" si="126"/>
        <v>0</v>
      </c>
      <c r="AN578" s="6">
        <f t="shared" si="127"/>
        <v>0</v>
      </c>
      <c r="AO578" s="6">
        <f t="shared" si="128"/>
        <v>0</v>
      </c>
      <c r="AP578" s="6">
        <f t="shared" si="129"/>
        <v>0</v>
      </c>
      <c r="AQ578" s="6">
        <f t="shared" si="130"/>
        <v>24</v>
      </c>
      <c r="AR578" s="6"/>
      <c r="AS578" s="6">
        <v>24</v>
      </c>
      <c r="AT578" s="6"/>
      <c r="AU578" s="6"/>
      <c r="AV578" s="6"/>
      <c r="AW578" s="6"/>
      <c r="AX578" s="6"/>
      <c r="AY578" s="6"/>
      <c r="AZ578" s="6"/>
      <c r="BA578" s="6"/>
      <c r="BB578" s="6"/>
      <c r="BC578" s="6"/>
      <c r="BD578" s="6"/>
      <c r="BE578" s="6"/>
      <c r="BF578" s="6"/>
      <c r="BG578" s="6"/>
      <c r="BH578" s="6"/>
      <c r="BI578" s="6"/>
      <c r="BJ578" s="6"/>
      <c r="BK578" s="6"/>
      <c r="BL578" s="6"/>
      <c r="BM578" s="6"/>
      <c r="BN578" s="6"/>
      <c r="BO578" s="6"/>
      <c r="BP578" s="3">
        <v>30</v>
      </c>
      <c r="BQ578" s="6">
        <f t="shared" si="121"/>
        <v>24</v>
      </c>
      <c r="BS578">
        <v>24</v>
      </c>
    </row>
    <row r="579" spans="1:74" x14ac:dyDescent="0.3">
      <c r="A579" s="3" t="s">
        <v>931</v>
      </c>
      <c r="B579" s="3">
        <v>102</v>
      </c>
      <c r="C579" s="3" t="s">
        <v>947</v>
      </c>
      <c r="D579" s="3">
        <v>6</v>
      </c>
      <c r="E579" s="3" t="s">
        <v>19</v>
      </c>
      <c r="F579" s="3" t="s">
        <v>41</v>
      </c>
      <c r="G579" s="3" t="s">
        <v>19</v>
      </c>
      <c r="H579" s="3" t="s">
        <v>42</v>
      </c>
      <c r="I579" s="3">
        <v>18.260000000000002</v>
      </c>
      <c r="J579" s="3" t="s">
        <v>22</v>
      </c>
      <c r="K579" s="3" t="s">
        <v>954</v>
      </c>
      <c r="L579" s="3" t="s">
        <v>24</v>
      </c>
      <c r="M579" s="3">
        <v>48</v>
      </c>
      <c r="N579" s="6"/>
      <c r="O579" s="3">
        <v>43.2</v>
      </c>
      <c r="P579" s="3">
        <v>43.20000000000001</v>
      </c>
      <c r="Q579" s="3">
        <v>43.20000000000001</v>
      </c>
      <c r="R579" s="3">
        <v>0</v>
      </c>
      <c r="S579" s="3">
        <v>0</v>
      </c>
      <c r="T579" s="3">
        <v>0</v>
      </c>
      <c r="U579" s="3">
        <v>0</v>
      </c>
      <c r="V579" s="3">
        <f t="shared" si="122"/>
        <v>43.20000000000001</v>
      </c>
      <c r="W579" s="3">
        <v>48</v>
      </c>
      <c r="X579" s="3">
        <v>0</v>
      </c>
      <c r="Y579" s="3">
        <v>0</v>
      </c>
      <c r="Z579" s="3">
        <v>0</v>
      </c>
      <c r="AA579" s="3">
        <v>0</v>
      </c>
      <c r="AB579" s="3">
        <f t="shared" si="123"/>
        <v>48</v>
      </c>
      <c r="AC579" s="6">
        <f t="shared" si="131"/>
        <v>0</v>
      </c>
      <c r="AD579" s="6">
        <f t="shared" si="132"/>
        <v>0</v>
      </c>
      <c r="AE579" s="6">
        <f t="shared" si="133"/>
        <v>0</v>
      </c>
      <c r="AF579" s="6">
        <f t="shared" si="134"/>
        <v>0</v>
      </c>
      <c r="AG579" s="6">
        <f t="shared" si="135"/>
        <v>0</v>
      </c>
      <c r="AH579" s="6">
        <f t="shared" si="124"/>
        <v>0</v>
      </c>
      <c r="AI579" s="3"/>
      <c r="AJ579" s="3" t="e">
        <f>_xlfn.XLOOKUP(K579,工作表1!A:A,工作表1!C:C)</f>
        <v>#N/A</v>
      </c>
      <c r="AK579" s="3"/>
      <c r="AL579" s="6">
        <f t="shared" si="125"/>
        <v>48</v>
      </c>
      <c r="AM579" s="6">
        <f t="shared" si="126"/>
        <v>0</v>
      </c>
      <c r="AN579" s="6">
        <f t="shared" si="127"/>
        <v>0</v>
      </c>
      <c r="AO579" s="6">
        <f t="shared" si="128"/>
        <v>0</v>
      </c>
      <c r="AP579" s="6">
        <f t="shared" si="129"/>
        <v>0</v>
      </c>
      <c r="AQ579" s="6">
        <f t="shared" si="130"/>
        <v>48</v>
      </c>
      <c r="AR579" s="6"/>
      <c r="AS579" s="6">
        <v>48</v>
      </c>
      <c r="AT579" s="6"/>
      <c r="AU579" s="6"/>
      <c r="AV579" s="6"/>
      <c r="AW579" s="6"/>
      <c r="AX579" s="6"/>
      <c r="AY579" s="6"/>
      <c r="AZ579" s="6"/>
      <c r="BA579" s="6"/>
      <c r="BB579" s="6"/>
      <c r="BC579" s="6"/>
      <c r="BD579" s="6"/>
      <c r="BE579" s="6"/>
      <c r="BF579" s="6"/>
      <c r="BG579" s="6"/>
      <c r="BH579" s="6"/>
      <c r="BI579" s="6"/>
      <c r="BJ579" s="6"/>
      <c r="BK579" s="6"/>
      <c r="BL579" s="6"/>
      <c r="BM579" s="6"/>
      <c r="BN579" s="6"/>
      <c r="BO579" s="6"/>
      <c r="BP579" s="3">
        <v>48</v>
      </c>
      <c r="BQ579" s="6">
        <f t="shared" si="121"/>
        <v>48</v>
      </c>
      <c r="BS579">
        <v>48</v>
      </c>
    </row>
    <row r="580" spans="1:74" x14ac:dyDescent="0.3">
      <c r="A580" s="3" t="s">
        <v>931</v>
      </c>
      <c r="B580" s="3">
        <v>102</v>
      </c>
      <c r="C580" s="3" t="s">
        <v>947</v>
      </c>
      <c r="D580" s="3">
        <v>4</v>
      </c>
      <c r="E580" s="3" t="s">
        <v>19</v>
      </c>
      <c r="F580" s="3" t="s">
        <v>41</v>
      </c>
      <c r="G580" s="3" t="s">
        <v>19</v>
      </c>
      <c r="H580" s="3" t="s">
        <v>48</v>
      </c>
      <c r="I580" s="3">
        <v>13.49</v>
      </c>
      <c r="J580" s="3" t="s">
        <v>22</v>
      </c>
      <c r="K580" s="3" t="s">
        <v>955</v>
      </c>
      <c r="L580" s="3" t="s">
        <v>24</v>
      </c>
      <c r="M580" s="3">
        <v>60</v>
      </c>
      <c r="N580" s="6"/>
      <c r="O580" s="3">
        <v>53.099999999999994</v>
      </c>
      <c r="P580" s="3">
        <v>53.099999999999987</v>
      </c>
      <c r="Q580" s="3">
        <v>53.099999999999987</v>
      </c>
      <c r="R580" s="3">
        <v>0</v>
      </c>
      <c r="S580" s="3">
        <v>0</v>
      </c>
      <c r="T580" s="3">
        <v>0</v>
      </c>
      <c r="U580" s="3">
        <v>0</v>
      </c>
      <c r="V580" s="3">
        <f t="shared" si="122"/>
        <v>53.099999999999987</v>
      </c>
      <c r="W580" s="3">
        <v>60</v>
      </c>
      <c r="X580" s="3">
        <v>0</v>
      </c>
      <c r="Y580" s="3">
        <v>0</v>
      </c>
      <c r="Z580" s="3">
        <v>0</v>
      </c>
      <c r="AA580" s="3">
        <v>0</v>
      </c>
      <c r="AB580" s="3">
        <f t="shared" si="123"/>
        <v>60</v>
      </c>
      <c r="AC580" s="6">
        <f t="shared" si="131"/>
        <v>0</v>
      </c>
      <c r="AD580" s="6">
        <f t="shared" si="132"/>
        <v>0</v>
      </c>
      <c r="AE580" s="6">
        <f t="shared" si="133"/>
        <v>0</v>
      </c>
      <c r="AF580" s="6">
        <f t="shared" si="134"/>
        <v>0</v>
      </c>
      <c r="AG580" s="6">
        <f t="shared" si="135"/>
        <v>0</v>
      </c>
      <c r="AH580" s="6">
        <f t="shared" si="124"/>
        <v>0</v>
      </c>
      <c r="AI580" s="3"/>
      <c r="AJ580" s="3" t="e">
        <f>_xlfn.XLOOKUP(K580,工作表1!A:A,工作表1!C:C)</f>
        <v>#N/A</v>
      </c>
      <c r="AK580" s="3"/>
      <c r="AL580" s="6">
        <f t="shared" si="125"/>
        <v>60</v>
      </c>
      <c r="AM580" s="6">
        <f t="shared" si="126"/>
        <v>0</v>
      </c>
      <c r="AN580" s="6">
        <f t="shared" si="127"/>
        <v>0</v>
      </c>
      <c r="AO580" s="6">
        <f t="shared" si="128"/>
        <v>0</v>
      </c>
      <c r="AP580" s="6">
        <f t="shared" si="129"/>
        <v>0</v>
      </c>
      <c r="AQ580" s="6">
        <f t="shared" si="130"/>
        <v>60</v>
      </c>
      <c r="AR580" s="6"/>
      <c r="AS580" s="6">
        <v>60</v>
      </c>
      <c r="AT580" s="6"/>
      <c r="AU580" s="6"/>
      <c r="AV580" s="6"/>
      <c r="AW580" s="6"/>
      <c r="AX580" s="6"/>
      <c r="AY580" s="6"/>
      <c r="AZ580" s="6"/>
      <c r="BA580" s="6"/>
      <c r="BB580" s="6"/>
      <c r="BC580" s="6"/>
      <c r="BD580" s="6"/>
      <c r="BE580" s="6"/>
      <c r="BF580" s="6"/>
      <c r="BG580" s="6"/>
      <c r="BH580" s="6"/>
      <c r="BI580" s="6"/>
      <c r="BJ580" s="6"/>
      <c r="BK580" s="6"/>
      <c r="BL580" s="6"/>
      <c r="BM580" s="6"/>
      <c r="BN580" s="6"/>
      <c r="BO580" s="6"/>
      <c r="BP580" s="3">
        <v>60</v>
      </c>
      <c r="BQ580" s="6">
        <f t="shared" si="121"/>
        <v>60</v>
      </c>
      <c r="BS580">
        <v>60</v>
      </c>
    </row>
    <row r="581" spans="1:74" x14ac:dyDescent="0.3">
      <c r="A581" s="3" t="s">
        <v>931</v>
      </c>
      <c r="B581" s="3">
        <v>102</v>
      </c>
      <c r="C581" s="3" t="s">
        <v>947</v>
      </c>
      <c r="D581" s="3">
        <v>3</v>
      </c>
      <c r="E581" s="3" t="s">
        <v>19</v>
      </c>
      <c r="F581" s="3" t="s">
        <v>41</v>
      </c>
      <c r="G581" s="3" t="s">
        <v>19</v>
      </c>
      <c r="H581" s="3" t="s">
        <v>51</v>
      </c>
      <c r="I581" s="3">
        <v>11.13</v>
      </c>
      <c r="J581" s="3" t="s">
        <v>22</v>
      </c>
      <c r="K581" s="3" t="s">
        <v>956</v>
      </c>
      <c r="L581" s="3" t="s">
        <v>24</v>
      </c>
      <c r="M581" s="3">
        <v>18</v>
      </c>
      <c r="N581" s="6"/>
      <c r="O581" s="3">
        <v>12.600000000000001</v>
      </c>
      <c r="P581" s="3">
        <v>12.600000000000001</v>
      </c>
      <c r="Q581" s="3">
        <v>12.600000000000001</v>
      </c>
      <c r="R581" s="3">
        <v>0</v>
      </c>
      <c r="S581" s="3">
        <v>0</v>
      </c>
      <c r="T581" s="3">
        <v>0</v>
      </c>
      <c r="U581" s="3">
        <v>0</v>
      </c>
      <c r="V581" s="3">
        <f t="shared" si="122"/>
        <v>12.600000000000001</v>
      </c>
      <c r="W581" s="3">
        <v>18</v>
      </c>
      <c r="X581" s="3">
        <v>0</v>
      </c>
      <c r="Y581" s="3">
        <v>0</v>
      </c>
      <c r="Z581" s="3">
        <v>0</v>
      </c>
      <c r="AA581" s="3">
        <v>0</v>
      </c>
      <c r="AB581" s="3">
        <f t="shared" si="123"/>
        <v>18</v>
      </c>
      <c r="AC581" s="6">
        <f t="shared" si="131"/>
        <v>0</v>
      </c>
      <c r="AD581" s="6">
        <f t="shared" si="132"/>
        <v>0</v>
      </c>
      <c r="AE581" s="6">
        <f t="shared" si="133"/>
        <v>0</v>
      </c>
      <c r="AF581" s="6">
        <f t="shared" si="134"/>
        <v>0</v>
      </c>
      <c r="AG581" s="6">
        <f t="shared" si="135"/>
        <v>0</v>
      </c>
      <c r="AH581" s="6">
        <f t="shared" si="124"/>
        <v>0</v>
      </c>
      <c r="AI581" s="3"/>
      <c r="AJ581" s="3" t="e">
        <f>_xlfn.XLOOKUP(K581,工作表1!A:A,工作表1!C:C)</f>
        <v>#N/A</v>
      </c>
      <c r="AK581" s="3"/>
      <c r="AL581" s="6">
        <f t="shared" si="125"/>
        <v>18</v>
      </c>
      <c r="AM581" s="6">
        <f t="shared" si="126"/>
        <v>0</v>
      </c>
      <c r="AN581" s="6">
        <f t="shared" si="127"/>
        <v>0</v>
      </c>
      <c r="AO581" s="6">
        <f t="shared" si="128"/>
        <v>0</v>
      </c>
      <c r="AP581" s="6">
        <f t="shared" si="129"/>
        <v>0</v>
      </c>
      <c r="AQ581" s="6">
        <f t="shared" si="130"/>
        <v>18</v>
      </c>
      <c r="AR581" s="6"/>
      <c r="AS581" s="6">
        <v>18</v>
      </c>
      <c r="AT581" s="6"/>
      <c r="AU581" s="6"/>
      <c r="AV581" s="6"/>
      <c r="AW581" s="6"/>
      <c r="AX581" s="6"/>
      <c r="AY581" s="6"/>
      <c r="AZ581" s="6"/>
      <c r="BA581" s="6"/>
      <c r="BB581" s="6"/>
      <c r="BC581" s="6"/>
      <c r="BD581" s="6"/>
      <c r="BE581" s="6"/>
      <c r="BF581" s="6"/>
      <c r="BG581" s="6"/>
      <c r="BH581" s="6"/>
      <c r="BI581" s="6"/>
      <c r="BJ581" s="6"/>
      <c r="BK581" s="6"/>
      <c r="BL581" s="6"/>
      <c r="BM581" s="6"/>
      <c r="BN581" s="6"/>
      <c r="BO581" s="6"/>
      <c r="BP581" s="3">
        <v>18</v>
      </c>
      <c r="BQ581" s="6">
        <f t="shared" si="121"/>
        <v>18</v>
      </c>
      <c r="BS581">
        <v>18</v>
      </c>
    </row>
    <row r="582" spans="1:74" x14ac:dyDescent="0.3">
      <c r="A582" s="3" t="s">
        <v>931</v>
      </c>
      <c r="B582" s="3">
        <v>102</v>
      </c>
      <c r="C582" s="3" t="s">
        <v>957</v>
      </c>
      <c r="D582" s="3">
        <v>16</v>
      </c>
      <c r="E582" s="3" t="s">
        <v>19</v>
      </c>
      <c r="F582" s="3" t="s">
        <v>41</v>
      </c>
      <c r="G582" s="3" t="s">
        <v>19</v>
      </c>
      <c r="H582" s="3" t="s">
        <v>958</v>
      </c>
      <c r="I582" s="3">
        <v>40.49</v>
      </c>
      <c r="J582" s="3" t="s">
        <v>22</v>
      </c>
      <c r="K582" s="3" t="s">
        <v>959</v>
      </c>
      <c r="L582" s="3" t="s">
        <v>24</v>
      </c>
      <c r="M582" s="3">
        <v>48</v>
      </c>
      <c r="N582" s="6"/>
      <c r="O582" s="3">
        <v>43.2</v>
      </c>
      <c r="P582" s="3">
        <v>43.2</v>
      </c>
      <c r="Q582" s="3">
        <v>43.2</v>
      </c>
      <c r="R582" s="3">
        <v>0</v>
      </c>
      <c r="S582" s="3">
        <v>0</v>
      </c>
      <c r="T582" s="3">
        <v>0</v>
      </c>
      <c r="U582" s="3">
        <v>0</v>
      </c>
      <c r="V582" s="3">
        <f t="shared" si="122"/>
        <v>43.2</v>
      </c>
      <c r="W582" s="3">
        <v>48</v>
      </c>
      <c r="X582" s="3">
        <v>0</v>
      </c>
      <c r="Y582" s="3">
        <v>0</v>
      </c>
      <c r="Z582" s="3">
        <v>0</v>
      </c>
      <c r="AA582" s="3">
        <v>0</v>
      </c>
      <c r="AB582" s="3">
        <f t="shared" si="123"/>
        <v>48</v>
      </c>
      <c r="AC582" s="6">
        <f t="shared" si="131"/>
        <v>0</v>
      </c>
      <c r="AD582" s="6">
        <f t="shared" si="132"/>
        <v>0</v>
      </c>
      <c r="AE582" s="6">
        <f t="shared" si="133"/>
        <v>0</v>
      </c>
      <c r="AF582" s="6">
        <f t="shared" si="134"/>
        <v>0</v>
      </c>
      <c r="AG582" s="6">
        <f t="shared" si="135"/>
        <v>0</v>
      </c>
      <c r="AH582" s="6">
        <f t="shared" si="124"/>
        <v>0</v>
      </c>
      <c r="AI582" s="3"/>
      <c r="AJ582" s="3" t="e">
        <f>_xlfn.XLOOKUP(K582,工作表1!A:A,工作表1!C:C)</f>
        <v>#N/A</v>
      </c>
      <c r="AK582" s="3"/>
      <c r="AL582" s="6">
        <f t="shared" si="125"/>
        <v>48</v>
      </c>
      <c r="AM582" s="6">
        <f t="shared" si="126"/>
        <v>0</v>
      </c>
      <c r="AN582" s="6">
        <f t="shared" si="127"/>
        <v>0</v>
      </c>
      <c r="AO582" s="6">
        <f t="shared" si="128"/>
        <v>0</v>
      </c>
      <c r="AP582" s="6">
        <f t="shared" si="129"/>
        <v>0</v>
      </c>
      <c r="AQ582" s="6">
        <f t="shared" si="130"/>
        <v>48</v>
      </c>
      <c r="AR582" s="6"/>
      <c r="AS582" s="6">
        <v>48</v>
      </c>
      <c r="AT582" s="6"/>
      <c r="AU582" s="6"/>
      <c r="AV582" s="6"/>
      <c r="AW582" s="6"/>
      <c r="AX582" s="6"/>
      <c r="AY582" s="6"/>
      <c r="AZ582" s="6"/>
      <c r="BA582" s="6"/>
      <c r="BB582" s="6"/>
      <c r="BC582" s="6"/>
      <c r="BD582" s="6"/>
      <c r="BE582" s="6"/>
      <c r="BF582" s="6"/>
      <c r="BG582" s="6"/>
      <c r="BH582" s="6"/>
      <c r="BI582" s="6"/>
      <c r="BJ582" s="6"/>
      <c r="BK582" s="6"/>
      <c r="BL582" s="6"/>
      <c r="BM582" s="6"/>
      <c r="BN582" s="6"/>
      <c r="BO582" s="6"/>
      <c r="BP582" s="3">
        <v>48</v>
      </c>
      <c r="BQ582" s="6">
        <f t="shared" si="121"/>
        <v>48</v>
      </c>
      <c r="BS582">
        <v>48</v>
      </c>
    </row>
    <row r="583" spans="1:74" x14ac:dyDescent="0.3">
      <c r="A583" s="3" t="s">
        <v>931</v>
      </c>
      <c r="B583" s="3">
        <v>102</v>
      </c>
      <c r="C583" s="3" t="s">
        <v>960</v>
      </c>
      <c r="D583" s="3">
        <v>2</v>
      </c>
      <c r="E583" s="3" t="s">
        <v>19</v>
      </c>
      <c r="F583" s="3" t="s">
        <v>752</v>
      </c>
      <c r="G583" s="3" t="s">
        <v>19</v>
      </c>
      <c r="H583" s="3" t="s">
        <v>790</v>
      </c>
      <c r="I583" s="3">
        <v>5.54</v>
      </c>
      <c r="J583" s="3" t="s">
        <v>22</v>
      </c>
      <c r="K583" s="3" t="s">
        <v>961</v>
      </c>
      <c r="L583" s="3" t="s">
        <v>24</v>
      </c>
      <c r="M583" s="3">
        <v>6</v>
      </c>
      <c r="N583" s="6"/>
      <c r="O583" s="3">
        <v>0.1</v>
      </c>
      <c r="P583" s="3">
        <v>0.1</v>
      </c>
      <c r="Q583" s="3">
        <v>0.1</v>
      </c>
      <c r="R583" s="3">
        <v>0</v>
      </c>
      <c r="S583" s="3">
        <v>0</v>
      </c>
      <c r="T583" s="3">
        <v>0</v>
      </c>
      <c r="U583" s="3">
        <v>0</v>
      </c>
      <c r="V583" s="3">
        <f t="shared" si="122"/>
        <v>0.1</v>
      </c>
      <c r="W583" s="3">
        <v>6</v>
      </c>
      <c r="X583" s="3">
        <v>0</v>
      </c>
      <c r="Y583" s="3">
        <v>0</v>
      </c>
      <c r="Z583" s="3">
        <v>0</v>
      </c>
      <c r="AA583" s="3">
        <v>0</v>
      </c>
      <c r="AB583" s="3">
        <f t="shared" si="123"/>
        <v>6</v>
      </c>
      <c r="AC583" s="6">
        <f t="shared" si="131"/>
        <v>0</v>
      </c>
      <c r="AD583" s="6">
        <f t="shared" si="132"/>
        <v>0</v>
      </c>
      <c r="AE583" s="6">
        <f t="shared" si="133"/>
        <v>0</v>
      </c>
      <c r="AF583" s="6">
        <f t="shared" si="134"/>
        <v>0</v>
      </c>
      <c r="AG583" s="6">
        <f t="shared" si="135"/>
        <v>0</v>
      </c>
      <c r="AH583" s="6">
        <f t="shared" si="124"/>
        <v>0</v>
      </c>
      <c r="AI583" s="3"/>
      <c r="AJ583" s="3" t="e">
        <f>_xlfn.XLOOKUP(K583,工作表1!A:A,工作表1!C:C)</f>
        <v>#N/A</v>
      </c>
      <c r="AK583" s="3"/>
      <c r="AL583" s="6">
        <f t="shared" si="125"/>
        <v>6</v>
      </c>
      <c r="AM583" s="6">
        <f t="shared" si="126"/>
        <v>0</v>
      </c>
      <c r="AN583" s="6">
        <f t="shared" si="127"/>
        <v>0</v>
      </c>
      <c r="AO583" s="6">
        <f t="shared" si="128"/>
        <v>0</v>
      </c>
      <c r="AP583" s="6">
        <f t="shared" si="129"/>
        <v>0</v>
      </c>
      <c r="AQ583" s="6">
        <f t="shared" si="130"/>
        <v>6</v>
      </c>
      <c r="AR583" s="6"/>
      <c r="AS583" s="6">
        <v>6</v>
      </c>
      <c r="AT583" s="6"/>
      <c r="AU583" s="6"/>
      <c r="AV583" s="6"/>
      <c r="AW583" s="6"/>
      <c r="AX583" s="6"/>
      <c r="AY583" s="6"/>
      <c r="AZ583" s="6"/>
      <c r="BA583" s="6"/>
      <c r="BB583" s="6"/>
      <c r="BC583" s="6"/>
      <c r="BD583" s="6"/>
      <c r="BE583" s="6"/>
      <c r="BF583" s="6"/>
      <c r="BG583" s="6"/>
      <c r="BH583" s="6"/>
      <c r="BI583" s="6"/>
      <c r="BJ583" s="6"/>
      <c r="BK583" s="6"/>
      <c r="BL583" s="6"/>
      <c r="BM583" s="6"/>
      <c r="BN583" s="6"/>
      <c r="BO583" s="6"/>
      <c r="BP583" s="3">
        <v>6</v>
      </c>
      <c r="BQ583" s="6">
        <f t="shared" ref="BQ583:BQ646" si="136">SUM(BR583:FN583)</f>
        <v>6</v>
      </c>
      <c r="BS583">
        <v>6</v>
      </c>
    </row>
    <row r="584" spans="1:74" x14ac:dyDescent="0.3">
      <c r="A584" s="3" t="s">
        <v>931</v>
      </c>
      <c r="B584" s="3">
        <v>102</v>
      </c>
      <c r="C584" s="3" t="s">
        <v>960</v>
      </c>
      <c r="D584" s="3">
        <v>1</v>
      </c>
      <c r="E584" s="3" t="s">
        <v>19</v>
      </c>
      <c r="F584" s="3" t="s">
        <v>752</v>
      </c>
      <c r="G584" s="3" t="s">
        <v>19</v>
      </c>
      <c r="H584" s="3" t="s">
        <v>797</v>
      </c>
      <c r="I584" s="3">
        <v>4.55</v>
      </c>
      <c r="J584" s="3" t="s">
        <v>22</v>
      </c>
      <c r="K584" s="3" t="s">
        <v>1506</v>
      </c>
      <c r="L584" s="3" t="s">
        <v>24</v>
      </c>
      <c r="M584" s="3">
        <v>12</v>
      </c>
      <c r="N584" s="6"/>
      <c r="O584" s="3">
        <v>1</v>
      </c>
      <c r="P584" s="3">
        <v>7.5</v>
      </c>
      <c r="Q584" s="3">
        <v>7.5</v>
      </c>
      <c r="R584" s="3">
        <v>0</v>
      </c>
      <c r="S584" s="3">
        <v>0</v>
      </c>
      <c r="T584" s="3">
        <v>0</v>
      </c>
      <c r="U584" s="3">
        <v>0</v>
      </c>
      <c r="V584" s="3">
        <f t="shared" ref="V584:V647" si="137">SUM(Q584:U584)</f>
        <v>7.5</v>
      </c>
      <c r="W584" s="3">
        <v>12</v>
      </c>
      <c r="X584" s="3">
        <v>0</v>
      </c>
      <c r="Y584" s="3">
        <v>0</v>
      </c>
      <c r="Z584" s="3">
        <v>0</v>
      </c>
      <c r="AA584" s="3">
        <v>0</v>
      </c>
      <c r="AB584" s="3">
        <f t="shared" ref="AB584:AB647" si="138">SUM(W584:AA584)</f>
        <v>12</v>
      </c>
      <c r="AC584" s="6">
        <f t="shared" si="131"/>
        <v>-6</v>
      </c>
      <c r="AD584" s="6">
        <f t="shared" si="132"/>
        <v>0</v>
      </c>
      <c r="AE584" s="6">
        <f t="shared" si="133"/>
        <v>0</v>
      </c>
      <c r="AF584" s="6">
        <f t="shared" si="134"/>
        <v>0</v>
      </c>
      <c r="AG584" s="6">
        <f t="shared" si="135"/>
        <v>0</v>
      </c>
      <c r="AH584" s="6">
        <f t="shared" ref="AH584:AH647" si="139">AQ584-AB584</f>
        <v>-6</v>
      </c>
      <c r="AI584" s="3"/>
      <c r="AJ584" s="3" t="e">
        <f>_xlfn.XLOOKUP(K584,工作表1!A:A,工作表1!C:C)</f>
        <v>#N/A</v>
      </c>
      <c r="AK584" s="3"/>
      <c r="AL584" s="6">
        <f t="shared" ref="AL584:AL647" si="140">SUM(AR584:AV584)</f>
        <v>6</v>
      </c>
      <c r="AM584" s="6">
        <f t="shared" ref="AM584:AM647" si="141">SUM(AW584:AZ584)</f>
        <v>0</v>
      </c>
      <c r="AN584" s="6">
        <f t="shared" ref="AN584:AN647" si="142">SUM(BA584:BE584)</f>
        <v>0</v>
      </c>
      <c r="AO584" s="6">
        <f t="shared" ref="AO584:AO647" si="143">SUM(BF584:BI584)</f>
        <v>0</v>
      </c>
      <c r="AP584" s="6">
        <f t="shared" ref="AP584:AP647" si="144">SUM(BJ584:BN584)</f>
        <v>0</v>
      </c>
      <c r="AQ584" s="6">
        <f t="shared" ref="AQ584:AQ647" si="145">SUM(AL584:AP584)</f>
        <v>6</v>
      </c>
      <c r="AR584" s="6"/>
      <c r="AS584" s="6">
        <v>6</v>
      </c>
      <c r="AT584" s="6"/>
      <c r="AU584" s="6"/>
      <c r="AV584" s="6"/>
      <c r="AW584" s="6"/>
      <c r="AX584" s="6"/>
      <c r="AY584" s="6"/>
      <c r="AZ584" s="6"/>
      <c r="BA584" s="6"/>
      <c r="BB584" s="6"/>
      <c r="BC584" s="6"/>
      <c r="BD584" s="6"/>
      <c r="BE584" s="6"/>
      <c r="BF584" s="6"/>
      <c r="BG584" s="6"/>
      <c r="BH584" s="6"/>
      <c r="BI584" s="6"/>
      <c r="BJ584" s="6"/>
      <c r="BK584" s="6"/>
      <c r="BL584" s="6"/>
      <c r="BM584" s="6"/>
      <c r="BN584" s="6"/>
      <c r="BO584" s="6"/>
      <c r="BP584" s="5">
        <v>12</v>
      </c>
      <c r="BQ584" s="6">
        <f t="shared" si="136"/>
        <v>6</v>
      </c>
      <c r="BS584" s="8">
        <v>6</v>
      </c>
    </row>
    <row r="585" spans="1:74" x14ac:dyDescent="0.3">
      <c r="A585" s="3" t="s">
        <v>931</v>
      </c>
      <c r="B585" s="3">
        <v>102</v>
      </c>
      <c r="C585" s="3" t="s">
        <v>960</v>
      </c>
      <c r="D585" s="3">
        <v>0.75</v>
      </c>
      <c r="E585" s="3" t="s">
        <v>19</v>
      </c>
      <c r="F585" s="3" t="s">
        <v>752</v>
      </c>
      <c r="G585" s="3" t="s">
        <v>19</v>
      </c>
      <c r="H585" s="3" t="s">
        <v>799</v>
      </c>
      <c r="I585" s="3">
        <v>3.91</v>
      </c>
      <c r="J585" s="3" t="s">
        <v>22</v>
      </c>
      <c r="K585" s="3" t="s">
        <v>962</v>
      </c>
      <c r="L585" s="3" t="s">
        <v>24</v>
      </c>
      <c r="M585" s="3">
        <v>30</v>
      </c>
      <c r="N585" s="6"/>
      <c r="O585" s="3">
        <v>27.2</v>
      </c>
      <c r="P585" s="3">
        <v>27.2</v>
      </c>
      <c r="Q585" s="3">
        <v>27.2</v>
      </c>
      <c r="R585" s="3">
        <v>0</v>
      </c>
      <c r="S585" s="3">
        <v>0</v>
      </c>
      <c r="T585" s="3">
        <v>0</v>
      </c>
      <c r="U585" s="3">
        <v>0</v>
      </c>
      <c r="V585" s="3">
        <f t="shared" si="137"/>
        <v>27.2</v>
      </c>
      <c r="W585" s="3">
        <v>30</v>
      </c>
      <c r="X585" s="3">
        <v>0</v>
      </c>
      <c r="Y585" s="3">
        <v>0</v>
      </c>
      <c r="Z585" s="3">
        <v>0</v>
      </c>
      <c r="AA585" s="3">
        <v>0</v>
      </c>
      <c r="AB585" s="3">
        <f t="shared" si="138"/>
        <v>30</v>
      </c>
      <c r="AC585" s="6">
        <f t="shared" si="131"/>
        <v>0</v>
      </c>
      <c r="AD585" s="6">
        <f t="shared" si="132"/>
        <v>0</v>
      </c>
      <c r="AE585" s="6">
        <f t="shared" si="133"/>
        <v>0</v>
      </c>
      <c r="AF585" s="6">
        <f t="shared" si="134"/>
        <v>0</v>
      </c>
      <c r="AG585" s="6">
        <f t="shared" si="135"/>
        <v>0</v>
      </c>
      <c r="AH585" s="6">
        <f t="shared" si="139"/>
        <v>0</v>
      </c>
      <c r="AI585" s="3"/>
      <c r="AJ585" s="3" t="e">
        <f>_xlfn.XLOOKUP(K585,工作表1!A:A,工作表1!C:C)</f>
        <v>#N/A</v>
      </c>
      <c r="AK585" s="3"/>
      <c r="AL585" s="6">
        <f t="shared" si="140"/>
        <v>30</v>
      </c>
      <c r="AM585" s="6">
        <f t="shared" si="141"/>
        <v>0</v>
      </c>
      <c r="AN585" s="6">
        <f t="shared" si="142"/>
        <v>0</v>
      </c>
      <c r="AO585" s="6">
        <f t="shared" si="143"/>
        <v>0</v>
      </c>
      <c r="AP585" s="6">
        <f t="shared" si="144"/>
        <v>0</v>
      </c>
      <c r="AQ585" s="6">
        <f t="shared" si="145"/>
        <v>30</v>
      </c>
      <c r="AR585" s="6"/>
      <c r="AS585" s="6">
        <v>30</v>
      </c>
      <c r="AT585" s="6"/>
      <c r="AU585" s="6"/>
      <c r="AV585" s="6"/>
      <c r="AW585" s="6"/>
      <c r="AX585" s="6"/>
      <c r="AY585" s="6"/>
      <c r="AZ585" s="6"/>
      <c r="BA585" s="6"/>
      <c r="BB585" s="6"/>
      <c r="BC585" s="6"/>
      <c r="BD585" s="6"/>
      <c r="BE585" s="6"/>
      <c r="BF585" s="6"/>
      <c r="BG585" s="6"/>
      <c r="BH585" s="6"/>
      <c r="BI585" s="6"/>
      <c r="BJ585" s="6"/>
      <c r="BK585" s="6"/>
      <c r="BL585" s="6"/>
      <c r="BM585" s="6"/>
      <c r="BN585" s="6"/>
      <c r="BO585" s="6"/>
      <c r="BP585" s="3">
        <v>30</v>
      </c>
      <c r="BQ585" s="6">
        <f t="shared" si="136"/>
        <v>30</v>
      </c>
      <c r="BS585">
        <v>30</v>
      </c>
    </row>
    <row r="586" spans="1:74" x14ac:dyDescent="0.3">
      <c r="A586" s="3" t="s">
        <v>931</v>
      </c>
      <c r="B586" s="3">
        <v>121</v>
      </c>
      <c r="C586" s="3" t="s">
        <v>963</v>
      </c>
      <c r="D586" s="3">
        <v>0.75</v>
      </c>
      <c r="E586" s="3" t="s">
        <v>19</v>
      </c>
      <c r="F586" s="3" t="s">
        <v>752</v>
      </c>
      <c r="G586" s="3" t="s">
        <v>19</v>
      </c>
      <c r="H586" s="3" t="s">
        <v>799</v>
      </c>
      <c r="I586" s="3">
        <v>3.91</v>
      </c>
      <c r="J586" s="3" t="s">
        <v>91</v>
      </c>
      <c r="K586" s="3" t="s">
        <v>964</v>
      </c>
      <c r="L586" s="3" t="s">
        <v>24</v>
      </c>
      <c r="M586" s="3">
        <v>2</v>
      </c>
      <c r="N586" s="6"/>
      <c r="O586" s="3">
        <v>2</v>
      </c>
      <c r="P586" s="3">
        <v>2</v>
      </c>
      <c r="Q586" s="3">
        <v>2</v>
      </c>
      <c r="R586" s="3">
        <v>0</v>
      </c>
      <c r="S586" s="3">
        <v>0</v>
      </c>
      <c r="T586" s="3">
        <v>0</v>
      </c>
      <c r="U586" s="3">
        <v>0</v>
      </c>
      <c r="V586" s="3">
        <f t="shared" si="137"/>
        <v>2</v>
      </c>
      <c r="W586" s="3">
        <v>2</v>
      </c>
      <c r="X586" s="3">
        <v>0</v>
      </c>
      <c r="Y586" s="3">
        <v>0</v>
      </c>
      <c r="Z586" s="3">
        <v>0</v>
      </c>
      <c r="AA586" s="3">
        <v>0</v>
      </c>
      <c r="AB586" s="3">
        <f t="shared" si="138"/>
        <v>2</v>
      </c>
      <c r="AC586" s="6">
        <f t="shared" si="131"/>
        <v>-2</v>
      </c>
      <c r="AD586" s="6">
        <f t="shared" si="132"/>
        <v>0</v>
      </c>
      <c r="AE586" s="6">
        <f t="shared" si="133"/>
        <v>0</v>
      </c>
      <c r="AF586" s="6">
        <f t="shared" si="134"/>
        <v>0</v>
      </c>
      <c r="AG586" s="6">
        <f t="shared" si="135"/>
        <v>0</v>
      </c>
      <c r="AH586" s="6">
        <f t="shared" si="139"/>
        <v>-2</v>
      </c>
      <c r="AI586" s="3"/>
      <c r="AJ586" s="3" t="e">
        <f>_xlfn.XLOOKUP(K586,工作表1!A:A,工作表1!C:C)</f>
        <v>#N/A</v>
      </c>
      <c r="AK586" s="3"/>
      <c r="AL586" s="6">
        <f t="shared" si="140"/>
        <v>0</v>
      </c>
      <c r="AM586" s="6">
        <f t="shared" si="141"/>
        <v>0</v>
      </c>
      <c r="AN586" s="6">
        <f t="shared" si="142"/>
        <v>0</v>
      </c>
      <c r="AO586" s="6">
        <f t="shared" si="143"/>
        <v>0</v>
      </c>
      <c r="AP586" s="6">
        <f t="shared" si="144"/>
        <v>0</v>
      </c>
      <c r="AQ586" s="6">
        <f t="shared" si="145"/>
        <v>0</v>
      </c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  <c r="BC586" s="6"/>
      <c r="BD586" s="6"/>
      <c r="BE586" s="6"/>
      <c r="BF586" s="6"/>
      <c r="BG586" s="6"/>
      <c r="BH586" s="6"/>
      <c r="BI586" s="6"/>
      <c r="BJ586" s="6"/>
      <c r="BK586" s="6"/>
      <c r="BL586" s="6"/>
      <c r="BM586" s="6"/>
      <c r="BN586" s="6"/>
      <c r="BO586" s="6"/>
      <c r="BP586" s="3">
        <v>2</v>
      </c>
      <c r="BQ586" s="6">
        <f t="shared" si="136"/>
        <v>0</v>
      </c>
    </row>
    <row r="587" spans="1:74" x14ac:dyDescent="0.3">
      <c r="A587" s="3" t="s">
        <v>931</v>
      </c>
      <c r="B587" s="3">
        <v>301</v>
      </c>
      <c r="C587" s="3" t="s">
        <v>965</v>
      </c>
      <c r="D587" s="3">
        <v>0.75</v>
      </c>
      <c r="E587" s="3" t="s">
        <v>19</v>
      </c>
      <c r="F587" s="3" t="s">
        <v>19</v>
      </c>
      <c r="G587" s="3" t="s">
        <v>19</v>
      </c>
      <c r="H587" s="3" t="s">
        <v>103</v>
      </c>
      <c r="I587" s="3"/>
      <c r="J587" s="3" t="s">
        <v>91</v>
      </c>
      <c r="K587" s="3" t="s">
        <v>966</v>
      </c>
      <c r="L587" s="3" t="s">
        <v>24</v>
      </c>
      <c r="M587" s="3">
        <v>3</v>
      </c>
      <c r="N587" s="6"/>
      <c r="O587" s="3">
        <v>3</v>
      </c>
      <c r="P587" s="3">
        <v>3</v>
      </c>
      <c r="Q587" s="3">
        <v>3</v>
      </c>
      <c r="R587" s="3">
        <v>0</v>
      </c>
      <c r="S587" s="3">
        <v>0</v>
      </c>
      <c r="T587" s="3">
        <v>0</v>
      </c>
      <c r="U587" s="3">
        <v>0</v>
      </c>
      <c r="V587" s="3">
        <f t="shared" si="137"/>
        <v>3</v>
      </c>
      <c r="W587" s="3">
        <v>3</v>
      </c>
      <c r="X587" s="3">
        <v>0</v>
      </c>
      <c r="Y587" s="3">
        <v>0</v>
      </c>
      <c r="Z587" s="3">
        <v>0</v>
      </c>
      <c r="AA587" s="3">
        <v>0</v>
      </c>
      <c r="AB587" s="3">
        <f t="shared" si="138"/>
        <v>3</v>
      </c>
      <c r="AC587" s="6">
        <f t="shared" si="131"/>
        <v>-3</v>
      </c>
      <c r="AD587" s="6">
        <f t="shared" si="132"/>
        <v>0</v>
      </c>
      <c r="AE587" s="6">
        <f t="shared" si="133"/>
        <v>0</v>
      </c>
      <c r="AF587" s="6">
        <f t="shared" si="134"/>
        <v>0</v>
      </c>
      <c r="AG587" s="6">
        <f t="shared" si="135"/>
        <v>0</v>
      </c>
      <c r="AH587" s="6">
        <f t="shared" si="139"/>
        <v>-3</v>
      </c>
      <c r="AI587" s="3"/>
      <c r="AJ587" s="3" t="e">
        <f>_xlfn.XLOOKUP(K587,工作表1!A:A,工作表1!C:C)</f>
        <v>#N/A</v>
      </c>
      <c r="AK587" s="3"/>
      <c r="AL587" s="6">
        <f t="shared" si="140"/>
        <v>0</v>
      </c>
      <c r="AM587" s="6">
        <f t="shared" si="141"/>
        <v>0</v>
      </c>
      <c r="AN587" s="6">
        <f t="shared" si="142"/>
        <v>0</v>
      </c>
      <c r="AO587" s="6">
        <f t="shared" si="143"/>
        <v>0</v>
      </c>
      <c r="AP587" s="6">
        <f t="shared" si="144"/>
        <v>0</v>
      </c>
      <c r="AQ587" s="6">
        <f t="shared" si="145"/>
        <v>0</v>
      </c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  <c r="BC587" s="6"/>
      <c r="BD587" s="6"/>
      <c r="BE587" s="6"/>
      <c r="BF587" s="6"/>
      <c r="BG587" s="6"/>
      <c r="BH587" s="6"/>
      <c r="BI587" s="6"/>
      <c r="BJ587" s="6"/>
      <c r="BK587" s="6"/>
      <c r="BL587" s="6"/>
      <c r="BM587" s="6"/>
      <c r="BN587" s="6"/>
      <c r="BO587" s="6"/>
      <c r="BP587" s="3">
        <v>3</v>
      </c>
      <c r="BQ587" s="6">
        <f t="shared" si="136"/>
        <v>0</v>
      </c>
    </row>
    <row r="588" spans="1:74" x14ac:dyDescent="0.3">
      <c r="A588" s="3" t="s">
        <v>931</v>
      </c>
      <c r="B588" s="3">
        <v>301</v>
      </c>
      <c r="C588" s="3" t="s">
        <v>967</v>
      </c>
      <c r="D588" s="3">
        <v>10</v>
      </c>
      <c r="E588" s="3" t="s">
        <v>19</v>
      </c>
      <c r="F588" s="3" t="s">
        <v>767</v>
      </c>
      <c r="G588" s="3" t="s">
        <v>19</v>
      </c>
      <c r="H588" s="3" t="s">
        <v>933</v>
      </c>
      <c r="I588" s="3">
        <v>9.27</v>
      </c>
      <c r="J588" s="3" t="s">
        <v>91</v>
      </c>
      <c r="K588" s="3" t="s">
        <v>968</v>
      </c>
      <c r="L588" s="3" t="s">
        <v>24</v>
      </c>
      <c r="M588" s="3">
        <v>1</v>
      </c>
      <c r="N588" s="6"/>
      <c r="O588" s="3">
        <v>1</v>
      </c>
      <c r="P588" s="3">
        <v>1</v>
      </c>
      <c r="Q588" s="3">
        <v>1</v>
      </c>
      <c r="R588" s="3">
        <v>0</v>
      </c>
      <c r="S588" s="3">
        <v>0</v>
      </c>
      <c r="T588" s="3">
        <v>0</v>
      </c>
      <c r="U588" s="3">
        <v>0</v>
      </c>
      <c r="V588" s="3">
        <f t="shared" si="137"/>
        <v>1</v>
      </c>
      <c r="W588" s="3">
        <v>1</v>
      </c>
      <c r="X588" s="3">
        <v>0</v>
      </c>
      <c r="Y588" s="3">
        <v>0</v>
      </c>
      <c r="Z588" s="3">
        <v>0</v>
      </c>
      <c r="AA588" s="3">
        <v>0</v>
      </c>
      <c r="AB588" s="3">
        <f t="shared" si="138"/>
        <v>1</v>
      </c>
      <c r="AC588" s="6">
        <f t="shared" si="131"/>
        <v>0</v>
      </c>
      <c r="AD588" s="6">
        <f t="shared" si="132"/>
        <v>0</v>
      </c>
      <c r="AE588" s="6">
        <f t="shared" si="133"/>
        <v>0</v>
      </c>
      <c r="AF588" s="6">
        <f t="shared" si="134"/>
        <v>0</v>
      </c>
      <c r="AG588" s="6">
        <f t="shared" si="135"/>
        <v>0</v>
      </c>
      <c r="AH588" s="6">
        <f t="shared" si="139"/>
        <v>0</v>
      </c>
      <c r="AI588" s="3"/>
      <c r="AJ588" s="3" t="e">
        <f>_xlfn.XLOOKUP(K588,工作表1!A:A,工作表1!C:C)</f>
        <v>#N/A</v>
      </c>
      <c r="AK588" s="3"/>
      <c r="AL588" s="6">
        <f t="shared" si="140"/>
        <v>1</v>
      </c>
      <c r="AM588" s="6">
        <f t="shared" si="141"/>
        <v>0</v>
      </c>
      <c r="AN588" s="6">
        <f t="shared" si="142"/>
        <v>0</v>
      </c>
      <c r="AO588" s="6">
        <f t="shared" si="143"/>
        <v>0</v>
      </c>
      <c r="AP588" s="6">
        <f t="shared" si="144"/>
        <v>0</v>
      </c>
      <c r="AQ588" s="6">
        <f t="shared" si="145"/>
        <v>1</v>
      </c>
      <c r="AR588" s="6"/>
      <c r="AS588" s="6"/>
      <c r="AT588" s="6"/>
      <c r="AU588" s="6">
        <v>1</v>
      </c>
      <c r="AV588" s="6"/>
      <c r="AW588" s="6"/>
      <c r="AX588" s="6"/>
      <c r="AY588" s="6"/>
      <c r="AZ588" s="6"/>
      <c r="BA588" s="6"/>
      <c r="BB588" s="6"/>
      <c r="BC588" s="6"/>
      <c r="BD588" s="6"/>
      <c r="BE588" s="6"/>
      <c r="BF588" s="6"/>
      <c r="BG588" s="6"/>
      <c r="BH588" s="6"/>
      <c r="BI588" s="6"/>
      <c r="BJ588" s="6"/>
      <c r="BK588" s="6"/>
      <c r="BL588" s="6"/>
      <c r="BM588" s="6"/>
      <c r="BN588" s="6"/>
      <c r="BO588" s="6"/>
      <c r="BP588" s="3">
        <v>1</v>
      </c>
      <c r="BQ588" s="6">
        <f t="shared" si="136"/>
        <v>1</v>
      </c>
      <c r="BV588">
        <v>1</v>
      </c>
    </row>
    <row r="589" spans="1:74" x14ac:dyDescent="0.3">
      <c r="A589" s="3" t="s">
        <v>931</v>
      </c>
      <c r="B589" s="3">
        <v>301</v>
      </c>
      <c r="C589" s="3" t="s">
        <v>967</v>
      </c>
      <c r="D589" s="3">
        <v>1</v>
      </c>
      <c r="E589" s="3" t="s">
        <v>19</v>
      </c>
      <c r="F589" s="3" t="s">
        <v>41</v>
      </c>
      <c r="G589" s="3" t="s">
        <v>19</v>
      </c>
      <c r="H589" s="3" t="s">
        <v>59</v>
      </c>
      <c r="I589" s="3">
        <v>6.35</v>
      </c>
      <c r="J589" s="3" t="s">
        <v>91</v>
      </c>
      <c r="K589" s="3" t="s">
        <v>969</v>
      </c>
      <c r="L589" s="3" t="s">
        <v>24</v>
      </c>
      <c r="M589" s="3">
        <v>1</v>
      </c>
      <c r="N589" s="6"/>
      <c r="O589" s="3">
        <v>1</v>
      </c>
      <c r="P589" s="3">
        <v>1</v>
      </c>
      <c r="Q589" s="3">
        <v>1</v>
      </c>
      <c r="R589" s="3">
        <v>0</v>
      </c>
      <c r="S589" s="3">
        <v>0</v>
      </c>
      <c r="T589" s="3">
        <v>0</v>
      </c>
      <c r="U589" s="3">
        <v>0</v>
      </c>
      <c r="V589" s="3">
        <f t="shared" si="137"/>
        <v>1</v>
      </c>
      <c r="W589" s="3">
        <v>1</v>
      </c>
      <c r="X589" s="3">
        <v>0</v>
      </c>
      <c r="Y589" s="3">
        <v>0</v>
      </c>
      <c r="Z589" s="3">
        <v>0</v>
      </c>
      <c r="AA589" s="3">
        <v>0</v>
      </c>
      <c r="AB589" s="3">
        <f t="shared" si="138"/>
        <v>1</v>
      </c>
      <c r="AC589" s="6">
        <f t="shared" si="131"/>
        <v>0</v>
      </c>
      <c r="AD589" s="6">
        <f t="shared" si="132"/>
        <v>0</v>
      </c>
      <c r="AE589" s="6">
        <f t="shared" si="133"/>
        <v>0</v>
      </c>
      <c r="AF589" s="6">
        <f t="shared" si="134"/>
        <v>0</v>
      </c>
      <c r="AG589" s="6">
        <f t="shared" si="135"/>
        <v>0</v>
      </c>
      <c r="AH589" s="6">
        <f t="shared" si="139"/>
        <v>0</v>
      </c>
      <c r="AI589" s="3"/>
      <c r="AJ589" s="3" t="e">
        <f>_xlfn.XLOOKUP(K589,工作表1!A:A,工作表1!C:C)</f>
        <v>#N/A</v>
      </c>
      <c r="AK589" s="3"/>
      <c r="AL589" s="6">
        <f t="shared" si="140"/>
        <v>1</v>
      </c>
      <c r="AM589" s="6">
        <f t="shared" si="141"/>
        <v>0</v>
      </c>
      <c r="AN589" s="6">
        <f t="shared" si="142"/>
        <v>0</v>
      </c>
      <c r="AO589" s="6">
        <f t="shared" si="143"/>
        <v>0</v>
      </c>
      <c r="AP589" s="6">
        <f t="shared" si="144"/>
        <v>0</v>
      </c>
      <c r="AQ589" s="6">
        <f t="shared" si="145"/>
        <v>1</v>
      </c>
      <c r="AR589" s="6"/>
      <c r="AS589" s="6"/>
      <c r="AT589" s="6"/>
      <c r="AU589" s="6">
        <v>1</v>
      </c>
      <c r="AV589" s="6"/>
      <c r="AW589" s="6"/>
      <c r="AX589" s="6"/>
      <c r="AY589" s="6"/>
      <c r="AZ589" s="6"/>
      <c r="BA589" s="6"/>
      <c r="BB589" s="6"/>
      <c r="BC589" s="6"/>
      <c r="BD589" s="6"/>
      <c r="BE589" s="6"/>
      <c r="BF589" s="6"/>
      <c r="BG589" s="6"/>
      <c r="BH589" s="6"/>
      <c r="BI589" s="6"/>
      <c r="BJ589" s="6"/>
      <c r="BK589" s="6"/>
      <c r="BL589" s="6"/>
      <c r="BM589" s="6"/>
      <c r="BN589" s="6"/>
      <c r="BO589" s="6"/>
      <c r="BP589" s="3">
        <v>1</v>
      </c>
      <c r="BQ589" s="6">
        <f t="shared" si="136"/>
        <v>1</v>
      </c>
      <c r="BV589">
        <v>1</v>
      </c>
    </row>
    <row r="590" spans="1:74" x14ac:dyDescent="0.3">
      <c r="A590" s="3" t="s">
        <v>931</v>
      </c>
      <c r="B590" s="3">
        <v>301</v>
      </c>
      <c r="C590" s="3" t="s">
        <v>967</v>
      </c>
      <c r="D590" s="3">
        <v>0.75</v>
      </c>
      <c r="E590" s="3" t="s">
        <v>19</v>
      </c>
      <c r="F590" s="3" t="s">
        <v>41</v>
      </c>
      <c r="G590" s="3" t="s">
        <v>19</v>
      </c>
      <c r="H590" s="3" t="s">
        <v>61</v>
      </c>
      <c r="I590" s="3">
        <v>5.56</v>
      </c>
      <c r="J590" s="3" t="s">
        <v>91</v>
      </c>
      <c r="K590" s="3" t="s">
        <v>970</v>
      </c>
      <c r="L590" s="3" t="s">
        <v>24</v>
      </c>
      <c r="M590" s="3">
        <v>2</v>
      </c>
      <c r="N590" s="6"/>
      <c r="O590" s="3">
        <v>1</v>
      </c>
      <c r="P590" s="3">
        <v>1</v>
      </c>
      <c r="Q590" s="3">
        <v>1</v>
      </c>
      <c r="R590" s="3">
        <v>0</v>
      </c>
      <c r="S590" s="3">
        <v>0</v>
      </c>
      <c r="T590" s="3">
        <v>0</v>
      </c>
      <c r="U590" s="3">
        <v>0</v>
      </c>
      <c r="V590" s="3">
        <f t="shared" si="137"/>
        <v>1</v>
      </c>
      <c r="W590" s="3">
        <v>1</v>
      </c>
      <c r="X590" s="3">
        <v>0</v>
      </c>
      <c r="Y590" s="3">
        <v>0</v>
      </c>
      <c r="Z590" s="3">
        <v>0</v>
      </c>
      <c r="AA590" s="3">
        <v>0</v>
      </c>
      <c r="AB590" s="3">
        <f t="shared" si="138"/>
        <v>1</v>
      </c>
      <c r="AC590" s="6">
        <f t="shared" si="131"/>
        <v>0</v>
      </c>
      <c r="AD590" s="6">
        <f t="shared" si="132"/>
        <v>0</v>
      </c>
      <c r="AE590" s="6">
        <f t="shared" si="133"/>
        <v>0</v>
      </c>
      <c r="AF590" s="6">
        <f t="shared" si="134"/>
        <v>0</v>
      </c>
      <c r="AG590" s="6">
        <f t="shared" si="135"/>
        <v>0</v>
      </c>
      <c r="AH590" s="6">
        <f t="shared" si="139"/>
        <v>0</v>
      </c>
      <c r="AI590" s="3"/>
      <c r="AJ590" s="3" t="e">
        <f>_xlfn.XLOOKUP(K590,工作表1!A:A,工作表1!C:C)</f>
        <v>#N/A</v>
      </c>
      <c r="AK590" s="3"/>
      <c r="AL590" s="6">
        <f t="shared" si="140"/>
        <v>1</v>
      </c>
      <c r="AM590" s="6">
        <f t="shared" si="141"/>
        <v>0</v>
      </c>
      <c r="AN590" s="6">
        <f t="shared" si="142"/>
        <v>0</v>
      </c>
      <c r="AO590" s="6">
        <f t="shared" si="143"/>
        <v>0</v>
      </c>
      <c r="AP590" s="6">
        <f t="shared" si="144"/>
        <v>0</v>
      </c>
      <c r="AQ590" s="6">
        <f t="shared" si="145"/>
        <v>1</v>
      </c>
      <c r="AR590" s="6"/>
      <c r="AS590" s="6"/>
      <c r="AT590" s="6"/>
      <c r="AU590" s="6">
        <v>1</v>
      </c>
      <c r="AV590" s="6"/>
      <c r="AW590" s="6"/>
      <c r="AX590" s="6"/>
      <c r="AY590" s="6"/>
      <c r="AZ590" s="6"/>
      <c r="BA590" s="6"/>
      <c r="BB590" s="6"/>
      <c r="BC590" s="6"/>
      <c r="BD590" s="6"/>
      <c r="BE590" s="6"/>
      <c r="BF590" s="6"/>
      <c r="BG590" s="6"/>
      <c r="BH590" s="6"/>
      <c r="BI590" s="6"/>
      <c r="BJ590" s="6"/>
      <c r="BK590" s="6"/>
      <c r="BL590" s="6"/>
      <c r="BM590" s="6"/>
      <c r="BN590" s="6"/>
      <c r="BO590" s="6"/>
      <c r="BP590" s="3">
        <v>1</v>
      </c>
      <c r="BQ590" s="6">
        <f t="shared" si="136"/>
        <v>1</v>
      </c>
      <c r="BV590">
        <v>1</v>
      </c>
    </row>
    <row r="591" spans="1:74" x14ac:dyDescent="0.3">
      <c r="A591" s="3" t="s">
        <v>931</v>
      </c>
      <c r="B591" s="3">
        <v>301</v>
      </c>
      <c r="C591" s="3" t="s">
        <v>971</v>
      </c>
      <c r="D591" s="3">
        <v>12</v>
      </c>
      <c r="E591" s="3" t="s">
        <v>19</v>
      </c>
      <c r="F591" s="3" t="s">
        <v>41</v>
      </c>
      <c r="G591" s="3" t="s">
        <v>19</v>
      </c>
      <c r="H591" s="3" t="s">
        <v>949</v>
      </c>
      <c r="I591" s="3">
        <v>33.32</v>
      </c>
      <c r="J591" s="3" t="s">
        <v>91</v>
      </c>
      <c r="K591" s="3" t="s">
        <v>972</v>
      </c>
      <c r="L591" s="3" t="s">
        <v>24</v>
      </c>
      <c r="M591" s="3">
        <v>3</v>
      </c>
      <c r="N591" s="6"/>
      <c r="O591" s="3">
        <v>3</v>
      </c>
      <c r="P591" s="3">
        <v>3</v>
      </c>
      <c r="Q591" s="3">
        <v>3</v>
      </c>
      <c r="R591" s="3">
        <v>0</v>
      </c>
      <c r="S591" s="3">
        <v>0</v>
      </c>
      <c r="T591" s="3">
        <v>0</v>
      </c>
      <c r="U591" s="3">
        <v>0</v>
      </c>
      <c r="V591" s="3">
        <f t="shared" si="137"/>
        <v>3</v>
      </c>
      <c r="W591" s="3">
        <v>3</v>
      </c>
      <c r="X591" s="3">
        <v>0</v>
      </c>
      <c r="Y591" s="3">
        <v>0</v>
      </c>
      <c r="Z591" s="3">
        <v>0</v>
      </c>
      <c r="AA591" s="3">
        <v>0</v>
      </c>
      <c r="AB591" s="3">
        <f t="shared" si="138"/>
        <v>3</v>
      </c>
      <c r="AC591" s="6">
        <f t="shared" si="131"/>
        <v>0</v>
      </c>
      <c r="AD591" s="6">
        <f t="shared" si="132"/>
        <v>0</v>
      </c>
      <c r="AE591" s="6">
        <f t="shared" si="133"/>
        <v>0</v>
      </c>
      <c r="AF591" s="6">
        <f t="shared" si="134"/>
        <v>0</v>
      </c>
      <c r="AG591" s="6">
        <f t="shared" si="135"/>
        <v>0</v>
      </c>
      <c r="AH591" s="6">
        <f t="shared" si="139"/>
        <v>0</v>
      </c>
      <c r="AI591" s="3"/>
      <c r="AJ591" s="3" t="e">
        <f>_xlfn.XLOOKUP(K591,工作表1!A:A,工作表1!C:C)</f>
        <v>#N/A</v>
      </c>
      <c r="AK591" s="3"/>
      <c r="AL591" s="6">
        <f t="shared" si="140"/>
        <v>3</v>
      </c>
      <c r="AM591" s="6">
        <f t="shared" si="141"/>
        <v>0</v>
      </c>
      <c r="AN591" s="6">
        <f t="shared" si="142"/>
        <v>0</v>
      </c>
      <c r="AO591" s="6">
        <f t="shared" si="143"/>
        <v>0</v>
      </c>
      <c r="AP591" s="6">
        <f t="shared" si="144"/>
        <v>0</v>
      </c>
      <c r="AQ591" s="6">
        <f t="shared" si="145"/>
        <v>3</v>
      </c>
      <c r="AR591" s="6"/>
      <c r="AS591" s="6"/>
      <c r="AT591" s="6"/>
      <c r="AU591" s="6">
        <v>3</v>
      </c>
      <c r="AV591" s="6"/>
      <c r="AW591" s="6"/>
      <c r="AX591" s="6"/>
      <c r="AY591" s="6"/>
      <c r="AZ591" s="6"/>
      <c r="BA591" s="6"/>
      <c r="BB591" s="6"/>
      <c r="BC591" s="6"/>
      <c r="BD591" s="6"/>
      <c r="BE591" s="6"/>
      <c r="BF591" s="6"/>
      <c r="BG591" s="6"/>
      <c r="BH591" s="6"/>
      <c r="BI591" s="6"/>
      <c r="BJ591" s="6"/>
      <c r="BK591" s="6"/>
      <c r="BL591" s="6"/>
      <c r="BM591" s="6"/>
      <c r="BN591" s="6"/>
      <c r="BO591" s="6"/>
      <c r="BP591" s="3">
        <v>3</v>
      </c>
      <c r="BQ591" s="6">
        <f t="shared" si="136"/>
        <v>3</v>
      </c>
      <c r="BV591">
        <v>3</v>
      </c>
    </row>
    <row r="592" spans="1:74" x14ac:dyDescent="0.3">
      <c r="A592" s="3" t="s">
        <v>931</v>
      </c>
      <c r="B592" s="3">
        <v>301</v>
      </c>
      <c r="C592" s="3" t="s">
        <v>971</v>
      </c>
      <c r="D592" s="3">
        <v>8</v>
      </c>
      <c r="E592" s="3" t="s">
        <v>19</v>
      </c>
      <c r="F592" s="3" t="s">
        <v>41</v>
      </c>
      <c r="G592" s="3" t="s">
        <v>19</v>
      </c>
      <c r="H592" s="3" t="s">
        <v>952</v>
      </c>
      <c r="I592" s="3">
        <v>23.01</v>
      </c>
      <c r="J592" s="3" t="s">
        <v>91</v>
      </c>
      <c r="K592" s="3" t="s">
        <v>973</v>
      </c>
      <c r="L592" s="3" t="s">
        <v>24</v>
      </c>
      <c r="M592" s="3">
        <v>1</v>
      </c>
      <c r="N592" s="6"/>
      <c r="O592" s="3">
        <v>1</v>
      </c>
      <c r="P592" s="3">
        <v>1</v>
      </c>
      <c r="Q592" s="3">
        <v>1</v>
      </c>
      <c r="R592" s="3">
        <v>0</v>
      </c>
      <c r="S592" s="3">
        <v>0</v>
      </c>
      <c r="T592" s="3">
        <v>0</v>
      </c>
      <c r="U592" s="3">
        <v>0</v>
      </c>
      <c r="V592" s="3">
        <f t="shared" si="137"/>
        <v>1</v>
      </c>
      <c r="W592" s="3">
        <v>1</v>
      </c>
      <c r="X592" s="3">
        <v>0</v>
      </c>
      <c r="Y592" s="3">
        <v>0</v>
      </c>
      <c r="Z592" s="3">
        <v>0</v>
      </c>
      <c r="AA592" s="3">
        <v>0</v>
      </c>
      <c r="AB592" s="3">
        <f t="shared" si="138"/>
        <v>1</v>
      </c>
      <c r="AC592" s="6">
        <f t="shared" si="131"/>
        <v>0</v>
      </c>
      <c r="AD592" s="6">
        <f t="shared" si="132"/>
        <v>0</v>
      </c>
      <c r="AE592" s="6">
        <f t="shared" si="133"/>
        <v>0</v>
      </c>
      <c r="AF592" s="6">
        <f t="shared" si="134"/>
        <v>0</v>
      </c>
      <c r="AG592" s="6">
        <f t="shared" si="135"/>
        <v>0</v>
      </c>
      <c r="AH592" s="6">
        <f t="shared" si="139"/>
        <v>0</v>
      </c>
      <c r="AI592" s="3"/>
      <c r="AJ592" s="3" t="e">
        <f>_xlfn.XLOOKUP(K592,工作表1!A:A,工作表1!C:C)</f>
        <v>#N/A</v>
      </c>
      <c r="AK592" s="3"/>
      <c r="AL592" s="6">
        <f t="shared" si="140"/>
        <v>1</v>
      </c>
      <c r="AM592" s="6">
        <f t="shared" si="141"/>
        <v>0</v>
      </c>
      <c r="AN592" s="6">
        <f t="shared" si="142"/>
        <v>0</v>
      </c>
      <c r="AO592" s="6">
        <f t="shared" si="143"/>
        <v>0</v>
      </c>
      <c r="AP592" s="6">
        <f t="shared" si="144"/>
        <v>0</v>
      </c>
      <c r="AQ592" s="6">
        <f t="shared" si="145"/>
        <v>1</v>
      </c>
      <c r="AR592" s="6"/>
      <c r="AS592" s="6"/>
      <c r="AT592" s="6"/>
      <c r="AU592" s="6">
        <v>1</v>
      </c>
      <c r="AV592" s="6"/>
      <c r="AW592" s="6"/>
      <c r="AX592" s="6"/>
      <c r="AY592" s="6"/>
      <c r="AZ592" s="6"/>
      <c r="BA592" s="6"/>
      <c r="BB592" s="6"/>
      <c r="BC592" s="6"/>
      <c r="BD592" s="6"/>
      <c r="BE592" s="6"/>
      <c r="BF592" s="6"/>
      <c r="BG592" s="6"/>
      <c r="BH592" s="6"/>
      <c r="BI592" s="6"/>
      <c r="BJ592" s="6"/>
      <c r="BK592" s="6"/>
      <c r="BL592" s="6"/>
      <c r="BM592" s="6"/>
      <c r="BN592" s="6"/>
      <c r="BO592" s="6"/>
      <c r="BP592" s="3">
        <v>1</v>
      </c>
      <c r="BQ592" s="6">
        <f t="shared" si="136"/>
        <v>1</v>
      </c>
      <c r="BV592">
        <v>1</v>
      </c>
    </row>
    <row r="593" spans="1:74" x14ac:dyDescent="0.3">
      <c r="A593" s="3" t="s">
        <v>931</v>
      </c>
      <c r="B593" s="3">
        <v>301</v>
      </c>
      <c r="C593" s="3" t="s">
        <v>971</v>
      </c>
      <c r="D593" s="3">
        <v>4</v>
      </c>
      <c r="E593" s="3" t="s">
        <v>19</v>
      </c>
      <c r="F593" s="3" t="s">
        <v>41</v>
      </c>
      <c r="G593" s="3" t="s">
        <v>19</v>
      </c>
      <c r="H593" s="3" t="s">
        <v>48</v>
      </c>
      <c r="I593" s="3">
        <v>13.49</v>
      </c>
      <c r="J593" s="3" t="s">
        <v>91</v>
      </c>
      <c r="K593" s="3" t="s">
        <v>974</v>
      </c>
      <c r="L593" s="3" t="s">
        <v>24</v>
      </c>
      <c r="M593" s="3">
        <v>3</v>
      </c>
      <c r="N593" s="6"/>
      <c r="O593" s="3">
        <v>3</v>
      </c>
      <c r="P593" s="3">
        <v>3</v>
      </c>
      <c r="Q593" s="3">
        <v>3</v>
      </c>
      <c r="R593" s="3">
        <v>0</v>
      </c>
      <c r="S593" s="3">
        <v>0</v>
      </c>
      <c r="T593" s="3">
        <v>0</v>
      </c>
      <c r="U593" s="3">
        <v>0</v>
      </c>
      <c r="V593" s="3">
        <f t="shared" si="137"/>
        <v>3</v>
      </c>
      <c r="W593" s="3">
        <v>3</v>
      </c>
      <c r="X593" s="3">
        <v>0</v>
      </c>
      <c r="Y593" s="3">
        <v>0</v>
      </c>
      <c r="Z593" s="3">
        <v>0</v>
      </c>
      <c r="AA593" s="3">
        <v>0</v>
      </c>
      <c r="AB593" s="3">
        <f t="shared" si="138"/>
        <v>3</v>
      </c>
      <c r="AC593" s="6">
        <f t="shared" si="131"/>
        <v>0</v>
      </c>
      <c r="AD593" s="6">
        <f t="shared" si="132"/>
        <v>0</v>
      </c>
      <c r="AE593" s="6">
        <f t="shared" si="133"/>
        <v>0</v>
      </c>
      <c r="AF593" s="6">
        <f t="shared" si="134"/>
        <v>0</v>
      </c>
      <c r="AG593" s="6">
        <f t="shared" si="135"/>
        <v>0</v>
      </c>
      <c r="AH593" s="6">
        <f t="shared" si="139"/>
        <v>0</v>
      </c>
      <c r="AI593" s="3"/>
      <c r="AJ593" s="3" t="e">
        <f>_xlfn.XLOOKUP(K593,工作表1!A:A,工作表1!C:C)</f>
        <v>#N/A</v>
      </c>
      <c r="AK593" s="3"/>
      <c r="AL593" s="6">
        <f t="shared" si="140"/>
        <v>3</v>
      </c>
      <c r="AM593" s="6">
        <f t="shared" si="141"/>
        <v>0</v>
      </c>
      <c r="AN593" s="6">
        <f t="shared" si="142"/>
        <v>0</v>
      </c>
      <c r="AO593" s="6">
        <f t="shared" si="143"/>
        <v>0</v>
      </c>
      <c r="AP593" s="6">
        <f t="shared" si="144"/>
        <v>0</v>
      </c>
      <c r="AQ593" s="6">
        <f t="shared" si="145"/>
        <v>3</v>
      </c>
      <c r="AR593" s="6"/>
      <c r="AS593" s="6"/>
      <c r="AT593" s="6"/>
      <c r="AU593" s="6">
        <v>3</v>
      </c>
      <c r="AV593" s="6"/>
      <c r="AW593" s="6"/>
      <c r="AX593" s="6"/>
      <c r="AY593" s="6"/>
      <c r="AZ593" s="6"/>
      <c r="BA593" s="6"/>
      <c r="BB593" s="6"/>
      <c r="BC593" s="6"/>
      <c r="BD593" s="6"/>
      <c r="BE593" s="6"/>
      <c r="BF593" s="6"/>
      <c r="BG593" s="6"/>
      <c r="BH593" s="6"/>
      <c r="BI593" s="6"/>
      <c r="BJ593" s="6"/>
      <c r="BK593" s="6"/>
      <c r="BL593" s="6"/>
      <c r="BM593" s="6"/>
      <c r="BN593" s="6"/>
      <c r="BO593" s="6"/>
      <c r="BP593" s="3">
        <v>3</v>
      </c>
      <c r="BQ593" s="6">
        <f t="shared" si="136"/>
        <v>3</v>
      </c>
      <c r="BV593">
        <v>3</v>
      </c>
    </row>
    <row r="594" spans="1:74" x14ac:dyDescent="0.3">
      <c r="A594" s="5" t="s">
        <v>931</v>
      </c>
      <c r="B594" s="3">
        <v>303</v>
      </c>
      <c r="C594" s="3" t="s">
        <v>1485</v>
      </c>
      <c r="D594" s="3">
        <v>0.75</v>
      </c>
      <c r="E594" s="3" t="s">
        <v>19</v>
      </c>
      <c r="F594" s="3" t="s">
        <v>19</v>
      </c>
      <c r="G594" s="3" t="s">
        <v>19</v>
      </c>
      <c r="H594" s="3" t="s">
        <v>1486</v>
      </c>
      <c r="I594" s="3"/>
      <c r="J594" s="3" t="s">
        <v>91</v>
      </c>
      <c r="K594" s="3" t="s">
        <v>1487</v>
      </c>
      <c r="L594" s="3" t="s">
        <v>24</v>
      </c>
      <c r="M594" s="3">
        <v>7</v>
      </c>
      <c r="N594" s="6"/>
      <c r="O594" s="3">
        <v>0</v>
      </c>
      <c r="P594" s="3">
        <v>7</v>
      </c>
      <c r="Q594" s="3">
        <v>7</v>
      </c>
      <c r="R594" s="3">
        <v>0</v>
      </c>
      <c r="S594" s="3">
        <v>0</v>
      </c>
      <c r="T594" s="3">
        <v>0</v>
      </c>
      <c r="U594" s="3">
        <v>0</v>
      </c>
      <c r="V594" s="3">
        <f t="shared" si="137"/>
        <v>7</v>
      </c>
      <c r="W594" s="3">
        <v>7</v>
      </c>
      <c r="X594" s="3">
        <v>0</v>
      </c>
      <c r="Y594" s="3">
        <v>0</v>
      </c>
      <c r="Z594" s="3">
        <v>0</v>
      </c>
      <c r="AA594" s="3">
        <v>0</v>
      </c>
      <c r="AB594" s="3">
        <f t="shared" si="138"/>
        <v>7</v>
      </c>
      <c r="AC594" s="6">
        <f t="shared" si="131"/>
        <v>-7</v>
      </c>
      <c r="AD594" s="6">
        <f t="shared" si="132"/>
        <v>0</v>
      </c>
      <c r="AE594" s="6">
        <f t="shared" si="133"/>
        <v>0</v>
      </c>
      <c r="AF594" s="6">
        <f t="shared" si="134"/>
        <v>0</v>
      </c>
      <c r="AG594" s="6">
        <f t="shared" si="135"/>
        <v>0</v>
      </c>
      <c r="AH594" s="6">
        <f t="shared" si="139"/>
        <v>-7</v>
      </c>
      <c r="AI594" s="3"/>
      <c r="AJ594" s="3" t="e">
        <f>_xlfn.XLOOKUP(K594,工作表1!A:A,工作表1!C:C)</f>
        <v>#N/A</v>
      </c>
      <c r="AK594" s="3"/>
      <c r="AL594" s="6">
        <f t="shared" si="140"/>
        <v>0</v>
      </c>
      <c r="AM594" s="6">
        <f t="shared" si="141"/>
        <v>0</v>
      </c>
      <c r="AN594" s="6">
        <f t="shared" si="142"/>
        <v>0</v>
      </c>
      <c r="AO594" s="6">
        <f t="shared" si="143"/>
        <v>0</v>
      </c>
      <c r="AP594" s="6">
        <f t="shared" si="144"/>
        <v>0</v>
      </c>
      <c r="AQ594" s="6">
        <f t="shared" si="145"/>
        <v>0</v>
      </c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  <c r="BC594" s="6"/>
      <c r="BD594" s="6"/>
      <c r="BE594" s="6"/>
      <c r="BF594" s="6"/>
      <c r="BG594" s="6"/>
      <c r="BH594" s="6"/>
      <c r="BI594" s="6"/>
      <c r="BJ594" s="6"/>
      <c r="BK594" s="6"/>
      <c r="BL594" s="6"/>
      <c r="BM594" s="6"/>
      <c r="BN594" s="6"/>
      <c r="BO594" s="6"/>
      <c r="BP594" s="3">
        <v>7</v>
      </c>
      <c r="BQ594" s="6">
        <f t="shared" si="136"/>
        <v>0</v>
      </c>
    </row>
    <row r="595" spans="1:74" x14ac:dyDescent="0.3">
      <c r="A595" s="3" t="s">
        <v>931</v>
      </c>
      <c r="B595" s="3">
        <v>303</v>
      </c>
      <c r="C595" s="3" t="s">
        <v>975</v>
      </c>
      <c r="D595" s="3">
        <v>0.75</v>
      </c>
      <c r="E595" s="3" t="s">
        <v>19</v>
      </c>
      <c r="F595" s="3" t="s">
        <v>19</v>
      </c>
      <c r="G595" s="3" t="s">
        <v>19</v>
      </c>
      <c r="H595" s="3" t="s">
        <v>103</v>
      </c>
      <c r="I595" s="3"/>
      <c r="J595" s="3" t="s">
        <v>91</v>
      </c>
      <c r="K595" s="3" t="s">
        <v>976</v>
      </c>
      <c r="L595" s="3" t="s">
        <v>24</v>
      </c>
      <c r="M595" s="3">
        <v>9</v>
      </c>
      <c r="N595" s="6"/>
      <c r="O595" s="3">
        <v>9</v>
      </c>
      <c r="P595" s="3">
        <v>9</v>
      </c>
      <c r="Q595" s="3">
        <v>9</v>
      </c>
      <c r="R595" s="3">
        <v>0</v>
      </c>
      <c r="S595" s="3">
        <v>0</v>
      </c>
      <c r="T595" s="3">
        <v>0</v>
      </c>
      <c r="U595" s="3">
        <v>0</v>
      </c>
      <c r="V595" s="3">
        <f t="shared" si="137"/>
        <v>9</v>
      </c>
      <c r="W595" s="3">
        <v>9</v>
      </c>
      <c r="X595" s="3">
        <v>0</v>
      </c>
      <c r="Y595" s="3">
        <v>0</v>
      </c>
      <c r="Z595" s="3">
        <v>0</v>
      </c>
      <c r="AA595" s="3">
        <v>0</v>
      </c>
      <c r="AB595" s="3">
        <f t="shared" si="138"/>
        <v>9</v>
      </c>
      <c r="AC595" s="6">
        <f t="shared" si="131"/>
        <v>-9</v>
      </c>
      <c r="AD595" s="6">
        <f t="shared" si="132"/>
        <v>0</v>
      </c>
      <c r="AE595" s="6">
        <f t="shared" si="133"/>
        <v>0</v>
      </c>
      <c r="AF595" s="6">
        <f t="shared" si="134"/>
        <v>0</v>
      </c>
      <c r="AG595" s="6">
        <f t="shared" si="135"/>
        <v>0</v>
      </c>
      <c r="AH595" s="6">
        <f t="shared" si="139"/>
        <v>-9</v>
      </c>
      <c r="AI595" s="3"/>
      <c r="AJ595" s="3" t="e">
        <f>_xlfn.XLOOKUP(K595,工作表1!A:A,工作表1!C:C)</f>
        <v>#N/A</v>
      </c>
      <c r="AK595" s="3"/>
      <c r="AL595" s="6">
        <f t="shared" si="140"/>
        <v>0</v>
      </c>
      <c r="AM595" s="6">
        <f t="shared" si="141"/>
        <v>0</v>
      </c>
      <c r="AN595" s="6">
        <f t="shared" si="142"/>
        <v>0</v>
      </c>
      <c r="AO595" s="6">
        <f t="shared" si="143"/>
        <v>0</v>
      </c>
      <c r="AP595" s="6">
        <f t="shared" si="144"/>
        <v>0</v>
      </c>
      <c r="AQ595" s="6">
        <f t="shared" si="145"/>
        <v>0</v>
      </c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  <c r="BC595" s="6"/>
      <c r="BD595" s="6"/>
      <c r="BE595" s="6"/>
      <c r="BF595" s="6"/>
      <c r="BG595" s="6"/>
      <c r="BH595" s="6"/>
      <c r="BI595" s="6"/>
      <c r="BJ595" s="6"/>
      <c r="BK595" s="6"/>
      <c r="BL595" s="6"/>
      <c r="BM595" s="6"/>
      <c r="BN595" s="6"/>
      <c r="BO595" s="6"/>
      <c r="BP595" s="3">
        <v>9</v>
      </c>
      <c r="BQ595" s="6">
        <f t="shared" si="136"/>
        <v>0</v>
      </c>
    </row>
    <row r="596" spans="1:74" x14ac:dyDescent="0.3">
      <c r="A596" s="3" t="s">
        <v>931</v>
      </c>
      <c r="B596" s="3">
        <v>303</v>
      </c>
      <c r="C596" s="3" t="s">
        <v>977</v>
      </c>
      <c r="D596" s="3">
        <v>10</v>
      </c>
      <c r="E596" s="3" t="s">
        <v>19</v>
      </c>
      <c r="F596" s="3" t="s">
        <v>767</v>
      </c>
      <c r="G596" s="3" t="s">
        <v>19</v>
      </c>
      <c r="H596" s="3" t="s">
        <v>933</v>
      </c>
      <c r="I596" s="3">
        <v>9.27</v>
      </c>
      <c r="J596" s="3" t="s">
        <v>91</v>
      </c>
      <c r="K596" s="3" t="s">
        <v>978</v>
      </c>
      <c r="L596" s="3" t="s">
        <v>24</v>
      </c>
      <c r="M596" s="3">
        <v>10</v>
      </c>
      <c r="N596" s="6"/>
      <c r="O596" s="3">
        <v>10</v>
      </c>
      <c r="P596" s="3">
        <v>10</v>
      </c>
      <c r="Q596" s="3">
        <v>10</v>
      </c>
      <c r="R596" s="3">
        <v>0</v>
      </c>
      <c r="S596" s="3">
        <v>0</v>
      </c>
      <c r="T596" s="3">
        <v>0</v>
      </c>
      <c r="U596" s="3">
        <v>0</v>
      </c>
      <c r="V596" s="3">
        <f t="shared" si="137"/>
        <v>10</v>
      </c>
      <c r="W596" s="3">
        <v>10</v>
      </c>
      <c r="X596" s="3">
        <v>0</v>
      </c>
      <c r="Y596" s="3">
        <v>0</v>
      </c>
      <c r="Z596" s="3">
        <v>0</v>
      </c>
      <c r="AA596" s="3">
        <v>0</v>
      </c>
      <c r="AB596" s="3">
        <f t="shared" si="138"/>
        <v>10</v>
      </c>
      <c r="AC596" s="6">
        <f t="shared" si="131"/>
        <v>0</v>
      </c>
      <c r="AD596" s="6">
        <f t="shared" si="132"/>
        <v>0</v>
      </c>
      <c r="AE596" s="6">
        <f t="shared" si="133"/>
        <v>0</v>
      </c>
      <c r="AF596" s="6">
        <f t="shared" si="134"/>
        <v>0</v>
      </c>
      <c r="AG596" s="6">
        <f t="shared" si="135"/>
        <v>0</v>
      </c>
      <c r="AH596" s="6">
        <f t="shared" si="139"/>
        <v>0</v>
      </c>
      <c r="AI596" s="3"/>
      <c r="AJ596" s="3" t="e">
        <f>_xlfn.XLOOKUP(K596,工作表1!A:A,工作表1!C:C)</f>
        <v>#N/A</v>
      </c>
      <c r="AK596" s="3"/>
      <c r="AL596" s="6">
        <f t="shared" si="140"/>
        <v>10</v>
      </c>
      <c r="AM596" s="6">
        <f t="shared" si="141"/>
        <v>0</v>
      </c>
      <c r="AN596" s="6">
        <f t="shared" si="142"/>
        <v>0</v>
      </c>
      <c r="AO596" s="6">
        <f t="shared" si="143"/>
        <v>0</v>
      </c>
      <c r="AP596" s="6">
        <f t="shared" si="144"/>
        <v>0</v>
      </c>
      <c r="AQ596" s="6">
        <f t="shared" si="145"/>
        <v>10</v>
      </c>
      <c r="AR596" s="6"/>
      <c r="AS596" s="6"/>
      <c r="AT596" s="6"/>
      <c r="AU596" s="6">
        <v>10</v>
      </c>
      <c r="AV596" s="6"/>
      <c r="AW596" s="6"/>
      <c r="AX596" s="6"/>
      <c r="AY596" s="6"/>
      <c r="AZ596" s="6"/>
      <c r="BA596" s="6"/>
      <c r="BB596" s="6"/>
      <c r="BC596" s="6"/>
      <c r="BD596" s="6"/>
      <c r="BE596" s="6"/>
      <c r="BF596" s="6"/>
      <c r="BG596" s="6"/>
      <c r="BH596" s="6"/>
      <c r="BI596" s="6"/>
      <c r="BJ596" s="6"/>
      <c r="BK596" s="6"/>
      <c r="BL596" s="6"/>
      <c r="BM596" s="6"/>
      <c r="BN596" s="6"/>
      <c r="BO596" s="6"/>
      <c r="BP596" s="3">
        <v>10</v>
      </c>
      <c r="BQ596" s="6">
        <f t="shared" si="136"/>
        <v>10</v>
      </c>
      <c r="BV596">
        <v>10</v>
      </c>
    </row>
    <row r="597" spans="1:74" x14ac:dyDescent="0.3">
      <c r="A597" s="3" t="s">
        <v>931</v>
      </c>
      <c r="B597" s="3">
        <v>303</v>
      </c>
      <c r="C597" s="3" t="s">
        <v>977</v>
      </c>
      <c r="D597" s="3">
        <v>6</v>
      </c>
      <c r="E597" s="3" t="s">
        <v>19</v>
      </c>
      <c r="F597" s="3" t="s">
        <v>767</v>
      </c>
      <c r="G597" s="3" t="s">
        <v>19</v>
      </c>
      <c r="H597" s="3" t="s">
        <v>937</v>
      </c>
      <c r="I597" s="3">
        <v>7.11</v>
      </c>
      <c r="J597" s="3" t="s">
        <v>91</v>
      </c>
      <c r="K597" s="3" t="s">
        <v>979</v>
      </c>
      <c r="L597" s="3" t="s">
        <v>24</v>
      </c>
      <c r="M597" s="3">
        <v>13</v>
      </c>
      <c r="N597" s="6"/>
      <c r="O597" s="3">
        <v>13</v>
      </c>
      <c r="P597" s="3">
        <v>13</v>
      </c>
      <c r="Q597" s="3">
        <v>13</v>
      </c>
      <c r="R597" s="3">
        <v>0</v>
      </c>
      <c r="S597" s="3">
        <v>0</v>
      </c>
      <c r="T597" s="3">
        <v>0</v>
      </c>
      <c r="U597" s="3">
        <v>0</v>
      </c>
      <c r="V597" s="3">
        <f t="shared" si="137"/>
        <v>13</v>
      </c>
      <c r="W597" s="3">
        <v>13</v>
      </c>
      <c r="X597" s="3">
        <v>0</v>
      </c>
      <c r="Y597" s="3">
        <v>0</v>
      </c>
      <c r="Z597" s="3">
        <v>0</v>
      </c>
      <c r="AA597" s="3">
        <v>0</v>
      </c>
      <c r="AB597" s="3">
        <f t="shared" si="138"/>
        <v>13</v>
      </c>
      <c r="AC597" s="6">
        <f t="shared" si="131"/>
        <v>0</v>
      </c>
      <c r="AD597" s="6">
        <f t="shared" si="132"/>
        <v>0</v>
      </c>
      <c r="AE597" s="6">
        <f t="shared" si="133"/>
        <v>0</v>
      </c>
      <c r="AF597" s="6">
        <f t="shared" si="134"/>
        <v>0</v>
      </c>
      <c r="AG597" s="6">
        <f t="shared" si="135"/>
        <v>0</v>
      </c>
      <c r="AH597" s="6">
        <f t="shared" si="139"/>
        <v>0</v>
      </c>
      <c r="AI597" s="3"/>
      <c r="AJ597" s="3" t="e">
        <f>_xlfn.XLOOKUP(K597,工作表1!A:A,工作表1!C:C)</f>
        <v>#N/A</v>
      </c>
      <c r="AK597" s="3"/>
      <c r="AL597" s="6">
        <f t="shared" si="140"/>
        <v>13</v>
      </c>
      <c r="AM597" s="6">
        <f t="shared" si="141"/>
        <v>0</v>
      </c>
      <c r="AN597" s="6">
        <f t="shared" si="142"/>
        <v>0</v>
      </c>
      <c r="AO597" s="6">
        <f t="shared" si="143"/>
        <v>0</v>
      </c>
      <c r="AP597" s="6">
        <f t="shared" si="144"/>
        <v>0</v>
      </c>
      <c r="AQ597" s="6">
        <f t="shared" si="145"/>
        <v>13</v>
      </c>
      <c r="AR597" s="6"/>
      <c r="AS597" s="6"/>
      <c r="AT597" s="6"/>
      <c r="AU597" s="6">
        <v>13</v>
      </c>
      <c r="AV597" s="6"/>
      <c r="AW597" s="6"/>
      <c r="AX597" s="6"/>
      <c r="AY597" s="6"/>
      <c r="AZ597" s="6"/>
      <c r="BA597" s="6"/>
      <c r="BB597" s="6"/>
      <c r="BC597" s="6"/>
      <c r="BD597" s="6"/>
      <c r="BE597" s="6"/>
      <c r="BF597" s="6"/>
      <c r="BG597" s="6"/>
      <c r="BH597" s="6"/>
      <c r="BI597" s="6"/>
      <c r="BJ597" s="6"/>
      <c r="BK597" s="6"/>
      <c r="BL597" s="6"/>
      <c r="BM597" s="6"/>
      <c r="BN597" s="6"/>
      <c r="BO597" s="6"/>
      <c r="BP597" s="3">
        <v>13</v>
      </c>
      <c r="BQ597" s="6">
        <f t="shared" si="136"/>
        <v>13</v>
      </c>
      <c r="BV597">
        <v>13</v>
      </c>
    </row>
    <row r="598" spans="1:74" x14ac:dyDescent="0.3">
      <c r="A598" s="3" t="s">
        <v>931</v>
      </c>
      <c r="B598" s="3">
        <v>303</v>
      </c>
      <c r="C598" s="3" t="s">
        <v>977</v>
      </c>
      <c r="D598" s="3">
        <v>4</v>
      </c>
      <c r="E598" s="3" t="s">
        <v>19</v>
      </c>
      <c r="F598" s="3" t="s">
        <v>767</v>
      </c>
      <c r="G598" s="3" t="s">
        <v>19</v>
      </c>
      <c r="H598" s="3" t="s">
        <v>785</v>
      </c>
      <c r="I598" s="3">
        <v>6.02</v>
      </c>
      <c r="J598" s="3" t="s">
        <v>91</v>
      </c>
      <c r="K598" s="3" t="s">
        <v>980</v>
      </c>
      <c r="L598" s="3" t="s">
        <v>24</v>
      </c>
      <c r="M598" s="3">
        <v>9</v>
      </c>
      <c r="N598" s="6"/>
      <c r="O598" s="3">
        <v>9</v>
      </c>
      <c r="P598" s="3">
        <v>9</v>
      </c>
      <c r="Q598" s="3">
        <v>9</v>
      </c>
      <c r="R598" s="3">
        <v>0</v>
      </c>
      <c r="S598" s="3">
        <v>0</v>
      </c>
      <c r="T598" s="3">
        <v>0</v>
      </c>
      <c r="U598" s="3">
        <v>0</v>
      </c>
      <c r="V598" s="3">
        <f t="shared" si="137"/>
        <v>9</v>
      </c>
      <c r="W598" s="3">
        <v>9</v>
      </c>
      <c r="X598" s="3">
        <v>0</v>
      </c>
      <c r="Y598" s="3">
        <v>0</v>
      </c>
      <c r="Z598" s="3">
        <v>0</v>
      </c>
      <c r="AA598" s="3">
        <v>0</v>
      </c>
      <c r="AB598" s="3">
        <f t="shared" si="138"/>
        <v>9</v>
      </c>
      <c r="AC598" s="6">
        <f t="shared" si="131"/>
        <v>0</v>
      </c>
      <c r="AD598" s="6">
        <f t="shared" si="132"/>
        <v>0</v>
      </c>
      <c r="AE598" s="6">
        <f t="shared" si="133"/>
        <v>0</v>
      </c>
      <c r="AF598" s="6">
        <f t="shared" si="134"/>
        <v>0</v>
      </c>
      <c r="AG598" s="6">
        <f t="shared" si="135"/>
        <v>0</v>
      </c>
      <c r="AH598" s="6">
        <f t="shared" si="139"/>
        <v>0</v>
      </c>
      <c r="AI598" s="3"/>
      <c r="AJ598" s="3" t="e">
        <f>_xlfn.XLOOKUP(K598,工作表1!A:A,工作表1!C:C)</f>
        <v>#N/A</v>
      </c>
      <c r="AK598" s="3"/>
      <c r="AL598" s="6">
        <f t="shared" si="140"/>
        <v>9</v>
      </c>
      <c r="AM598" s="6">
        <f t="shared" si="141"/>
        <v>0</v>
      </c>
      <c r="AN598" s="6">
        <f t="shared" si="142"/>
        <v>0</v>
      </c>
      <c r="AO598" s="6">
        <f t="shared" si="143"/>
        <v>0</v>
      </c>
      <c r="AP598" s="6">
        <f t="shared" si="144"/>
        <v>0</v>
      </c>
      <c r="AQ598" s="6">
        <f t="shared" si="145"/>
        <v>9</v>
      </c>
      <c r="AR598" s="6"/>
      <c r="AS598" s="6"/>
      <c r="AT598" s="6"/>
      <c r="AU598" s="6">
        <v>9</v>
      </c>
      <c r="AV598" s="6"/>
      <c r="AW598" s="6"/>
      <c r="AX598" s="6"/>
      <c r="AY598" s="6"/>
      <c r="AZ598" s="6"/>
      <c r="BA598" s="6"/>
      <c r="BB598" s="6"/>
      <c r="BC598" s="6"/>
      <c r="BD598" s="6"/>
      <c r="BE598" s="6"/>
      <c r="BF598" s="6"/>
      <c r="BG598" s="6"/>
      <c r="BH598" s="6"/>
      <c r="BI598" s="6"/>
      <c r="BJ598" s="6"/>
      <c r="BK598" s="6"/>
      <c r="BL598" s="6"/>
      <c r="BM598" s="6"/>
      <c r="BN598" s="6"/>
      <c r="BO598" s="6"/>
      <c r="BP598" s="3">
        <v>9</v>
      </c>
      <c r="BQ598" s="6">
        <f t="shared" si="136"/>
        <v>9</v>
      </c>
      <c r="BV598">
        <v>9</v>
      </c>
    </row>
    <row r="599" spans="1:74" x14ac:dyDescent="0.3">
      <c r="A599" s="3" t="s">
        <v>931</v>
      </c>
      <c r="B599" s="3">
        <v>303</v>
      </c>
      <c r="C599" s="3" t="s">
        <v>977</v>
      </c>
      <c r="D599" s="3">
        <v>2</v>
      </c>
      <c r="E599" s="3" t="s">
        <v>19</v>
      </c>
      <c r="F599" s="3" t="s">
        <v>41</v>
      </c>
      <c r="G599" s="3" t="s">
        <v>19</v>
      </c>
      <c r="H599" s="3" t="s">
        <v>54</v>
      </c>
      <c r="I599" s="3">
        <v>8.74</v>
      </c>
      <c r="J599" s="3" t="s">
        <v>91</v>
      </c>
      <c r="K599" s="3" t="s">
        <v>981</v>
      </c>
      <c r="L599" s="3" t="s">
        <v>24</v>
      </c>
      <c r="M599" s="3">
        <v>4</v>
      </c>
      <c r="N599" s="6"/>
      <c r="O599" s="3">
        <v>4</v>
      </c>
      <c r="P599" s="3">
        <v>4</v>
      </c>
      <c r="Q599" s="3">
        <v>4</v>
      </c>
      <c r="R599" s="3">
        <v>0</v>
      </c>
      <c r="S599" s="3">
        <v>0</v>
      </c>
      <c r="T599" s="3">
        <v>0</v>
      </c>
      <c r="U599" s="3">
        <v>0</v>
      </c>
      <c r="V599" s="3">
        <f t="shared" si="137"/>
        <v>4</v>
      </c>
      <c r="W599" s="3">
        <v>4</v>
      </c>
      <c r="X599" s="3">
        <v>0</v>
      </c>
      <c r="Y599" s="3">
        <v>0</v>
      </c>
      <c r="Z599" s="3">
        <v>0</v>
      </c>
      <c r="AA599" s="3">
        <v>0</v>
      </c>
      <c r="AB599" s="3">
        <f t="shared" si="138"/>
        <v>4</v>
      </c>
      <c r="AC599" s="6">
        <f t="shared" ref="AC599:AC662" si="146">AL599-W599</f>
        <v>0</v>
      </c>
      <c r="AD599" s="6">
        <f t="shared" ref="AD599:AD662" si="147">AM599-X599</f>
        <v>0</v>
      </c>
      <c r="AE599" s="6">
        <f t="shared" ref="AE599:AE662" si="148">AN599-Y599</f>
        <v>0</v>
      </c>
      <c r="AF599" s="6">
        <f t="shared" ref="AF599:AF662" si="149">AO599-Z599</f>
        <v>0</v>
      </c>
      <c r="AG599" s="6">
        <f t="shared" ref="AG599:AG662" si="150">AP599-AA599</f>
        <v>0</v>
      </c>
      <c r="AH599" s="6">
        <f t="shared" si="139"/>
        <v>0</v>
      </c>
      <c r="AI599" s="3"/>
      <c r="AJ599" s="3" t="e">
        <f>_xlfn.XLOOKUP(K599,工作表1!A:A,工作表1!C:C)</f>
        <v>#N/A</v>
      </c>
      <c r="AK599" s="3"/>
      <c r="AL599" s="6">
        <f t="shared" si="140"/>
        <v>4</v>
      </c>
      <c r="AM599" s="6">
        <f t="shared" si="141"/>
        <v>0</v>
      </c>
      <c r="AN599" s="6">
        <f t="shared" si="142"/>
        <v>0</v>
      </c>
      <c r="AO599" s="6">
        <f t="shared" si="143"/>
        <v>0</v>
      </c>
      <c r="AP599" s="6">
        <f t="shared" si="144"/>
        <v>0</v>
      </c>
      <c r="AQ599" s="6">
        <f t="shared" si="145"/>
        <v>4</v>
      </c>
      <c r="AR599" s="6"/>
      <c r="AS599" s="6"/>
      <c r="AT599" s="6"/>
      <c r="AU599" s="6">
        <v>4</v>
      </c>
      <c r="AV599" s="6"/>
      <c r="AW599" s="6"/>
      <c r="AX599" s="6"/>
      <c r="AY599" s="6"/>
      <c r="AZ599" s="6"/>
      <c r="BA599" s="6"/>
      <c r="BB599" s="6"/>
      <c r="BC599" s="6"/>
      <c r="BD599" s="6"/>
      <c r="BE599" s="6"/>
      <c r="BF599" s="6"/>
      <c r="BG599" s="6"/>
      <c r="BH599" s="6"/>
      <c r="BI599" s="6"/>
      <c r="BJ599" s="6"/>
      <c r="BK599" s="6"/>
      <c r="BL599" s="6"/>
      <c r="BM599" s="6"/>
      <c r="BN599" s="6"/>
      <c r="BO599" s="6"/>
      <c r="BP599" s="3">
        <v>4</v>
      </c>
      <c r="BQ599" s="6">
        <f t="shared" si="136"/>
        <v>4</v>
      </c>
      <c r="BV599">
        <v>4</v>
      </c>
    </row>
    <row r="600" spans="1:74" x14ac:dyDescent="0.3">
      <c r="A600" s="3" t="s">
        <v>931</v>
      </c>
      <c r="B600" s="3">
        <v>303</v>
      </c>
      <c r="C600" s="3" t="s">
        <v>977</v>
      </c>
      <c r="D600" s="3">
        <v>1</v>
      </c>
      <c r="E600" s="3" t="s">
        <v>19</v>
      </c>
      <c r="F600" s="3" t="s">
        <v>41</v>
      </c>
      <c r="G600" s="3" t="s">
        <v>19</v>
      </c>
      <c r="H600" s="3" t="s">
        <v>59</v>
      </c>
      <c r="I600" s="3">
        <v>6.35</v>
      </c>
      <c r="J600" s="3" t="s">
        <v>91</v>
      </c>
      <c r="K600" s="3" t="s">
        <v>982</v>
      </c>
      <c r="L600" s="3" t="s">
        <v>24</v>
      </c>
      <c r="M600" s="3">
        <v>69</v>
      </c>
      <c r="N600" s="6"/>
      <c r="O600" s="3">
        <v>62</v>
      </c>
      <c r="P600" s="3">
        <v>62</v>
      </c>
      <c r="Q600" s="3">
        <v>62</v>
      </c>
      <c r="R600" s="3">
        <v>0</v>
      </c>
      <c r="S600" s="3">
        <v>0</v>
      </c>
      <c r="T600" s="3">
        <v>0</v>
      </c>
      <c r="U600" s="3">
        <v>0</v>
      </c>
      <c r="V600" s="3">
        <f t="shared" si="137"/>
        <v>62</v>
      </c>
      <c r="W600" s="3">
        <v>62</v>
      </c>
      <c r="X600" s="3">
        <v>0</v>
      </c>
      <c r="Y600" s="3">
        <v>0</v>
      </c>
      <c r="Z600" s="3">
        <v>0</v>
      </c>
      <c r="AA600" s="3">
        <v>0</v>
      </c>
      <c r="AB600" s="3">
        <f t="shared" si="138"/>
        <v>62</v>
      </c>
      <c r="AC600" s="6">
        <f t="shared" si="146"/>
        <v>0</v>
      </c>
      <c r="AD600" s="6">
        <f t="shared" si="147"/>
        <v>0</v>
      </c>
      <c r="AE600" s="6">
        <f t="shared" si="148"/>
        <v>0</v>
      </c>
      <c r="AF600" s="6">
        <f t="shared" si="149"/>
        <v>0</v>
      </c>
      <c r="AG600" s="6">
        <f t="shared" si="150"/>
        <v>0</v>
      </c>
      <c r="AH600" s="6">
        <f t="shared" si="139"/>
        <v>0</v>
      </c>
      <c r="AI600" s="3"/>
      <c r="AJ600" s="3" t="e">
        <f>_xlfn.XLOOKUP(K600,工作表1!A:A,工作表1!C:C)</f>
        <v>#N/A</v>
      </c>
      <c r="AK600" s="3"/>
      <c r="AL600" s="6">
        <f t="shared" si="140"/>
        <v>62</v>
      </c>
      <c r="AM600" s="6">
        <f t="shared" si="141"/>
        <v>0</v>
      </c>
      <c r="AN600" s="6">
        <f t="shared" si="142"/>
        <v>0</v>
      </c>
      <c r="AO600" s="6">
        <f t="shared" si="143"/>
        <v>0</v>
      </c>
      <c r="AP600" s="6">
        <f t="shared" si="144"/>
        <v>0</v>
      </c>
      <c r="AQ600" s="6">
        <f t="shared" si="145"/>
        <v>62</v>
      </c>
      <c r="AR600" s="6"/>
      <c r="AS600" s="6"/>
      <c r="AT600" s="6"/>
      <c r="AU600" s="6">
        <v>62</v>
      </c>
      <c r="AV600" s="6"/>
      <c r="AW600" s="6"/>
      <c r="AX600" s="6"/>
      <c r="AY600" s="6"/>
      <c r="AZ600" s="6"/>
      <c r="BA600" s="6"/>
      <c r="BB600" s="6"/>
      <c r="BC600" s="6"/>
      <c r="BD600" s="6"/>
      <c r="BE600" s="6"/>
      <c r="BF600" s="6"/>
      <c r="BG600" s="6"/>
      <c r="BH600" s="6"/>
      <c r="BI600" s="6"/>
      <c r="BJ600" s="6"/>
      <c r="BK600" s="6"/>
      <c r="BL600" s="6"/>
      <c r="BM600" s="6"/>
      <c r="BN600" s="6"/>
      <c r="BO600" s="6"/>
      <c r="BP600" s="3">
        <v>62</v>
      </c>
      <c r="BQ600" s="6">
        <f t="shared" si="136"/>
        <v>62</v>
      </c>
      <c r="BV600">
        <v>62</v>
      </c>
    </row>
    <row r="601" spans="1:74" x14ac:dyDescent="0.3">
      <c r="A601" s="3" t="s">
        <v>931</v>
      </c>
      <c r="B601" s="3">
        <v>303</v>
      </c>
      <c r="C601" s="3" t="s">
        <v>977</v>
      </c>
      <c r="D601" s="3">
        <v>0.75</v>
      </c>
      <c r="E601" s="3" t="s">
        <v>19</v>
      </c>
      <c r="F601" s="3" t="s">
        <v>41</v>
      </c>
      <c r="G601" s="3" t="s">
        <v>19</v>
      </c>
      <c r="H601" s="3" t="s">
        <v>61</v>
      </c>
      <c r="I601" s="3">
        <v>5.56</v>
      </c>
      <c r="J601" s="3" t="s">
        <v>91</v>
      </c>
      <c r="K601" s="3" t="s">
        <v>983</v>
      </c>
      <c r="L601" s="3" t="s">
        <v>24</v>
      </c>
      <c r="M601" s="3">
        <v>140</v>
      </c>
      <c r="N601" s="6"/>
      <c r="O601" s="3">
        <v>66</v>
      </c>
      <c r="P601" s="3">
        <v>66</v>
      </c>
      <c r="Q601" s="3">
        <v>66</v>
      </c>
      <c r="R601" s="3">
        <v>0</v>
      </c>
      <c r="S601" s="3">
        <v>0</v>
      </c>
      <c r="T601" s="3">
        <v>0</v>
      </c>
      <c r="U601" s="3">
        <v>0</v>
      </c>
      <c r="V601" s="3">
        <f t="shared" si="137"/>
        <v>66</v>
      </c>
      <c r="W601" s="3">
        <v>66</v>
      </c>
      <c r="X601" s="3">
        <v>0</v>
      </c>
      <c r="Y601" s="3">
        <v>0</v>
      </c>
      <c r="Z601" s="3">
        <v>0</v>
      </c>
      <c r="AA601" s="3">
        <v>0</v>
      </c>
      <c r="AB601" s="3">
        <f t="shared" si="138"/>
        <v>66</v>
      </c>
      <c r="AC601" s="6">
        <f t="shared" si="146"/>
        <v>0</v>
      </c>
      <c r="AD601" s="6">
        <f t="shared" si="147"/>
        <v>0</v>
      </c>
      <c r="AE601" s="6">
        <f t="shared" si="148"/>
        <v>0</v>
      </c>
      <c r="AF601" s="6">
        <f t="shared" si="149"/>
        <v>0</v>
      </c>
      <c r="AG601" s="6">
        <f t="shared" si="150"/>
        <v>0</v>
      </c>
      <c r="AH601" s="6">
        <f t="shared" si="139"/>
        <v>0</v>
      </c>
      <c r="AI601" s="3"/>
      <c r="AJ601" s="3" t="e">
        <f>_xlfn.XLOOKUP(K601,工作表1!A:A,工作表1!C:C)</f>
        <v>#N/A</v>
      </c>
      <c r="AK601" s="3"/>
      <c r="AL601" s="6">
        <f t="shared" si="140"/>
        <v>66</v>
      </c>
      <c r="AM601" s="6">
        <f t="shared" si="141"/>
        <v>0</v>
      </c>
      <c r="AN601" s="6">
        <f t="shared" si="142"/>
        <v>0</v>
      </c>
      <c r="AO601" s="6">
        <f t="shared" si="143"/>
        <v>0</v>
      </c>
      <c r="AP601" s="6">
        <f t="shared" si="144"/>
        <v>0</v>
      </c>
      <c r="AQ601" s="6">
        <f t="shared" si="145"/>
        <v>66</v>
      </c>
      <c r="AR601" s="6"/>
      <c r="AS601" s="6"/>
      <c r="AT601" s="6"/>
      <c r="AU601" s="6">
        <v>66</v>
      </c>
      <c r="AV601" s="6"/>
      <c r="AW601" s="6"/>
      <c r="AX601" s="6"/>
      <c r="AY601" s="6"/>
      <c r="AZ601" s="6"/>
      <c r="BA601" s="6"/>
      <c r="BB601" s="6"/>
      <c r="BC601" s="6"/>
      <c r="BD601" s="6"/>
      <c r="BE601" s="6"/>
      <c r="BF601" s="6"/>
      <c r="BG601" s="6"/>
      <c r="BH601" s="6"/>
      <c r="BI601" s="6"/>
      <c r="BJ601" s="6"/>
      <c r="BK601" s="6"/>
      <c r="BL601" s="6"/>
      <c r="BM601" s="6"/>
      <c r="BN601" s="6"/>
      <c r="BO601" s="6"/>
      <c r="BP601" s="3">
        <v>66</v>
      </c>
      <c r="BQ601" s="6">
        <f t="shared" si="136"/>
        <v>66</v>
      </c>
      <c r="BV601">
        <v>66</v>
      </c>
    </row>
    <row r="602" spans="1:74" x14ac:dyDescent="0.3">
      <c r="A602" s="3" t="s">
        <v>931</v>
      </c>
      <c r="B602" s="3">
        <v>303</v>
      </c>
      <c r="C602" s="3" t="s">
        <v>977</v>
      </c>
      <c r="D602" s="3">
        <v>0.5</v>
      </c>
      <c r="E602" s="3" t="s">
        <v>19</v>
      </c>
      <c r="F602" s="3" t="s">
        <v>25</v>
      </c>
      <c r="G602" s="3" t="s">
        <v>19</v>
      </c>
      <c r="H602" s="3" t="s">
        <v>81</v>
      </c>
      <c r="I602" s="3">
        <v>3.73</v>
      </c>
      <c r="J602" s="3" t="s">
        <v>91</v>
      </c>
      <c r="K602" s="3" t="s">
        <v>984</v>
      </c>
      <c r="L602" s="3" t="s">
        <v>24</v>
      </c>
      <c r="M602" s="3">
        <v>35</v>
      </c>
      <c r="N602" s="6"/>
      <c r="O602" s="3">
        <v>2</v>
      </c>
      <c r="P602" s="3">
        <v>2</v>
      </c>
      <c r="Q602" s="3">
        <v>2</v>
      </c>
      <c r="R602" s="3">
        <v>0</v>
      </c>
      <c r="S602" s="3">
        <v>0</v>
      </c>
      <c r="T602" s="3">
        <v>0</v>
      </c>
      <c r="U602" s="3">
        <v>0</v>
      </c>
      <c r="V602" s="3">
        <f t="shared" si="137"/>
        <v>2</v>
      </c>
      <c r="W602" s="3">
        <v>2</v>
      </c>
      <c r="X602" s="3">
        <v>0</v>
      </c>
      <c r="Y602" s="3">
        <v>0</v>
      </c>
      <c r="Z602" s="3">
        <v>0</v>
      </c>
      <c r="AA602" s="3">
        <v>0</v>
      </c>
      <c r="AB602" s="3">
        <f t="shared" si="138"/>
        <v>2</v>
      </c>
      <c r="AC602" s="6">
        <f t="shared" si="146"/>
        <v>0</v>
      </c>
      <c r="AD602" s="6">
        <f t="shared" si="147"/>
        <v>0</v>
      </c>
      <c r="AE602" s="6">
        <f t="shared" si="148"/>
        <v>0</v>
      </c>
      <c r="AF602" s="6">
        <f t="shared" si="149"/>
        <v>0</v>
      </c>
      <c r="AG602" s="6">
        <f t="shared" si="150"/>
        <v>0</v>
      </c>
      <c r="AH602" s="6">
        <f t="shared" si="139"/>
        <v>0</v>
      </c>
      <c r="AI602" s="3"/>
      <c r="AJ602" s="3" t="e">
        <f>_xlfn.XLOOKUP(K602,工作表1!A:A,工作表1!C:C)</f>
        <v>#N/A</v>
      </c>
      <c r="AK602" s="3"/>
      <c r="AL602" s="6">
        <f t="shared" si="140"/>
        <v>2</v>
      </c>
      <c r="AM602" s="6">
        <f t="shared" si="141"/>
        <v>0</v>
      </c>
      <c r="AN602" s="6">
        <f t="shared" si="142"/>
        <v>0</v>
      </c>
      <c r="AO602" s="6">
        <f t="shared" si="143"/>
        <v>0</v>
      </c>
      <c r="AP602" s="6">
        <f t="shared" si="144"/>
        <v>0</v>
      </c>
      <c r="AQ602" s="6">
        <f t="shared" si="145"/>
        <v>2</v>
      </c>
      <c r="AR602" s="6"/>
      <c r="AS602" s="6"/>
      <c r="AT602" s="6"/>
      <c r="AU602" s="6">
        <v>2</v>
      </c>
      <c r="AV602" s="6"/>
      <c r="AW602" s="6"/>
      <c r="AX602" s="6"/>
      <c r="AY602" s="6"/>
      <c r="AZ602" s="6"/>
      <c r="BA602" s="6"/>
      <c r="BB602" s="6"/>
      <c r="BC602" s="6"/>
      <c r="BD602" s="6"/>
      <c r="BE602" s="6"/>
      <c r="BF602" s="6"/>
      <c r="BG602" s="6"/>
      <c r="BH602" s="6"/>
      <c r="BI602" s="6"/>
      <c r="BJ602" s="6"/>
      <c r="BK602" s="6"/>
      <c r="BL602" s="6"/>
      <c r="BM602" s="6"/>
      <c r="BN602" s="6"/>
      <c r="BO602" s="6"/>
      <c r="BP602" s="3">
        <v>2</v>
      </c>
      <c r="BQ602" s="6">
        <f t="shared" si="136"/>
        <v>2</v>
      </c>
      <c r="BV602">
        <v>2</v>
      </c>
    </row>
    <row r="603" spans="1:74" x14ac:dyDescent="0.3">
      <c r="A603" s="3" t="s">
        <v>931</v>
      </c>
      <c r="B603" s="3">
        <v>303</v>
      </c>
      <c r="C603" s="3" t="s">
        <v>985</v>
      </c>
      <c r="D603" s="3">
        <v>16</v>
      </c>
      <c r="E603" s="3" t="s">
        <v>19</v>
      </c>
      <c r="F603" s="3" t="s">
        <v>41</v>
      </c>
      <c r="G603" s="3" t="s">
        <v>19</v>
      </c>
      <c r="H603" s="3" t="s">
        <v>958</v>
      </c>
      <c r="I603" s="3">
        <v>40.49</v>
      </c>
      <c r="J603" s="3" t="s">
        <v>91</v>
      </c>
      <c r="K603" s="3" t="s">
        <v>986</v>
      </c>
      <c r="L603" s="3" t="s">
        <v>24</v>
      </c>
      <c r="M603" s="3">
        <v>14</v>
      </c>
      <c r="N603" s="6"/>
      <c r="O603" s="3">
        <v>14</v>
      </c>
      <c r="P603" s="3">
        <v>14</v>
      </c>
      <c r="Q603" s="3">
        <v>14</v>
      </c>
      <c r="R603" s="3">
        <v>0</v>
      </c>
      <c r="S603" s="3">
        <v>0</v>
      </c>
      <c r="T603" s="3">
        <v>0</v>
      </c>
      <c r="U603" s="3">
        <v>0</v>
      </c>
      <c r="V603" s="3">
        <f t="shared" si="137"/>
        <v>14</v>
      </c>
      <c r="W603" s="3">
        <v>14</v>
      </c>
      <c r="X603" s="3">
        <v>0</v>
      </c>
      <c r="Y603" s="3">
        <v>0</v>
      </c>
      <c r="Z603" s="3">
        <v>0</v>
      </c>
      <c r="AA603" s="3">
        <v>0</v>
      </c>
      <c r="AB603" s="3">
        <f t="shared" si="138"/>
        <v>14</v>
      </c>
      <c r="AC603" s="6">
        <f t="shared" si="146"/>
        <v>-1</v>
      </c>
      <c r="AD603" s="6">
        <f t="shared" si="147"/>
        <v>0</v>
      </c>
      <c r="AE603" s="6">
        <f t="shared" si="148"/>
        <v>0</v>
      </c>
      <c r="AF603" s="6">
        <f t="shared" si="149"/>
        <v>0</v>
      </c>
      <c r="AG603" s="6">
        <f t="shared" si="150"/>
        <v>0</v>
      </c>
      <c r="AH603" s="6">
        <f t="shared" si="139"/>
        <v>-1</v>
      </c>
      <c r="AI603" s="3"/>
      <c r="AJ603" s="3" t="e">
        <f>_xlfn.XLOOKUP(K603,工作表1!A:A,工作表1!C:C)</f>
        <v>#N/A</v>
      </c>
      <c r="AK603" s="3"/>
      <c r="AL603" s="6">
        <f t="shared" si="140"/>
        <v>13</v>
      </c>
      <c r="AM603" s="6">
        <f t="shared" si="141"/>
        <v>0</v>
      </c>
      <c r="AN603" s="6">
        <f t="shared" si="142"/>
        <v>0</v>
      </c>
      <c r="AO603" s="6">
        <f t="shared" si="143"/>
        <v>0</v>
      </c>
      <c r="AP603" s="6">
        <f t="shared" si="144"/>
        <v>0</v>
      </c>
      <c r="AQ603" s="6">
        <f t="shared" si="145"/>
        <v>13</v>
      </c>
      <c r="AR603" s="6"/>
      <c r="AS603" s="6"/>
      <c r="AT603" s="6"/>
      <c r="AU603" s="6">
        <v>13</v>
      </c>
      <c r="AV603" s="6"/>
      <c r="AW603" s="6"/>
      <c r="AX603" s="6"/>
      <c r="AY603" s="6"/>
      <c r="AZ603" s="6"/>
      <c r="BA603" s="6"/>
      <c r="BB603" s="6"/>
      <c r="BC603" s="6"/>
      <c r="BD603" s="6"/>
      <c r="BE603" s="6"/>
      <c r="BF603" s="6"/>
      <c r="BG603" s="6"/>
      <c r="BH603" s="6"/>
      <c r="BI603" s="6"/>
      <c r="BJ603" s="6"/>
      <c r="BK603" s="6"/>
      <c r="BL603" s="6"/>
      <c r="BM603" s="6"/>
      <c r="BN603" s="6"/>
      <c r="BO603" s="6"/>
      <c r="BP603" s="3">
        <v>14</v>
      </c>
      <c r="BQ603" s="6">
        <f t="shared" si="136"/>
        <v>13</v>
      </c>
      <c r="BV603">
        <v>13</v>
      </c>
    </row>
    <row r="604" spans="1:74" x14ac:dyDescent="0.3">
      <c r="A604" s="3" t="s">
        <v>931</v>
      </c>
      <c r="B604" s="3">
        <v>303</v>
      </c>
      <c r="C604" s="3" t="s">
        <v>987</v>
      </c>
      <c r="D604" s="3">
        <v>14</v>
      </c>
      <c r="E604" s="3" t="s">
        <v>19</v>
      </c>
      <c r="F604" s="3" t="s">
        <v>41</v>
      </c>
      <c r="G604" s="3" t="s">
        <v>19</v>
      </c>
      <c r="H604" s="3" t="s">
        <v>948</v>
      </c>
      <c r="I604" s="3">
        <v>35.71</v>
      </c>
      <c r="J604" s="3" t="s">
        <v>91</v>
      </c>
      <c r="K604" s="3" t="s">
        <v>988</v>
      </c>
      <c r="L604" s="3" t="s">
        <v>24</v>
      </c>
      <c r="M604" s="3">
        <v>12</v>
      </c>
      <c r="N604" s="6"/>
      <c r="O604" s="3">
        <v>12</v>
      </c>
      <c r="P604" s="3">
        <v>12</v>
      </c>
      <c r="Q604" s="3">
        <v>12</v>
      </c>
      <c r="R604" s="3">
        <v>0</v>
      </c>
      <c r="S604" s="3">
        <v>0</v>
      </c>
      <c r="T604" s="3">
        <v>0</v>
      </c>
      <c r="U604" s="3">
        <v>0</v>
      </c>
      <c r="V604" s="3">
        <f t="shared" si="137"/>
        <v>12</v>
      </c>
      <c r="W604" s="3">
        <v>12</v>
      </c>
      <c r="X604" s="3">
        <v>0</v>
      </c>
      <c r="Y604" s="3">
        <v>0</v>
      </c>
      <c r="Z604" s="3">
        <v>0</v>
      </c>
      <c r="AA604" s="3">
        <v>0</v>
      </c>
      <c r="AB604" s="3">
        <f t="shared" si="138"/>
        <v>12</v>
      </c>
      <c r="AC604" s="6">
        <f t="shared" si="146"/>
        <v>0</v>
      </c>
      <c r="AD604" s="6">
        <f t="shared" si="147"/>
        <v>0</v>
      </c>
      <c r="AE604" s="6">
        <f t="shared" si="148"/>
        <v>0</v>
      </c>
      <c r="AF604" s="6">
        <f t="shared" si="149"/>
        <v>0</v>
      </c>
      <c r="AG604" s="6">
        <f t="shared" si="150"/>
        <v>0</v>
      </c>
      <c r="AH604" s="6">
        <f t="shared" si="139"/>
        <v>0</v>
      </c>
      <c r="AI604" s="3"/>
      <c r="AJ604" s="3" t="e">
        <f>_xlfn.XLOOKUP(K604,工作表1!A:A,工作表1!C:C)</f>
        <v>#N/A</v>
      </c>
      <c r="AK604" s="3"/>
      <c r="AL604" s="6">
        <f t="shared" si="140"/>
        <v>12</v>
      </c>
      <c r="AM604" s="6">
        <f t="shared" si="141"/>
        <v>0</v>
      </c>
      <c r="AN604" s="6">
        <f t="shared" si="142"/>
        <v>0</v>
      </c>
      <c r="AO604" s="6">
        <f t="shared" si="143"/>
        <v>0</v>
      </c>
      <c r="AP604" s="6">
        <f t="shared" si="144"/>
        <v>0</v>
      </c>
      <c r="AQ604" s="6">
        <f t="shared" si="145"/>
        <v>12</v>
      </c>
      <c r="AR604" s="6"/>
      <c r="AS604" s="6"/>
      <c r="AT604" s="6"/>
      <c r="AU604" s="6">
        <v>12</v>
      </c>
      <c r="AV604" s="6"/>
      <c r="AW604" s="6"/>
      <c r="AX604" s="6"/>
      <c r="AY604" s="6"/>
      <c r="AZ604" s="6"/>
      <c r="BA604" s="6"/>
      <c r="BB604" s="6"/>
      <c r="BC604" s="6"/>
      <c r="BD604" s="6"/>
      <c r="BE604" s="6"/>
      <c r="BF604" s="6"/>
      <c r="BG604" s="6"/>
      <c r="BH604" s="6"/>
      <c r="BI604" s="6"/>
      <c r="BJ604" s="6"/>
      <c r="BK604" s="6"/>
      <c r="BL604" s="6"/>
      <c r="BM604" s="6"/>
      <c r="BN604" s="6"/>
      <c r="BO604" s="6"/>
      <c r="BP604" s="3">
        <v>12</v>
      </c>
      <c r="BQ604" s="6">
        <f t="shared" si="136"/>
        <v>12</v>
      </c>
      <c r="BV604">
        <v>12</v>
      </c>
    </row>
    <row r="605" spans="1:74" x14ac:dyDescent="0.3">
      <c r="A605" s="3" t="s">
        <v>931</v>
      </c>
      <c r="B605" s="3">
        <v>303</v>
      </c>
      <c r="C605" s="3" t="s">
        <v>987</v>
      </c>
      <c r="D605" s="3">
        <v>12</v>
      </c>
      <c r="E605" s="3" t="s">
        <v>19</v>
      </c>
      <c r="F605" s="3" t="s">
        <v>41</v>
      </c>
      <c r="G605" s="3" t="s">
        <v>19</v>
      </c>
      <c r="H605" s="3" t="s">
        <v>949</v>
      </c>
      <c r="I605" s="3">
        <v>33.32</v>
      </c>
      <c r="J605" s="3" t="s">
        <v>91</v>
      </c>
      <c r="K605" s="3" t="s">
        <v>989</v>
      </c>
      <c r="L605" s="3" t="s">
        <v>24</v>
      </c>
      <c r="M605" s="3">
        <v>1</v>
      </c>
      <c r="N605" s="6"/>
      <c r="O605" s="3">
        <v>1</v>
      </c>
      <c r="P605" s="3">
        <v>1</v>
      </c>
      <c r="Q605" s="3">
        <v>1</v>
      </c>
      <c r="R605" s="3">
        <v>0</v>
      </c>
      <c r="S605" s="3">
        <v>0</v>
      </c>
      <c r="T605" s="3">
        <v>0</v>
      </c>
      <c r="U605" s="3">
        <v>0</v>
      </c>
      <c r="V605" s="3">
        <f t="shared" si="137"/>
        <v>1</v>
      </c>
      <c r="W605" s="3">
        <v>1</v>
      </c>
      <c r="X605" s="3">
        <v>0</v>
      </c>
      <c r="Y605" s="3">
        <v>0</v>
      </c>
      <c r="Z605" s="3">
        <v>0</v>
      </c>
      <c r="AA605" s="3">
        <v>0</v>
      </c>
      <c r="AB605" s="3">
        <f t="shared" si="138"/>
        <v>1</v>
      </c>
      <c r="AC605" s="6">
        <f t="shared" si="146"/>
        <v>0</v>
      </c>
      <c r="AD605" s="6">
        <f t="shared" si="147"/>
        <v>0</v>
      </c>
      <c r="AE605" s="6">
        <f t="shared" si="148"/>
        <v>0</v>
      </c>
      <c r="AF605" s="6">
        <f t="shared" si="149"/>
        <v>0</v>
      </c>
      <c r="AG605" s="6">
        <f t="shared" si="150"/>
        <v>0</v>
      </c>
      <c r="AH605" s="6">
        <f t="shared" si="139"/>
        <v>0</v>
      </c>
      <c r="AI605" s="3"/>
      <c r="AJ605" s="3" t="e">
        <f>_xlfn.XLOOKUP(K605,工作表1!A:A,工作表1!C:C)</f>
        <v>#N/A</v>
      </c>
      <c r="AK605" s="3"/>
      <c r="AL605" s="6">
        <f t="shared" si="140"/>
        <v>1</v>
      </c>
      <c r="AM605" s="6">
        <f t="shared" si="141"/>
        <v>0</v>
      </c>
      <c r="AN605" s="6">
        <f t="shared" si="142"/>
        <v>0</v>
      </c>
      <c r="AO605" s="6">
        <f t="shared" si="143"/>
        <v>0</v>
      </c>
      <c r="AP605" s="6">
        <f t="shared" si="144"/>
        <v>0</v>
      </c>
      <c r="AQ605" s="6">
        <f t="shared" si="145"/>
        <v>1</v>
      </c>
      <c r="AR605" s="6"/>
      <c r="AS605" s="6"/>
      <c r="AT605" s="6"/>
      <c r="AU605" s="6">
        <v>1</v>
      </c>
      <c r="AV605" s="6"/>
      <c r="AW605" s="6"/>
      <c r="AX605" s="6"/>
      <c r="AY605" s="6"/>
      <c r="AZ605" s="6"/>
      <c r="BA605" s="6"/>
      <c r="BB605" s="6"/>
      <c r="BC605" s="6"/>
      <c r="BD605" s="6"/>
      <c r="BE605" s="6"/>
      <c r="BF605" s="6"/>
      <c r="BG605" s="6"/>
      <c r="BH605" s="6"/>
      <c r="BI605" s="6"/>
      <c r="BJ605" s="6"/>
      <c r="BK605" s="6"/>
      <c r="BL605" s="6"/>
      <c r="BM605" s="6"/>
      <c r="BN605" s="6"/>
      <c r="BO605" s="6"/>
      <c r="BP605" s="3">
        <v>1</v>
      </c>
      <c r="BQ605" s="6">
        <f t="shared" si="136"/>
        <v>1</v>
      </c>
      <c r="BV605">
        <v>1</v>
      </c>
    </row>
    <row r="606" spans="1:74" x14ac:dyDescent="0.3">
      <c r="A606" s="3" t="s">
        <v>931</v>
      </c>
      <c r="B606" s="3">
        <v>303</v>
      </c>
      <c r="C606" s="3" t="s">
        <v>987</v>
      </c>
      <c r="D606" s="3">
        <v>10</v>
      </c>
      <c r="E606" s="3" t="s">
        <v>19</v>
      </c>
      <c r="F606" s="3" t="s">
        <v>41</v>
      </c>
      <c r="G606" s="3" t="s">
        <v>19</v>
      </c>
      <c r="H606" s="3" t="s">
        <v>950</v>
      </c>
      <c r="I606" s="3">
        <v>28.58</v>
      </c>
      <c r="J606" s="3" t="s">
        <v>91</v>
      </c>
      <c r="K606" s="3" t="s">
        <v>990</v>
      </c>
      <c r="L606" s="3" t="s">
        <v>24</v>
      </c>
      <c r="M606" s="3">
        <v>1</v>
      </c>
      <c r="N606" s="6"/>
      <c r="O606" s="3">
        <v>1</v>
      </c>
      <c r="P606" s="3">
        <v>1</v>
      </c>
      <c r="Q606" s="3">
        <v>1</v>
      </c>
      <c r="R606" s="3">
        <v>0</v>
      </c>
      <c r="S606" s="3">
        <v>0</v>
      </c>
      <c r="T606" s="3">
        <v>0</v>
      </c>
      <c r="U606" s="3">
        <v>0</v>
      </c>
      <c r="V606" s="3">
        <f t="shared" si="137"/>
        <v>1</v>
      </c>
      <c r="W606" s="3">
        <v>1</v>
      </c>
      <c r="X606" s="3">
        <v>0</v>
      </c>
      <c r="Y606" s="3">
        <v>0</v>
      </c>
      <c r="Z606" s="3">
        <v>0</v>
      </c>
      <c r="AA606" s="3">
        <v>0</v>
      </c>
      <c r="AB606" s="3">
        <f t="shared" si="138"/>
        <v>1</v>
      </c>
      <c r="AC606" s="6">
        <f t="shared" si="146"/>
        <v>0</v>
      </c>
      <c r="AD606" s="6">
        <f t="shared" si="147"/>
        <v>0</v>
      </c>
      <c r="AE606" s="6">
        <f t="shared" si="148"/>
        <v>0</v>
      </c>
      <c r="AF606" s="6">
        <f t="shared" si="149"/>
        <v>0</v>
      </c>
      <c r="AG606" s="6">
        <f t="shared" si="150"/>
        <v>0</v>
      </c>
      <c r="AH606" s="6">
        <f t="shared" si="139"/>
        <v>0</v>
      </c>
      <c r="AI606" s="3"/>
      <c r="AJ606" s="3" t="e">
        <f>_xlfn.XLOOKUP(K606,工作表1!A:A,工作表1!C:C)</f>
        <v>#N/A</v>
      </c>
      <c r="AK606" s="3"/>
      <c r="AL606" s="6">
        <f t="shared" si="140"/>
        <v>1</v>
      </c>
      <c r="AM606" s="6">
        <f t="shared" si="141"/>
        <v>0</v>
      </c>
      <c r="AN606" s="6">
        <f t="shared" si="142"/>
        <v>0</v>
      </c>
      <c r="AO606" s="6">
        <f t="shared" si="143"/>
        <v>0</v>
      </c>
      <c r="AP606" s="6">
        <f t="shared" si="144"/>
        <v>0</v>
      </c>
      <c r="AQ606" s="6">
        <f t="shared" si="145"/>
        <v>1</v>
      </c>
      <c r="AR606" s="6"/>
      <c r="AS606" s="6"/>
      <c r="AT606" s="6"/>
      <c r="AU606" s="6">
        <v>1</v>
      </c>
      <c r="AV606" s="6"/>
      <c r="AW606" s="6"/>
      <c r="AX606" s="6"/>
      <c r="AY606" s="6"/>
      <c r="AZ606" s="6"/>
      <c r="BA606" s="6"/>
      <c r="BB606" s="6"/>
      <c r="BC606" s="6"/>
      <c r="BD606" s="6"/>
      <c r="BE606" s="6"/>
      <c r="BF606" s="6"/>
      <c r="BG606" s="6"/>
      <c r="BH606" s="6"/>
      <c r="BI606" s="6"/>
      <c r="BJ606" s="6"/>
      <c r="BK606" s="6"/>
      <c r="BL606" s="6"/>
      <c r="BM606" s="6"/>
      <c r="BN606" s="6"/>
      <c r="BO606" s="6"/>
      <c r="BP606" s="3">
        <v>1</v>
      </c>
      <c r="BQ606" s="6">
        <f t="shared" si="136"/>
        <v>1</v>
      </c>
      <c r="BV606">
        <v>1</v>
      </c>
    </row>
    <row r="607" spans="1:74" x14ac:dyDescent="0.3">
      <c r="A607" s="3" t="s">
        <v>931</v>
      </c>
      <c r="B607" s="3">
        <v>303</v>
      </c>
      <c r="C607" s="3" t="s">
        <v>987</v>
      </c>
      <c r="D607" s="3">
        <v>8</v>
      </c>
      <c r="E607" s="3" t="s">
        <v>19</v>
      </c>
      <c r="F607" s="3" t="s">
        <v>41</v>
      </c>
      <c r="G607" s="3" t="s">
        <v>19</v>
      </c>
      <c r="H607" s="3" t="s">
        <v>952</v>
      </c>
      <c r="I607" s="3">
        <v>23.01</v>
      </c>
      <c r="J607" s="3" t="s">
        <v>91</v>
      </c>
      <c r="K607" s="3" t="s">
        <v>991</v>
      </c>
      <c r="L607" s="3" t="s">
        <v>24</v>
      </c>
      <c r="M607" s="3">
        <v>7</v>
      </c>
      <c r="N607" s="6"/>
      <c r="O607" s="3">
        <v>7</v>
      </c>
      <c r="P607" s="3">
        <v>7</v>
      </c>
      <c r="Q607" s="3">
        <v>7</v>
      </c>
      <c r="R607" s="3">
        <v>0</v>
      </c>
      <c r="S607" s="3">
        <v>0</v>
      </c>
      <c r="T607" s="3">
        <v>0</v>
      </c>
      <c r="U607" s="3">
        <v>0</v>
      </c>
      <c r="V607" s="3">
        <f t="shared" si="137"/>
        <v>7</v>
      </c>
      <c r="W607" s="3">
        <v>7</v>
      </c>
      <c r="X607" s="3">
        <v>0</v>
      </c>
      <c r="Y607" s="3">
        <v>0</v>
      </c>
      <c r="Z607" s="3">
        <v>0</v>
      </c>
      <c r="AA607" s="3">
        <v>0</v>
      </c>
      <c r="AB607" s="3">
        <f t="shared" si="138"/>
        <v>7</v>
      </c>
      <c r="AC607" s="6">
        <f t="shared" si="146"/>
        <v>-1</v>
      </c>
      <c r="AD607" s="6">
        <f t="shared" si="147"/>
        <v>0</v>
      </c>
      <c r="AE607" s="6">
        <f t="shared" si="148"/>
        <v>0</v>
      </c>
      <c r="AF607" s="6">
        <f t="shared" si="149"/>
        <v>0</v>
      </c>
      <c r="AG607" s="6">
        <f t="shared" si="150"/>
        <v>0</v>
      </c>
      <c r="AH607" s="6">
        <f t="shared" si="139"/>
        <v>-1</v>
      </c>
      <c r="AI607" s="3"/>
      <c r="AJ607" s="3" t="e">
        <f>_xlfn.XLOOKUP(K607,工作表1!A:A,工作表1!C:C)</f>
        <v>#N/A</v>
      </c>
      <c r="AK607" s="3"/>
      <c r="AL607" s="6">
        <f t="shared" si="140"/>
        <v>6</v>
      </c>
      <c r="AM607" s="6">
        <f t="shared" si="141"/>
        <v>0</v>
      </c>
      <c r="AN607" s="6">
        <f t="shared" si="142"/>
        <v>0</v>
      </c>
      <c r="AO607" s="6">
        <f t="shared" si="143"/>
        <v>0</v>
      </c>
      <c r="AP607" s="6">
        <f t="shared" si="144"/>
        <v>0</v>
      </c>
      <c r="AQ607" s="6">
        <f t="shared" si="145"/>
        <v>6</v>
      </c>
      <c r="AR607" s="6"/>
      <c r="AS607" s="6"/>
      <c r="AT607" s="6"/>
      <c r="AU607" s="6">
        <v>6</v>
      </c>
      <c r="AV607" s="6"/>
      <c r="AW607" s="6"/>
      <c r="AX607" s="6"/>
      <c r="AY607" s="6"/>
      <c r="AZ607" s="6"/>
      <c r="BA607" s="6"/>
      <c r="BB607" s="6"/>
      <c r="BC607" s="6"/>
      <c r="BD607" s="6"/>
      <c r="BE607" s="6"/>
      <c r="BF607" s="6"/>
      <c r="BG607" s="6"/>
      <c r="BH607" s="6"/>
      <c r="BI607" s="6"/>
      <c r="BJ607" s="6"/>
      <c r="BK607" s="6"/>
      <c r="BL607" s="6"/>
      <c r="BM607" s="6"/>
      <c r="BN607" s="6"/>
      <c r="BO607" s="6"/>
      <c r="BP607" s="3">
        <v>7</v>
      </c>
      <c r="BQ607" s="6">
        <f t="shared" si="136"/>
        <v>6</v>
      </c>
      <c r="BV607">
        <v>6</v>
      </c>
    </row>
    <row r="608" spans="1:74" x14ac:dyDescent="0.3">
      <c r="A608" s="3" t="s">
        <v>931</v>
      </c>
      <c r="B608" s="3">
        <v>303</v>
      </c>
      <c r="C608" s="3" t="s">
        <v>987</v>
      </c>
      <c r="D608" s="3">
        <v>6</v>
      </c>
      <c r="E608" s="3" t="s">
        <v>19</v>
      </c>
      <c r="F608" s="3" t="s">
        <v>41</v>
      </c>
      <c r="G608" s="3" t="s">
        <v>19</v>
      </c>
      <c r="H608" s="3" t="s">
        <v>42</v>
      </c>
      <c r="I608" s="3">
        <v>18.260000000000002</v>
      </c>
      <c r="J608" s="3" t="s">
        <v>91</v>
      </c>
      <c r="K608" s="3" t="s">
        <v>992</v>
      </c>
      <c r="L608" s="3" t="s">
        <v>24</v>
      </c>
      <c r="M608" s="3">
        <v>8</v>
      </c>
      <c r="N608" s="6"/>
      <c r="O608" s="3">
        <v>8</v>
      </c>
      <c r="P608" s="3">
        <v>8</v>
      </c>
      <c r="Q608" s="3">
        <v>8</v>
      </c>
      <c r="R608" s="3">
        <v>0</v>
      </c>
      <c r="S608" s="3">
        <v>0</v>
      </c>
      <c r="T608" s="3">
        <v>0</v>
      </c>
      <c r="U608" s="3">
        <v>0</v>
      </c>
      <c r="V608" s="3">
        <f t="shared" si="137"/>
        <v>8</v>
      </c>
      <c r="W608" s="3">
        <v>8</v>
      </c>
      <c r="X608" s="3">
        <v>0</v>
      </c>
      <c r="Y608" s="3">
        <v>0</v>
      </c>
      <c r="Z608" s="3">
        <v>0</v>
      </c>
      <c r="AA608" s="3">
        <v>0</v>
      </c>
      <c r="AB608" s="3">
        <f t="shared" si="138"/>
        <v>8</v>
      </c>
      <c r="AC608" s="6">
        <f t="shared" si="146"/>
        <v>0</v>
      </c>
      <c r="AD608" s="6">
        <f t="shared" si="147"/>
        <v>0</v>
      </c>
      <c r="AE608" s="6">
        <f t="shared" si="148"/>
        <v>0</v>
      </c>
      <c r="AF608" s="6">
        <f t="shared" si="149"/>
        <v>0</v>
      </c>
      <c r="AG608" s="6">
        <f t="shared" si="150"/>
        <v>0</v>
      </c>
      <c r="AH608" s="6">
        <f t="shared" si="139"/>
        <v>0</v>
      </c>
      <c r="AI608" s="3"/>
      <c r="AJ608" s="3" t="e">
        <f>_xlfn.XLOOKUP(K608,工作表1!A:A,工作表1!C:C)</f>
        <v>#N/A</v>
      </c>
      <c r="AK608" s="3"/>
      <c r="AL608" s="6">
        <f t="shared" si="140"/>
        <v>8</v>
      </c>
      <c r="AM608" s="6">
        <f t="shared" si="141"/>
        <v>0</v>
      </c>
      <c r="AN608" s="6">
        <f t="shared" si="142"/>
        <v>0</v>
      </c>
      <c r="AO608" s="6">
        <f t="shared" si="143"/>
        <v>0</v>
      </c>
      <c r="AP608" s="6">
        <f t="shared" si="144"/>
        <v>0</v>
      </c>
      <c r="AQ608" s="6">
        <f t="shared" si="145"/>
        <v>8</v>
      </c>
      <c r="AR608" s="6"/>
      <c r="AS608" s="6"/>
      <c r="AT608" s="6"/>
      <c r="AU608" s="6">
        <v>8</v>
      </c>
      <c r="AV608" s="6"/>
      <c r="AW608" s="6"/>
      <c r="AX608" s="6"/>
      <c r="AY608" s="6"/>
      <c r="AZ608" s="6"/>
      <c r="BA608" s="6"/>
      <c r="BB608" s="6"/>
      <c r="BC608" s="6"/>
      <c r="BD608" s="6"/>
      <c r="BE608" s="6"/>
      <c r="BF608" s="6"/>
      <c r="BG608" s="6"/>
      <c r="BH608" s="6"/>
      <c r="BI608" s="6"/>
      <c r="BJ608" s="6"/>
      <c r="BK608" s="6"/>
      <c r="BL608" s="6"/>
      <c r="BM608" s="6"/>
      <c r="BN608" s="6"/>
      <c r="BO608" s="6"/>
      <c r="BP608" s="3">
        <v>8</v>
      </c>
      <c r="BQ608" s="6">
        <f t="shared" si="136"/>
        <v>8</v>
      </c>
      <c r="BV608">
        <v>8</v>
      </c>
    </row>
    <row r="609" spans="1:74" x14ac:dyDescent="0.3">
      <c r="A609" s="3" t="s">
        <v>931</v>
      </c>
      <c r="B609" s="3">
        <v>303</v>
      </c>
      <c r="C609" s="3" t="s">
        <v>987</v>
      </c>
      <c r="D609" s="3">
        <v>4</v>
      </c>
      <c r="E609" s="3" t="s">
        <v>19</v>
      </c>
      <c r="F609" s="3" t="s">
        <v>41</v>
      </c>
      <c r="G609" s="3" t="s">
        <v>19</v>
      </c>
      <c r="H609" s="3" t="s">
        <v>48</v>
      </c>
      <c r="I609" s="3">
        <v>13.49</v>
      </c>
      <c r="J609" s="3" t="s">
        <v>91</v>
      </c>
      <c r="K609" s="3" t="s">
        <v>993</v>
      </c>
      <c r="L609" s="3" t="s">
        <v>24</v>
      </c>
      <c r="M609" s="3">
        <v>12</v>
      </c>
      <c r="N609" s="6"/>
      <c r="O609" s="3">
        <v>12</v>
      </c>
      <c r="P609" s="3">
        <v>12</v>
      </c>
      <c r="Q609" s="3">
        <v>12</v>
      </c>
      <c r="R609" s="3">
        <v>0</v>
      </c>
      <c r="S609" s="3">
        <v>0</v>
      </c>
      <c r="T609" s="3">
        <v>0</v>
      </c>
      <c r="U609" s="3">
        <v>0</v>
      </c>
      <c r="V609" s="3">
        <f t="shared" si="137"/>
        <v>12</v>
      </c>
      <c r="W609" s="3">
        <v>12</v>
      </c>
      <c r="X609" s="3">
        <v>0</v>
      </c>
      <c r="Y609" s="3">
        <v>0</v>
      </c>
      <c r="Z609" s="3">
        <v>0</v>
      </c>
      <c r="AA609" s="3">
        <v>0</v>
      </c>
      <c r="AB609" s="3">
        <f t="shared" si="138"/>
        <v>12</v>
      </c>
      <c r="AC609" s="6">
        <f t="shared" si="146"/>
        <v>0</v>
      </c>
      <c r="AD609" s="6">
        <f t="shared" si="147"/>
        <v>0</v>
      </c>
      <c r="AE609" s="6">
        <f t="shared" si="148"/>
        <v>0</v>
      </c>
      <c r="AF609" s="6">
        <f t="shared" si="149"/>
        <v>0</v>
      </c>
      <c r="AG609" s="6">
        <f t="shared" si="150"/>
        <v>0</v>
      </c>
      <c r="AH609" s="6">
        <f t="shared" si="139"/>
        <v>0</v>
      </c>
      <c r="AI609" s="3"/>
      <c r="AJ609" s="3" t="e">
        <f>_xlfn.XLOOKUP(K609,工作表1!A:A,工作表1!C:C)</f>
        <v>#N/A</v>
      </c>
      <c r="AK609" s="3"/>
      <c r="AL609" s="6">
        <f t="shared" si="140"/>
        <v>12</v>
      </c>
      <c r="AM609" s="6">
        <f t="shared" si="141"/>
        <v>0</v>
      </c>
      <c r="AN609" s="6">
        <f t="shared" si="142"/>
        <v>0</v>
      </c>
      <c r="AO609" s="6">
        <f t="shared" si="143"/>
        <v>0</v>
      </c>
      <c r="AP609" s="6">
        <f t="shared" si="144"/>
        <v>0</v>
      </c>
      <c r="AQ609" s="6">
        <f t="shared" si="145"/>
        <v>12</v>
      </c>
      <c r="AR609" s="6"/>
      <c r="AS609" s="6"/>
      <c r="AT609" s="6"/>
      <c r="AU609" s="6">
        <v>12</v>
      </c>
      <c r="AV609" s="6"/>
      <c r="AW609" s="6"/>
      <c r="AX609" s="6"/>
      <c r="AY609" s="6"/>
      <c r="AZ609" s="6"/>
      <c r="BA609" s="6"/>
      <c r="BB609" s="6"/>
      <c r="BC609" s="6"/>
      <c r="BD609" s="6"/>
      <c r="BE609" s="6"/>
      <c r="BF609" s="6"/>
      <c r="BG609" s="6"/>
      <c r="BH609" s="6"/>
      <c r="BI609" s="6"/>
      <c r="BJ609" s="6"/>
      <c r="BK609" s="6"/>
      <c r="BL609" s="6"/>
      <c r="BM609" s="6"/>
      <c r="BN609" s="6"/>
      <c r="BO609" s="6"/>
      <c r="BP609" s="3">
        <v>12</v>
      </c>
      <c r="BQ609" s="6">
        <f t="shared" si="136"/>
        <v>12</v>
      </c>
      <c r="BV609">
        <v>12</v>
      </c>
    </row>
    <row r="610" spans="1:74" x14ac:dyDescent="0.3">
      <c r="A610" s="3" t="s">
        <v>931</v>
      </c>
      <c r="B610" s="3">
        <v>303</v>
      </c>
      <c r="C610" s="3" t="s">
        <v>987</v>
      </c>
      <c r="D610" s="3">
        <v>3</v>
      </c>
      <c r="E610" s="3" t="s">
        <v>19</v>
      </c>
      <c r="F610" s="3" t="s">
        <v>41</v>
      </c>
      <c r="G610" s="3" t="s">
        <v>19</v>
      </c>
      <c r="H610" s="3" t="s">
        <v>51</v>
      </c>
      <c r="I610" s="3">
        <v>11.13</v>
      </c>
      <c r="J610" s="3" t="s">
        <v>91</v>
      </c>
      <c r="K610" s="3" t="s">
        <v>994</v>
      </c>
      <c r="L610" s="3" t="s">
        <v>24</v>
      </c>
      <c r="M610" s="3">
        <v>4</v>
      </c>
      <c r="N610" s="6"/>
      <c r="O610" s="3">
        <v>4</v>
      </c>
      <c r="P610" s="3">
        <v>4</v>
      </c>
      <c r="Q610" s="3">
        <v>4</v>
      </c>
      <c r="R610" s="3">
        <v>0</v>
      </c>
      <c r="S610" s="3">
        <v>0</v>
      </c>
      <c r="T610" s="3">
        <v>0</v>
      </c>
      <c r="U610" s="3">
        <v>0</v>
      </c>
      <c r="V610" s="3">
        <f t="shared" si="137"/>
        <v>4</v>
      </c>
      <c r="W610" s="3">
        <v>4</v>
      </c>
      <c r="X610" s="3">
        <v>0</v>
      </c>
      <c r="Y610" s="3">
        <v>0</v>
      </c>
      <c r="Z610" s="3">
        <v>0</v>
      </c>
      <c r="AA610" s="3">
        <v>0</v>
      </c>
      <c r="AB610" s="3">
        <f t="shared" si="138"/>
        <v>4</v>
      </c>
      <c r="AC610" s="6">
        <f t="shared" si="146"/>
        <v>0</v>
      </c>
      <c r="AD610" s="6">
        <f t="shared" si="147"/>
        <v>0</v>
      </c>
      <c r="AE610" s="6">
        <f t="shared" si="148"/>
        <v>0</v>
      </c>
      <c r="AF610" s="6">
        <f t="shared" si="149"/>
        <v>0</v>
      </c>
      <c r="AG610" s="6">
        <f t="shared" si="150"/>
        <v>0</v>
      </c>
      <c r="AH610" s="6">
        <f t="shared" si="139"/>
        <v>0</v>
      </c>
      <c r="AI610" s="3"/>
      <c r="AJ610" s="3" t="e">
        <f>_xlfn.XLOOKUP(K610,工作表1!A:A,工作表1!C:C)</f>
        <v>#N/A</v>
      </c>
      <c r="AK610" s="3"/>
      <c r="AL610" s="6">
        <f t="shared" si="140"/>
        <v>4</v>
      </c>
      <c r="AM610" s="6">
        <f t="shared" si="141"/>
        <v>0</v>
      </c>
      <c r="AN610" s="6">
        <f t="shared" si="142"/>
        <v>0</v>
      </c>
      <c r="AO610" s="6">
        <f t="shared" si="143"/>
        <v>0</v>
      </c>
      <c r="AP610" s="6">
        <f t="shared" si="144"/>
        <v>0</v>
      </c>
      <c r="AQ610" s="6">
        <f t="shared" si="145"/>
        <v>4</v>
      </c>
      <c r="AR610" s="6"/>
      <c r="AS610" s="6"/>
      <c r="AT610" s="6"/>
      <c r="AU610" s="6">
        <v>4</v>
      </c>
      <c r="AV610" s="6"/>
      <c r="AW610" s="6"/>
      <c r="AX610" s="6"/>
      <c r="AY610" s="6"/>
      <c r="AZ610" s="6"/>
      <c r="BA610" s="6"/>
      <c r="BB610" s="6"/>
      <c r="BC610" s="6"/>
      <c r="BD610" s="6"/>
      <c r="BE610" s="6"/>
      <c r="BF610" s="6"/>
      <c r="BG610" s="6"/>
      <c r="BH610" s="6"/>
      <c r="BI610" s="6"/>
      <c r="BJ610" s="6"/>
      <c r="BK610" s="6"/>
      <c r="BL610" s="6"/>
      <c r="BM610" s="6"/>
      <c r="BN610" s="6"/>
      <c r="BO610" s="6"/>
      <c r="BP610" s="3">
        <v>4</v>
      </c>
      <c r="BQ610" s="6">
        <f t="shared" si="136"/>
        <v>4</v>
      </c>
      <c r="BV610">
        <v>4</v>
      </c>
    </row>
    <row r="611" spans="1:74" x14ac:dyDescent="0.3">
      <c r="A611" s="5" t="s">
        <v>931</v>
      </c>
      <c r="B611" s="3">
        <v>311</v>
      </c>
      <c r="C611" s="3" t="s">
        <v>1494</v>
      </c>
      <c r="D611" s="3">
        <v>0.75</v>
      </c>
      <c r="E611" s="3" t="s">
        <v>19</v>
      </c>
      <c r="F611" s="3" t="s">
        <v>19</v>
      </c>
      <c r="G611" s="3" t="s">
        <v>19</v>
      </c>
      <c r="H611" s="3" t="s">
        <v>1486</v>
      </c>
      <c r="I611" s="3"/>
      <c r="J611" s="3" t="s">
        <v>91</v>
      </c>
      <c r="K611" s="3" t="s">
        <v>1495</v>
      </c>
      <c r="L611" s="3" t="s">
        <v>24</v>
      </c>
      <c r="M611" s="3">
        <v>1</v>
      </c>
      <c r="N611" s="6"/>
      <c r="O611" s="3">
        <v>0</v>
      </c>
      <c r="P611" s="3">
        <v>1</v>
      </c>
      <c r="Q611" s="3">
        <v>1</v>
      </c>
      <c r="R611" s="3">
        <v>0</v>
      </c>
      <c r="S611" s="3">
        <v>0</v>
      </c>
      <c r="T611" s="3">
        <v>0</v>
      </c>
      <c r="U611" s="3">
        <v>0</v>
      </c>
      <c r="V611" s="3">
        <f t="shared" si="137"/>
        <v>1</v>
      </c>
      <c r="W611" s="3">
        <v>1</v>
      </c>
      <c r="X611" s="3">
        <v>0</v>
      </c>
      <c r="Y611" s="3">
        <v>0</v>
      </c>
      <c r="Z611" s="3">
        <v>0</v>
      </c>
      <c r="AA611" s="3">
        <v>0</v>
      </c>
      <c r="AB611" s="3">
        <f t="shared" si="138"/>
        <v>1</v>
      </c>
      <c r="AC611" s="6">
        <f t="shared" si="146"/>
        <v>-1</v>
      </c>
      <c r="AD611" s="6">
        <f t="shared" si="147"/>
        <v>0</v>
      </c>
      <c r="AE611" s="6">
        <f t="shared" si="148"/>
        <v>0</v>
      </c>
      <c r="AF611" s="6">
        <f t="shared" si="149"/>
        <v>0</v>
      </c>
      <c r="AG611" s="6">
        <f t="shared" si="150"/>
        <v>0</v>
      </c>
      <c r="AH611" s="6">
        <f t="shared" si="139"/>
        <v>-1</v>
      </c>
      <c r="AI611" s="3"/>
      <c r="AJ611" s="3" t="e">
        <f>_xlfn.XLOOKUP(K611,工作表1!A:A,工作表1!C:C)</f>
        <v>#N/A</v>
      </c>
      <c r="AK611" s="3"/>
      <c r="AL611" s="6">
        <f t="shared" si="140"/>
        <v>0</v>
      </c>
      <c r="AM611" s="6">
        <f t="shared" si="141"/>
        <v>0</v>
      </c>
      <c r="AN611" s="6">
        <f t="shared" si="142"/>
        <v>0</v>
      </c>
      <c r="AO611" s="6">
        <f t="shared" si="143"/>
        <v>0</v>
      </c>
      <c r="AP611" s="6">
        <f t="shared" si="144"/>
        <v>0</v>
      </c>
      <c r="AQ611" s="6">
        <f t="shared" si="145"/>
        <v>0</v>
      </c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  <c r="BC611" s="6"/>
      <c r="BD611" s="6"/>
      <c r="BE611" s="6"/>
      <c r="BF611" s="6"/>
      <c r="BG611" s="6"/>
      <c r="BH611" s="6"/>
      <c r="BI611" s="6"/>
      <c r="BJ611" s="6"/>
      <c r="BK611" s="6"/>
      <c r="BL611" s="6"/>
      <c r="BM611" s="6"/>
      <c r="BN611" s="6"/>
      <c r="BO611" s="6"/>
      <c r="BP611" s="3">
        <v>1</v>
      </c>
      <c r="BQ611" s="6">
        <f t="shared" si="136"/>
        <v>0</v>
      </c>
    </row>
    <row r="612" spans="1:74" x14ac:dyDescent="0.3">
      <c r="A612" s="3" t="s">
        <v>931</v>
      </c>
      <c r="B612" s="3">
        <v>311</v>
      </c>
      <c r="C612" s="3" t="s">
        <v>995</v>
      </c>
      <c r="D612" s="3">
        <v>0.75</v>
      </c>
      <c r="E612" s="3" t="s">
        <v>19</v>
      </c>
      <c r="F612" s="3" t="s">
        <v>19</v>
      </c>
      <c r="G612" s="3" t="s">
        <v>19</v>
      </c>
      <c r="H612" s="3" t="s">
        <v>103</v>
      </c>
      <c r="I612" s="3"/>
      <c r="J612" s="3" t="s">
        <v>91</v>
      </c>
      <c r="K612" s="3" t="s">
        <v>996</v>
      </c>
      <c r="L612" s="3" t="s">
        <v>24</v>
      </c>
      <c r="M612" s="3">
        <v>1</v>
      </c>
      <c r="N612" s="6"/>
      <c r="O612" s="3">
        <v>1</v>
      </c>
      <c r="P612" s="3">
        <v>1</v>
      </c>
      <c r="Q612" s="3">
        <v>1</v>
      </c>
      <c r="R612" s="3">
        <v>0</v>
      </c>
      <c r="S612" s="3">
        <v>0</v>
      </c>
      <c r="T612" s="3">
        <v>0</v>
      </c>
      <c r="U612" s="3">
        <v>0</v>
      </c>
      <c r="V612" s="3">
        <f t="shared" si="137"/>
        <v>1</v>
      </c>
      <c r="W612" s="3">
        <v>1</v>
      </c>
      <c r="X612" s="3">
        <v>0</v>
      </c>
      <c r="Y612" s="3">
        <v>0</v>
      </c>
      <c r="Z612" s="3">
        <v>0</v>
      </c>
      <c r="AA612" s="3">
        <v>0</v>
      </c>
      <c r="AB612" s="3">
        <f t="shared" si="138"/>
        <v>1</v>
      </c>
      <c r="AC612" s="6">
        <f t="shared" si="146"/>
        <v>-1</v>
      </c>
      <c r="AD612" s="6">
        <f t="shared" si="147"/>
        <v>0</v>
      </c>
      <c r="AE612" s="6">
        <f t="shared" si="148"/>
        <v>0</v>
      </c>
      <c r="AF612" s="6">
        <f t="shared" si="149"/>
        <v>0</v>
      </c>
      <c r="AG612" s="6">
        <f t="shared" si="150"/>
        <v>0</v>
      </c>
      <c r="AH612" s="6">
        <f t="shared" si="139"/>
        <v>-1</v>
      </c>
      <c r="AI612" s="3"/>
      <c r="AJ612" s="3" t="e">
        <f>_xlfn.XLOOKUP(K612,工作表1!A:A,工作表1!C:C)</f>
        <v>#N/A</v>
      </c>
      <c r="AK612" s="3"/>
      <c r="AL612" s="6">
        <f t="shared" si="140"/>
        <v>0</v>
      </c>
      <c r="AM612" s="6">
        <f t="shared" si="141"/>
        <v>0</v>
      </c>
      <c r="AN612" s="6">
        <f t="shared" si="142"/>
        <v>0</v>
      </c>
      <c r="AO612" s="6">
        <f t="shared" si="143"/>
        <v>0</v>
      </c>
      <c r="AP612" s="6">
        <f t="shared" si="144"/>
        <v>0</v>
      </c>
      <c r="AQ612" s="6">
        <f t="shared" si="145"/>
        <v>0</v>
      </c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  <c r="BC612" s="6"/>
      <c r="BD612" s="6"/>
      <c r="BE612" s="6"/>
      <c r="BF612" s="6"/>
      <c r="BG612" s="6"/>
      <c r="BH612" s="6"/>
      <c r="BI612" s="6"/>
      <c r="BJ612" s="6"/>
      <c r="BK612" s="6"/>
      <c r="BL612" s="6"/>
      <c r="BM612" s="6"/>
      <c r="BN612" s="6"/>
      <c r="BO612" s="6"/>
      <c r="BP612" s="3">
        <v>1</v>
      </c>
      <c r="BQ612" s="6">
        <f t="shared" si="136"/>
        <v>0</v>
      </c>
    </row>
    <row r="613" spans="1:74" x14ac:dyDescent="0.3">
      <c r="A613" s="3" t="s">
        <v>931</v>
      </c>
      <c r="B613" s="3">
        <v>311</v>
      </c>
      <c r="C613" s="3" t="s">
        <v>997</v>
      </c>
      <c r="D613" s="3">
        <v>10</v>
      </c>
      <c r="E613" s="3" t="s">
        <v>19</v>
      </c>
      <c r="F613" s="3" t="s">
        <v>767</v>
      </c>
      <c r="G613" s="3" t="s">
        <v>19</v>
      </c>
      <c r="H613" s="3" t="s">
        <v>933</v>
      </c>
      <c r="I613" s="3">
        <v>9.27</v>
      </c>
      <c r="J613" s="3" t="s">
        <v>91</v>
      </c>
      <c r="K613" s="3" t="s">
        <v>998</v>
      </c>
      <c r="L613" s="3" t="s">
        <v>24</v>
      </c>
      <c r="M613" s="3">
        <v>1</v>
      </c>
      <c r="N613" s="6"/>
      <c r="O613" s="3">
        <v>1</v>
      </c>
      <c r="P613" s="3">
        <v>1</v>
      </c>
      <c r="Q613" s="3">
        <v>1</v>
      </c>
      <c r="R613" s="3">
        <v>0</v>
      </c>
      <c r="S613" s="3">
        <v>0</v>
      </c>
      <c r="T613" s="3">
        <v>0</v>
      </c>
      <c r="U613" s="3">
        <v>0</v>
      </c>
      <c r="V613" s="3">
        <f t="shared" si="137"/>
        <v>1</v>
      </c>
      <c r="W613" s="3">
        <v>1</v>
      </c>
      <c r="X613" s="3">
        <v>0</v>
      </c>
      <c r="Y613" s="3">
        <v>0</v>
      </c>
      <c r="Z613" s="3">
        <v>0</v>
      </c>
      <c r="AA613" s="3">
        <v>0</v>
      </c>
      <c r="AB613" s="3">
        <f t="shared" si="138"/>
        <v>1</v>
      </c>
      <c r="AC613" s="6">
        <f t="shared" si="146"/>
        <v>0</v>
      </c>
      <c r="AD613" s="6">
        <f t="shared" si="147"/>
        <v>0</v>
      </c>
      <c r="AE613" s="6">
        <f t="shared" si="148"/>
        <v>0</v>
      </c>
      <c r="AF613" s="6">
        <f t="shared" si="149"/>
        <v>0</v>
      </c>
      <c r="AG613" s="6">
        <f t="shared" si="150"/>
        <v>0</v>
      </c>
      <c r="AH613" s="6">
        <f t="shared" si="139"/>
        <v>0</v>
      </c>
      <c r="AI613" s="3"/>
      <c r="AJ613" s="3" t="e">
        <f>_xlfn.XLOOKUP(K613,工作表1!A:A,工作表1!C:C)</f>
        <v>#N/A</v>
      </c>
      <c r="AK613" s="3"/>
      <c r="AL613" s="6">
        <f t="shared" si="140"/>
        <v>1</v>
      </c>
      <c r="AM613" s="6">
        <f t="shared" si="141"/>
        <v>0</v>
      </c>
      <c r="AN613" s="6">
        <f t="shared" si="142"/>
        <v>0</v>
      </c>
      <c r="AO613" s="6">
        <f t="shared" si="143"/>
        <v>0</v>
      </c>
      <c r="AP613" s="6">
        <f t="shared" si="144"/>
        <v>0</v>
      </c>
      <c r="AQ613" s="6">
        <f t="shared" si="145"/>
        <v>1</v>
      </c>
      <c r="AR613" s="6"/>
      <c r="AS613" s="6"/>
      <c r="AT613" s="6"/>
      <c r="AU613" s="6">
        <v>1</v>
      </c>
      <c r="AV613" s="6"/>
      <c r="AW613" s="6"/>
      <c r="AX613" s="6"/>
      <c r="AY613" s="6"/>
      <c r="AZ613" s="6"/>
      <c r="BA613" s="6"/>
      <c r="BB613" s="6"/>
      <c r="BC613" s="6"/>
      <c r="BD613" s="6"/>
      <c r="BE613" s="6"/>
      <c r="BF613" s="6"/>
      <c r="BG613" s="6"/>
      <c r="BH613" s="6"/>
      <c r="BI613" s="6"/>
      <c r="BJ613" s="6"/>
      <c r="BK613" s="6"/>
      <c r="BL613" s="6"/>
      <c r="BM613" s="6"/>
      <c r="BN613" s="6"/>
      <c r="BO613" s="6"/>
      <c r="BP613" s="3">
        <v>1</v>
      </c>
      <c r="BQ613" s="6">
        <f t="shared" si="136"/>
        <v>1</v>
      </c>
      <c r="BV613">
        <v>1</v>
      </c>
    </row>
    <row r="614" spans="1:74" x14ac:dyDescent="0.3">
      <c r="A614" s="3" t="s">
        <v>931</v>
      </c>
      <c r="B614" s="3">
        <v>311</v>
      </c>
      <c r="C614" s="3" t="s">
        <v>997</v>
      </c>
      <c r="D614" s="3">
        <v>6</v>
      </c>
      <c r="E614" s="3" t="s">
        <v>19</v>
      </c>
      <c r="F614" s="3" t="s">
        <v>767</v>
      </c>
      <c r="G614" s="3" t="s">
        <v>19</v>
      </c>
      <c r="H614" s="3" t="s">
        <v>937</v>
      </c>
      <c r="I614" s="3">
        <v>7.11</v>
      </c>
      <c r="J614" s="3" t="s">
        <v>91</v>
      </c>
      <c r="K614" s="3" t="s">
        <v>999</v>
      </c>
      <c r="L614" s="3" t="s">
        <v>24</v>
      </c>
      <c r="M614" s="3">
        <v>3</v>
      </c>
      <c r="N614" s="6"/>
      <c r="O614" s="3">
        <v>3</v>
      </c>
      <c r="P614" s="3">
        <v>3</v>
      </c>
      <c r="Q614" s="3">
        <v>3</v>
      </c>
      <c r="R614" s="3">
        <v>0</v>
      </c>
      <c r="S614" s="3">
        <v>0</v>
      </c>
      <c r="T614" s="3">
        <v>0</v>
      </c>
      <c r="U614" s="3">
        <v>0</v>
      </c>
      <c r="V614" s="3">
        <f t="shared" si="137"/>
        <v>3</v>
      </c>
      <c r="W614" s="3">
        <v>3</v>
      </c>
      <c r="X614" s="3">
        <v>0</v>
      </c>
      <c r="Y614" s="3">
        <v>0</v>
      </c>
      <c r="Z614" s="3">
        <v>0</v>
      </c>
      <c r="AA614" s="3">
        <v>0</v>
      </c>
      <c r="AB614" s="3">
        <f t="shared" si="138"/>
        <v>3</v>
      </c>
      <c r="AC614" s="6">
        <f t="shared" si="146"/>
        <v>0</v>
      </c>
      <c r="AD614" s="6">
        <f t="shared" si="147"/>
        <v>0</v>
      </c>
      <c r="AE614" s="6">
        <f t="shared" si="148"/>
        <v>0</v>
      </c>
      <c r="AF614" s="6">
        <f t="shared" si="149"/>
        <v>0</v>
      </c>
      <c r="AG614" s="6">
        <f t="shared" si="150"/>
        <v>0</v>
      </c>
      <c r="AH614" s="6">
        <f t="shared" si="139"/>
        <v>0</v>
      </c>
      <c r="AI614" s="3"/>
      <c r="AJ614" s="3" t="e">
        <f>_xlfn.XLOOKUP(K614,工作表1!A:A,工作表1!C:C)</f>
        <v>#N/A</v>
      </c>
      <c r="AK614" s="3"/>
      <c r="AL614" s="6">
        <f t="shared" si="140"/>
        <v>3</v>
      </c>
      <c r="AM614" s="6">
        <f t="shared" si="141"/>
        <v>0</v>
      </c>
      <c r="AN614" s="6">
        <f t="shared" si="142"/>
        <v>0</v>
      </c>
      <c r="AO614" s="6">
        <f t="shared" si="143"/>
        <v>0</v>
      </c>
      <c r="AP614" s="6">
        <f t="shared" si="144"/>
        <v>0</v>
      </c>
      <c r="AQ614" s="6">
        <f t="shared" si="145"/>
        <v>3</v>
      </c>
      <c r="AR614" s="6"/>
      <c r="AS614" s="6"/>
      <c r="AT614" s="6"/>
      <c r="AU614" s="6">
        <v>3</v>
      </c>
      <c r="AV614" s="6"/>
      <c r="AW614" s="6"/>
      <c r="AX614" s="6"/>
      <c r="AY614" s="6"/>
      <c r="AZ614" s="6"/>
      <c r="BA614" s="6"/>
      <c r="BB614" s="6"/>
      <c r="BC614" s="6"/>
      <c r="BD614" s="6"/>
      <c r="BE614" s="6"/>
      <c r="BF614" s="6"/>
      <c r="BG614" s="6"/>
      <c r="BH614" s="6"/>
      <c r="BI614" s="6"/>
      <c r="BJ614" s="6"/>
      <c r="BK614" s="6"/>
      <c r="BL614" s="6"/>
      <c r="BM614" s="6"/>
      <c r="BN614" s="6"/>
      <c r="BO614" s="6"/>
      <c r="BP614" s="3">
        <v>3</v>
      </c>
      <c r="BQ614" s="6">
        <f t="shared" si="136"/>
        <v>3</v>
      </c>
      <c r="BV614">
        <v>3</v>
      </c>
    </row>
    <row r="615" spans="1:74" x14ac:dyDescent="0.3">
      <c r="A615" s="3" t="s">
        <v>931</v>
      </c>
      <c r="B615" s="3">
        <v>311</v>
      </c>
      <c r="C615" s="3" t="s">
        <v>997</v>
      </c>
      <c r="D615" s="3">
        <v>4</v>
      </c>
      <c r="E615" s="3" t="s">
        <v>19</v>
      </c>
      <c r="F615" s="3" t="s">
        <v>767</v>
      </c>
      <c r="G615" s="3" t="s">
        <v>19</v>
      </c>
      <c r="H615" s="3" t="s">
        <v>785</v>
      </c>
      <c r="I615" s="3">
        <v>6.02</v>
      </c>
      <c r="J615" s="3" t="s">
        <v>91</v>
      </c>
      <c r="K615" s="3" t="s">
        <v>1000</v>
      </c>
      <c r="L615" s="3" t="s">
        <v>24</v>
      </c>
      <c r="M615" s="3">
        <v>1</v>
      </c>
      <c r="N615" s="6"/>
      <c r="O615" s="3">
        <v>1</v>
      </c>
      <c r="P615" s="3">
        <v>1</v>
      </c>
      <c r="Q615" s="3">
        <v>1</v>
      </c>
      <c r="R615" s="3">
        <v>0</v>
      </c>
      <c r="S615" s="3">
        <v>0</v>
      </c>
      <c r="T615" s="3">
        <v>0</v>
      </c>
      <c r="U615" s="3">
        <v>0</v>
      </c>
      <c r="V615" s="3">
        <f t="shared" si="137"/>
        <v>1</v>
      </c>
      <c r="W615" s="3">
        <v>1</v>
      </c>
      <c r="X615" s="3">
        <v>0</v>
      </c>
      <c r="Y615" s="3">
        <v>0</v>
      </c>
      <c r="Z615" s="3">
        <v>0</v>
      </c>
      <c r="AA615" s="3">
        <v>0</v>
      </c>
      <c r="AB615" s="3">
        <f t="shared" si="138"/>
        <v>1</v>
      </c>
      <c r="AC615" s="6">
        <f t="shared" si="146"/>
        <v>0</v>
      </c>
      <c r="AD615" s="6">
        <f t="shared" si="147"/>
        <v>0</v>
      </c>
      <c r="AE615" s="6">
        <f t="shared" si="148"/>
        <v>0</v>
      </c>
      <c r="AF615" s="6">
        <f t="shared" si="149"/>
        <v>0</v>
      </c>
      <c r="AG615" s="6">
        <f t="shared" si="150"/>
        <v>0</v>
      </c>
      <c r="AH615" s="6">
        <f t="shared" si="139"/>
        <v>0</v>
      </c>
      <c r="AI615" s="3"/>
      <c r="AJ615" s="3" t="e">
        <f>_xlfn.XLOOKUP(K615,工作表1!A:A,工作表1!C:C)</f>
        <v>#N/A</v>
      </c>
      <c r="AK615" s="3"/>
      <c r="AL615" s="6">
        <f t="shared" si="140"/>
        <v>1</v>
      </c>
      <c r="AM615" s="6">
        <f t="shared" si="141"/>
        <v>0</v>
      </c>
      <c r="AN615" s="6">
        <f t="shared" si="142"/>
        <v>0</v>
      </c>
      <c r="AO615" s="6">
        <f t="shared" si="143"/>
        <v>0</v>
      </c>
      <c r="AP615" s="6">
        <f t="shared" si="144"/>
        <v>0</v>
      </c>
      <c r="AQ615" s="6">
        <f t="shared" si="145"/>
        <v>1</v>
      </c>
      <c r="AR615" s="6"/>
      <c r="AS615" s="6"/>
      <c r="AT615" s="6"/>
      <c r="AU615" s="6">
        <v>1</v>
      </c>
      <c r="AV615" s="6"/>
      <c r="AW615" s="6"/>
      <c r="AX615" s="6"/>
      <c r="AY615" s="6"/>
      <c r="AZ615" s="6"/>
      <c r="BA615" s="6"/>
      <c r="BB615" s="6"/>
      <c r="BC615" s="6"/>
      <c r="BD615" s="6"/>
      <c r="BE615" s="6"/>
      <c r="BF615" s="6"/>
      <c r="BG615" s="6"/>
      <c r="BH615" s="6"/>
      <c r="BI615" s="6"/>
      <c r="BJ615" s="6"/>
      <c r="BK615" s="6"/>
      <c r="BL615" s="6"/>
      <c r="BM615" s="6"/>
      <c r="BN615" s="6"/>
      <c r="BO615" s="6"/>
      <c r="BP615" s="3">
        <v>1</v>
      </c>
      <c r="BQ615" s="6">
        <f t="shared" si="136"/>
        <v>1</v>
      </c>
      <c r="BV615">
        <v>1</v>
      </c>
    </row>
    <row r="616" spans="1:74" x14ac:dyDescent="0.3">
      <c r="A616" s="3" t="s">
        <v>931</v>
      </c>
      <c r="B616" s="3">
        <v>311</v>
      </c>
      <c r="C616" s="3" t="s">
        <v>997</v>
      </c>
      <c r="D616" s="3">
        <v>1</v>
      </c>
      <c r="E616" s="3" t="s">
        <v>19</v>
      </c>
      <c r="F616" s="3" t="s">
        <v>41</v>
      </c>
      <c r="G616" s="3" t="s">
        <v>19</v>
      </c>
      <c r="H616" s="3" t="s">
        <v>59</v>
      </c>
      <c r="I616" s="3">
        <v>6.35</v>
      </c>
      <c r="J616" s="3" t="s">
        <v>91</v>
      </c>
      <c r="K616" s="3" t="s">
        <v>1001</v>
      </c>
      <c r="L616" s="3" t="s">
        <v>24</v>
      </c>
      <c r="M616" s="3">
        <v>11</v>
      </c>
      <c r="N616" s="6"/>
      <c r="O616" s="3">
        <v>10</v>
      </c>
      <c r="P616" s="3">
        <v>10</v>
      </c>
      <c r="Q616" s="3">
        <v>10</v>
      </c>
      <c r="R616" s="3">
        <v>0</v>
      </c>
      <c r="S616" s="3">
        <v>0</v>
      </c>
      <c r="T616" s="3">
        <v>0</v>
      </c>
      <c r="U616" s="3">
        <v>0</v>
      </c>
      <c r="V616" s="3">
        <f t="shared" si="137"/>
        <v>10</v>
      </c>
      <c r="W616" s="3">
        <v>10</v>
      </c>
      <c r="X616" s="3">
        <v>0</v>
      </c>
      <c r="Y616" s="3">
        <v>0</v>
      </c>
      <c r="Z616" s="3">
        <v>0</v>
      </c>
      <c r="AA616" s="3">
        <v>0</v>
      </c>
      <c r="AB616" s="3">
        <f t="shared" si="138"/>
        <v>10</v>
      </c>
      <c r="AC616" s="6">
        <f t="shared" si="146"/>
        <v>0</v>
      </c>
      <c r="AD616" s="6">
        <f t="shared" si="147"/>
        <v>0</v>
      </c>
      <c r="AE616" s="6">
        <f t="shared" si="148"/>
        <v>0</v>
      </c>
      <c r="AF616" s="6">
        <f t="shared" si="149"/>
        <v>0</v>
      </c>
      <c r="AG616" s="6">
        <f t="shared" si="150"/>
        <v>0</v>
      </c>
      <c r="AH616" s="6">
        <f t="shared" si="139"/>
        <v>0</v>
      </c>
      <c r="AI616" s="3"/>
      <c r="AJ616" s="3" t="e">
        <f>_xlfn.XLOOKUP(K616,工作表1!A:A,工作表1!C:C)</f>
        <v>#N/A</v>
      </c>
      <c r="AK616" s="3"/>
      <c r="AL616" s="6">
        <f t="shared" si="140"/>
        <v>10</v>
      </c>
      <c r="AM616" s="6">
        <f t="shared" si="141"/>
        <v>0</v>
      </c>
      <c r="AN616" s="6">
        <f t="shared" si="142"/>
        <v>0</v>
      </c>
      <c r="AO616" s="6">
        <f t="shared" si="143"/>
        <v>0</v>
      </c>
      <c r="AP616" s="6">
        <f t="shared" si="144"/>
        <v>0</v>
      </c>
      <c r="AQ616" s="6">
        <f t="shared" si="145"/>
        <v>10</v>
      </c>
      <c r="AR616" s="6"/>
      <c r="AS616" s="6"/>
      <c r="AT616" s="6"/>
      <c r="AU616" s="6">
        <v>10</v>
      </c>
      <c r="AV616" s="6"/>
      <c r="AW616" s="6"/>
      <c r="AX616" s="6"/>
      <c r="AY616" s="6"/>
      <c r="AZ616" s="6"/>
      <c r="BA616" s="6"/>
      <c r="BB616" s="6"/>
      <c r="BC616" s="6"/>
      <c r="BD616" s="6"/>
      <c r="BE616" s="6"/>
      <c r="BF616" s="6"/>
      <c r="BG616" s="6"/>
      <c r="BH616" s="6"/>
      <c r="BI616" s="6"/>
      <c r="BJ616" s="6"/>
      <c r="BK616" s="6"/>
      <c r="BL616" s="6"/>
      <c r="BM616" s="6"/>
      <c r="BN616" s="6"/>
      <c r="BO616" s="6"/>
      <c r="BP616" s="3">
        <v>10</v>
      </c>
      <c r="BQ616" s="6">
        <f t="shared" si="136"/>
        <v>10</v>
      </c>
      <c r="BV616">
        <v>10</v>
      </c>
    </row>
    <row r="617" spans="1:74" x14ac:dyDescent="0.3">
      <c r="A617" s="3" t="s">
        <v>931</v>
      </c>
      <c r="B617" s="3">
        <v>311</v>
      </c>
      <c r="C617" s="3" t="s">
        <v>997</v>
      </c>
      <c r="D617" s="3">
        <v>0.75</v>
      </c>
      <c r="E617" s="3" t="s">
        <v>19</v>
      </c>
      <c r="F617" s="3" t="s">
        <v>41</v>
      </c>
      <c r="G617" s="3" t="s">
        <v>19</v>
      </c>
      <c r="H617" s="3" t="s">
        <v>61</v>
      </c>
      <c r="I617" s="3">
        <v>5.56</v>
      </c>
      <c r="J617" s="3" t="s">
        <v>91</v>
      </c>
      <c r="K617" s="3" t="s">
        <v>1002</v>
      </c>
      <c r="L617" s="3" t="s">
        <v>24</v>
      </c>
      <c r="M617" s="3">
        <v>41</v>
      </c>
      <c r="N617" s="6"/>
      <c r="O617" s="3">
        <v>25</v>
      </c>
      <c r="P617" s="3">
        <v>25</v>
      </c>
      <c r="Q617" s="3">
        <v>25</v>
      </c>
      <c r="R617" s="3">
        <v>0</v>
      </c>
      <c r="S617" s="3">
        <v>0</v>
      </c>
      <c r="T617" s="3">
        <v>0</v>
      </c>
      <c r="U617" s="3">
        <v>0</v>
      </c>
      <c r="V617" s="3">
        <f t="shared" si="137"/>
        <v>25</v>
      </c>
      <c r="W617" s="3">
        <v>25</v>
      </c>
      <c r="X617" s="3">
        <v>0</v>
      </c>
      <c r="Y617" s="3">
        <v>0</v>
      </c>
      <c r="Z617" s="3">
        <v>0</v>
      </c>
      <c r="AA617" s="3">
        <v>0</v>
      </c>
      <c r="AB617" s="3">
        <f t="shared" si="138"/>
        <v>25</v>
      </c>
      <c r="AC617" s="6">
        <f t="shared" si="146"/>
        <v>0</v>
      </c>
      <c r="AD617" s="6">
        <f t="shared" si="147"/>
        <v>0</v>
      </c>
      <c r="AE617" s="6">
        <f t="shared" si="148"/>
        <v>0</v>
      </c>
      <c r="AF617" s="6">
        <f t="shared" si="149"/>
        <v>0</v>
      </c>
      <c r="AG617" s="6">
        <f t="shared" si="150"/>
        <v>0</v>
      </c>
      <c r="AH617" s="6">
        <f t="shared" si="139"/>
        <v>0</v>
      </c>
      <c r="AI617" s="3"/>
      <c r="AJ617" s="3" t="e">
        <f>_xlfn.XLOOKUP(K617,工作表1!A:A,工作表1!C:C)</f>
        <v>#N/A</v>
      </c>
      <c r="AK617" s="3"/>
      <c r="AL617" s="6">
        <f t="shared" si="140"/>
        <v>25</v>
      </c>
      <c r="AM617" s="6">
        <f t="shared" si="141"/>
        <v>0</v>
      </c>
      <c r="AN617" s="6">
        <f t="shared" si="142"/>
        <v>0</v>
      </c>
      <c r="AO617" s="6">
        <f t="shared" si="143"/>
        <v>0</v>
      </c>
      <c r="AP617" s="6">
        <f t="shared" si="144"/>
        <v>0</v>
      </c>
      <c r="AQ617" s="6">
        <f t="shared" si="145"/>
        <v>25</v>
      </c>
      <c r="AR617" s="6"/>
      <c r="AS617" s="6"/>
      <c r="AT617" s="6"/>
      <c r="AU617" s="6">
        <v>25</v>
      </c>
      <c r="AV617" s="6"/>
      <c r="AW617" s="6"/>
      <c r="AX617" s="6"/>
      <c r="AY617" s="6"/>
      <c r="AZ617" s="6"/>
      <c r="BA617" s="6"/>
      <c r="BB617" s="6"/>
      <c r="BC617" s="6"/>
      <c r="BD617" s="6"/>
      <c r="BE617" s="6"/>
      <c r="BF617" s="6"/>
      <c r="BG617" s="6"/>
      <c r="BH617" s="6"/>
      <c r="BI617" s="6"/>
      <c r="BJ617" s="6"/>
      <c r="BK617" s="6"/>
      <c r="BL617" s="6"/>
      <c r="BM617" s="6"/>
      <c r="BN617" s="6"/>
      <c r="BO617" s="6"/>
      <c r="BP617" s="3">
        <v>25</v>
      </c>
      <c r="BQ617" s="6">
        <f t="shared" si="136"/>
        <v>25</v>
      </c>
      <c r="BV617">
        <v>25</v>
      </c>
    </row>
    <row r="618" spans="1:74" x14ac:dyDescent="0.3">
      <c r="A618" s="3" t="s">
        <v>931</v>
      </c>
      <c r="B618" s="3">
        <v>311</v>
      </c>
      <c r="C618" s="3" t="s">
        <v>1003</v>
      </c>
      <c r="D618" s="3">
        <v>10</v>
      </c>
      <c r="E618" s="3" t="s">
        <v>19</v>
      </c>
      <c r="F618" s="3" t="s">
        <v>41</v>
      </c>
      <c r="G618" s="3" t="s">
        <v>19</v>
      </c>
      <c r="H618" s="3" t="s">
        <v>950</v>
      </c>
      <c r="I618" s="3">
        <v>28.58</v>
      </c>
      <c r="J618" s="3" t="s">
        <v>91</v>
      </c>
      <c r="K618" s="3" t="s">
        <v>1004</v>
      </c>
      <c r="L618" s="3" t="s">
        <v>24</v>
      </c>
      <c r="M618" s="3">
        <v>1</v>
      </c>
      <c r="N618" s="6"/>
      <c r="O618" s="3">
        <v>1</v>
      </c>
      <c r="P618" s="3">
        <v>1</v>
      </c>
      <c r="Q618" s="3">
        <v>1</v>
      </c>
      <c r="R618" s="3">
        <v>0</v>
      </c>
      <c r="S618" s="3">
        <v>0</v>
      </c>
      <c r="T618" s="3">
        <v>0</v>
      </c>
      <c r="U618" s="3">
        <v>0</v>
      </c>
      <c r="V618" s="3">
        <f t="shared" si="137"/>
        <v>1</v>
      </c>
      <c r="W618" s="3">
        <v>1</v>
      </c>
      <c r="X618" s="3">
        <v>0</v>
      </c>
      <c r="Y618" s="3">
        <v>0</v>
      </c>
      <c r="Z618" s="3">
        <v>0</v>
      </c>
      <c r="AA618" s="3">
        <v>0</v>
      </c>
      <c r="AB618" s="3">
        <f t="shared" si="138"/>
        <v>1</v>
      </c>
      <c r="AC618" s="6">
        <f t="shared" si="146"/>
        <v>0</v>
      </c>
      <c r="AD618" s="6">
        <f t="shared" si="147"/>
        <v>0</v>
      </c>
      <c r="AE618" s="6">
        <f t="shared" si="148"/>
        <v>0</v>
      </c>
      <c r="AF618" s="6">
        <f t="shared" si="149"/>
        <v>0</v>
      </c>
      <c r="AG618" s="6">
        <f t="shared" si="150"/>
        <v>0</v>
      </c>
      <c r="AH618" s="6">
        <f t="shared" si="139"/>
        <v>0</v>
      </c>
      <c r="AI618" s="3"/>
      <c r="AJ618" s="3" t="e">
        <f>_xlfn.XLOOKUP(K618,工作表1!A:A,工作表1!C:C)</f>
        <v>#N/A</v>
      </c>
      <c r="AK618" s="3"/>
      <c r="AL618" s="6">
        <f t="shared" si="140"/>
        <v>1</v>
      </c>
      <c r="AM618" s="6">
        <f t="shared" si="141"/>
        <v>0</v>
      </c>
      <c r="AN618" s="6">
        <f t="shared" si="142"/>
        <v>0</v>
      </c>
      <c r="AO618" s="6">
        <f t="shared" si="143"/>
        <v>0</v>
      </c>
      <c r="AP618" s="6">
        <f t="shared" si="144"/>
        <v>0</v>
      </c>
      <c r="AQ618" s="6">
        <f t="shared" si="145"/>
        <v>1</v>
      </c>
      <c r="AR618" s="6"/>
      <c r="AS618" s="6"/>
      <c r="AT618" s="6"/>
      <c r="AU618" s="6">
        <v>1</v>
      </c>
      <c r="AV618" s="6"/>
      <c r="AW618" s="6"/>
      <c r="AX618" s="6"/>
      <c r="AY618" s="6"/>
      <c r="AZ618" s="6"/>
      <c r="BA618" s="6"/>
      <c r="BB618" s="6"/>
      <c r="BC618" s="6"/>
      <c r="BD618" s="6"/>
      <c r="BE618" s="6"/>
      <c r="BF618" s="6"/>
      <c r="BG618" s="6"/>
      <c r="BH618" s="6"/>
      <c r="BI618" s="6"/>
      <c r="BJ618" s="6"/>
      <c r="BK618" s="6"/>
      <c r="BL618" s="6"/>
      <c r="BM618" s="6"/>
      <c r="BN618" s="6"/>
      <c r="BO618" s="6"/>
      <c r="BP618" s="3">
        <v>1</v>
      </c>
      <c r="BQ618" s="6">
        <f t="shared" si="136"/>
        <v>1</v>
      </c>
      <c r="BV618">
        <v>1</v>
      </c>
    </row>
    <row r="619" spans="1:74" x14ac:dyDescent="0.3">
      <c r="A619" s="3" t="s">
        <v>931</v>
      </c>
      <c r="B619" s="3">
        <v>311</v>
      </c>
      <c r="C619" s="3" t="s">
        <v>1003</v>
      </c>
      <c r="D619" s="3">
        <v>3</v>
      </c>
      <c r="E619" s="3" t="s">
        <v>19</v>
      </c>
      <c r="F619" s="3" t="s">
        <v>41</v>
      </c>
      <c r="G619" s="3" t="s">
        <v>19</v>
      </c>
      <c r="H619" s="3" t="s">
        <v>51</v>
      </c>
      <c r="I619" s="3">
        <v>11.13</v>
      </c>
      <c r="J619" s="3" t="s">
        <v>91</v>
      </c>
      <c r="K619" s="3" t="s">
        <v>1005</v>
      </c>
      <c r="L619" s="3" t="s">
        <v>24</v>
      </c>
      <c r="M619" s="3">
        <v>1</v>
      </c>
      <c r="N619" s="6"/>
      <c r="O619" s="3">
        <v>1</v>
      </c>
      <c r="P619" s="3">
        <v>1</v>
      </c>
      <c r="Q619" s="3">
        <v>1</v>
      </c>
      <c r="R619" s="3">
        <v>0</v>
      </c>
      <c r="S619" s="3">
        <v>0</v>
      </c>
      <c r="T619" s="3">
        <v>0</v>
      </c>
      <c r="U619" s="3">
        <v>0</v>
      </c>
      <c r="V619" s="3">
        <f t="shared" si="137"/>
        <v>1</v>
      </c>
      <c r="W619" s="3">
        <v>1</v>
      </c>
      <c r="X619" s="3">
        <v>0</v>
      </c>
      <c r="Y619" s="3">
        <v>0</v>
      </c>
      <c r="Z619" s="3">
        <v>0</v>
      </c>
      <c r="AA619" s="3">
        <v>0</v>
      </c>
      <c r="AB619" s="3">
        <f t="shared" si="138"/>
        <v>1</v>
      </c>
      <c r="AC619" s="6">
        <f t="shared" si="146"/>
        <v>0</v>
      </c>
      <c r="AD619" s="6">
        <f t="shared" si="147"/>
        <v>0</v>
      </c>
      <c r="AE619" s="6">
        <f t="shared" si="148"/>
        <v>0</v>
      </c>
      <c r="AF619" s="6">
        <f t="shared" si="149"/>
        <v>0</v>
      </c>
      <c r="AG619" s="6">
        <f t="shared" si="150"/>
        <v>0</v>
      </c>
      <c r="AH619" s="6">
        <f t="shared" si="139"/>
        <v>0</v>
      </c>
      <c r="AI619" s="3"/>
      <c r="AJ619" s="3" t="e">
        <f>_xlfn.XLOOKUP(K619,工作表1!A:A,工作表1!C:C)</f>
        <v>#N/A</v>
      </c>
      <c r="AK619" s="3"/>
      <c r="AL619" s="6">
        <f t="shared" si="140"/>
        <v>1</v>
      </c>
      <c r="AM619" s="6">
        <f t="shared" si="141"/>
        <v>0</v>
      </c>
      <c r="AN619" s="6">
        <f t="shared" si="142"/>
        <v>0</v>
      </c>
      <c r="AO619" s="6">
        <f t="shared" si="143"/>
        <v>0</v>
      </c>
      <c r="AP619" s="6">
        <f t="shared" si="144"/>
        <v>0</v>
      </c>
      <c r="AQ619" s="6">
        <f t="shared" si="145"/>
        <v>1</v>
      </c>
      <c r="AR619" s="6"/>
      <c r="AS619" s="6"/>
      <c r="AT619" s="6"/>
      <c r="AU619" s="6">
        <v>1</v>
      </c>
      <c r="AV619" s="6"/>
      <c r="AW619" s="6"/>
      <c r="AX619" s="6"/>
      <c r="AY619" s="6"/>
      <c r="AZ619" s="6"/>
      <c r="BA619" s="6"/>
      <c r="BB619" s="6"/>
      <c r="BC619" s="6"/>
      <c r="BD619" s="6"/>
      <c r="BE619" s="6"/>
      <c r="BF619" s="6"/>
      <c r="BG619" s="6"/>
      <c r="BH619" s="6"/>
      <c r="BI619" s="6"/>
      <c r="BJ619" s="6"/>
      <c r="BK619" s="6"/>
      <c r="BL619" s="6"/>
      <c r="BM619" s="6"/>
      <c r="BN619" s="6"/>
      <c r="BO619" s="6"/>
      <c r="BP619" s="3">
        <v>1</v>
      </c>
      <c r="BQ619" s="6">
        <f t="shared" si="136"/>
        <v>1</v>
      </c>
      <c r="BV619">
        <v>1</v>
      </c>
    </row>
    <row r="620" spans="1:74" x14ac:dyDescent="0.3">
      <c r="A620" s="3" t="s">
        <v>931</v>
      </c>
      <c r="B620" s="3">
        <v>312</v>
      </c>
      <c r="C620" s="3" t="s">
        <v>1006</v>
      </c>
      <c r="D620" s="3">
        <v>4</v>
      </c>
      <c r="E620" s="3">
        <v>2</v>
      </c>
      <c r="F620" s="3" t="s">
        <v>767</v>
      </c>
      <c r="G620" s="3" t="s">
        <v>752</v>
      </c>
      <c r="H620" s="3" t="s">
        <v>1007</v>
      </c>
      <c r="I620" s="3"/>
      <c r="J620" s="3" t="s">
        <v>91</v>
      </c>
      <c r="K620" s="3" t="s">
        <v>1008</v>
      </c>
      <c r="L620" s="3" t="s">
        <v>24</v>
      </c>
      <c r="M620" s="3">
        <v>1</v>
      </c>
      <c r="N620" s="6"/>
      <c r="O620" s="3">
        <v>1</v>
      </c>
      <c r="P620" s="3">
        <v>1</v>
      </c>
      <c r="Q620" s="3">
        <v>1</v>
      </c>
      <c r="R620" s="3">
        <v>0</v>
      </c>
      <c r="S620" s="3">
        <v>0</v>
      </c>
      <c r="T620" s="3">
        <v>0</v>
      </c>
      <c r="U620" s="3">
        <v>0</v>
      </c>
      <c r="V620" s="3">
        <f t="shared" si="137"/>
        <v>1</v>
      </c>
      <c r="W620" s="3">
        <v>1</v>
      </c>
      <c r="X620" s="3">
        <v>0</v>
      </c>
      <c r="Y620" s="3">
        <v>0</v>
      </c>
      <c r="Z620" s="3">
        <v>0</v>
      </c>
      <c r="AA620" s="3">
        <v>0</v>
      </c>
      <c r="AB620" s="3">
        <f t="shared" si="138"/>
        <v>1</v>
      </c>
      <c r="AC620" s="6">
        <f t="shared" si="146"/>
        <v>0</v>
      </c>
      <c r="AD620" s="6">
        <f t="shared" si="147"/>
        <v>0</v>
      </c>
      <c r="AE620" s="6">
        <f t="shared" si="148"/>
        <v>0</v>
      </c>
      <c r="AF620" s="6">
        <f t="shared" si="149"/>
        <v>0</v>
      </c>
      <c r="AG620" s="6">
        <f t="shared" si="150"/>
        <v>0</v>
      </c>
      <c r="AH620" s="6">
        <f t="shared" si="139"/>
        <v>0</v>
      </c>
      <c r="AI620" s="3"/>
      <c r="AJ620" s="3" t="e">
        <f>_xlfn.XLOOKUP(K620,工作表1!A:A,工作表1!C:C)</f>
        <v>#N/A</v>
      </c>
      <c r="AK620" s="3"/>
      <c r="AL620" s="6">
        <f t="shared" si="140"/>
        <v>1</v>
      </c>
      <c r="AM620" s="6">
        <f t="shared" si="141"/>
        <v>0</v>
      </c>
      <c r="AN620" s="6">
        <f t="shared" si="142"/>
        <v>0</v>
      </c>
      <c r="AO620" s="6">
        <f t="shared" si="143"/>
        <v>0</v>
      </c>
      <c r="AP620" s="6">
        <f t="shared" si="144"/>
        <v>0</v>
      </c>
      <c r="AQ620" s="6">
        <f t="shared" si="145"/>
        <v>1</v>
      </c>
      <c r="AR620" s="6"/>
      <c r="AS620" s="6"/>
      <c r="AT620" s="6"/>
      <c r="AU620" s="6">
        <v>1</v>
      </c>
      <c r="AV620" s="6"/>
      <c r="AW620" s="6"/>
      <c r="AX620" s="6"/>
      <c r="AY620" s="6"/>
      <c r="AZ620" s="6"/>
      <c r="BA620" s="6"/>
      <c r="BB620" s="6"/>
      <c r="BC620" s="6"/>
      <c r="BD620" s="6"/>
      <c r="BE620" s="6"/>
      <c r="BF620" s="6"/>
      <c r="BG620" s="6"/>
      <c r="BH620" s="6"/>
      <c r="BI620" s="6"/>
      <c r="BJ620" s="6"/>
      <c r="BK620" s="6"/>
      <c r="BL620" s="6"/>
      <c r="BM620" s="6"/>
      <c r="BN620" s="6"/>
      <c r="BO620" s="6"/>
      <c r="BP620" s="3">
        <v>1</v>
      </c>
      <c r="BQ620" s="6">
        <f t="shared" si="136"/>
        <v>1</v>
      </c>
      <c r="BV620">
        <v>1</v>
      </c>
    </row>
    <row r="621" spans="1:74" x14ac:dyDescent="0.3">
      <c r="A621" s="3" t="s">
        <v>931</v>
      </c>
      <c r="B621" s="3">
        <v>312</v>
      </c>
      <c r="C621" s="3" t="s">
        <v>1006</v>
      </c>
      <c r="D621" s="3">
        <v>1</v>
      </c>
      <c r="E621" s="3">
        <v>0.75</v>
      </c>
      <c r="F621" s="3" t="s">
        <v>41</v>
      </c>
      <c r="G621" s="3" t="s">
        <v>41</v>
      </c>
      <c r="H621" s="3" t="s">
        <v>199</v>
      </c>
      <c r="I621" s="3"/>
      <c r="J621" s="3" t="s">
        <v>91</v>
      </c>
      <c r="K621" s="3" t="s">
        <v>1510</v>
      </c>
      <c r="L621" s="3" t="s">
        <v>24</v>
      </c>
      <c r="M621" s="3">
        <v>9</v>
      </c>
      <c r="N621" s="6"/>
      <c r="O621" s="3">
        <v>9</v>
      </c>
      <c r="P621" s="3">
        <v>9</v>
      </c>
      <c r="Q621" s="3">
        <v>9</v>
      </c>
      <c r="R621" s="3">
        <v>0</v>
      </c>
      <c r="S621" s="3">
        <v>0</v>
      </c>
      <c r="T621" s="3">
        <v>0</v>
      </c>
      <c r="U621" s="3">
        <v>0</v>
      </c>
      <c r="V621" s="3">
        <f t="shared" si="137"/>
        <v>9</v>
      </c>
      <c r="W621" s="3">
        <v>9</v>
      </c>
      <c r="X621" s="3">
        <v>0</v>
      </c>
      <c r="Y621" s="3">
        <v>0</v>
      </c>
      <c r="Z621" s="3">
        <v>0</v>
      </c>
      <c r="AA621" s="3">
        <v>0</v>
      </c>
      <c r="AB621" s="3">
        <f t="shared" si="138"/>
        <v>9</v>
      </c>
      <c r="AC621" s="6">
        <f t="shared" si="146"/>
        <v>-1</v>
      </c>
      <c r="AD621" s="6">
        <f t="shared" si="147"/>
        <v>0</v>
      </c>
      <c r="AE621" s="6">
        <f t="shared" si="148"/>
        <v>0</v>
      </c>
      <c r="AF621" s="6">
        <f t="shared" si="149"/>
        <v>0</v>
      </c>
      <c r="AG621" s="6">
        <f t="shared" si="150"/>
        <v>0</v>
      </c>
      <c r="AH621" s="6">
        <f t="shared" si="139"/>
        <v>-1</v>
      </c>
      <c r="AI621" s="3"/>
      <c r="AJ621" s="3" t="e">
        <f>_xlfn.XLOOKUP(K621,工作表1!A:A,工作表1!C:C)</f>
        <v>#N/A</v>
      </c>
      <c r="AK621" s="3"/>
      <c r="AL621" s="6">
        <f t="shared" si="140"/>
        <v>8</v>
      </c>
      <c r="AM621" s="6">
        <f t="shared" si="141"/>
        <v>0</v>
      </c>
      <c r="AN621" s="6">
        <f t="shared" si="142"/>
        <v>0</v>
      </c>
      <c r="AO621" s="6">
        <f t="shared" si="143"/>
        <v>0</v>
      </c>
      <c r="AP621" s="6">
        <f t="shared" si="144"/>
        <v>0</v>
      </c>
      <c r="AQ621" s="6">
        <f t="shared" si="145"/>
        <v>8</v>
      </c>
      <c r="AR621" s="6"/>
      <c r="AS621" s="6"/>
      <c r="AT621" s="6"/>
      <c r="AU621" s="6">
        <v>8</v>
      </c>
      <c r="AV621" s="6"/>
      <c r="AW621" s="6"/>
      <c r="AX621" s="6"/>
      <c r="AY621" s="6"/>
      <c r="AZ621" s="6"/>
      <c r="BA621" s="6"/>
      <c r="BB621" s="6"/>
      <c r="BC621" s="6"/>
      <c r="BD621" s="6"/>
      <c r="BE621" s="6"/>
      <c r="BF621" s="6"/>
      <c r="BG621" s="6"/>
      <c r="BH621" s="6"/>
      <c r="BI621" s="6"/>
      <c r="BJ621" s="6"/>
      <c r="BK621" s="6"/>
      <c r="BL621" s="6"/>
      <c r="BM621" s="6"/>
      <c r="BN621" s="6"/>
      <c r="BO621" s="6"/>
      <c r="BP621" s="3">
        <v>9</v>
      </c>
      <c r="BQ621" s="6">
        <f t="shared" si="136"/>
        <v>8</v>
      </c>
      <c r="BV621">
        <v>8</v>
      </c>
    </row>
    <row r="622" spans="1:74" x14ac:dyDescent="0.3">
      <c r="A622" s="3" t="s">
        <v>931</v>
      </c>
      <c r="B622" s="3">
        <v>312</v>
      </c>
      <c r="C622" s="3" t="s">
        <v>1009</v>
      </c>
      <c r="D622" s="3">
        <v>12</v>
      </c>
      <c r="E622" s="3">
        <v>8</v>
      </c>
      <c r="F622" s="3" t="s">
        <v>41</v>
      </c>
      <c r="G622" s="3" t="s">
        <v>41</v>
      </c>
      <c r="H622" s="3" t="s">
        <v>1010</v>
      </c>
      <c r="I622" s="3"/>
      <c r="J622" s="3" t="s">
        <v>91</v>
      </c>
      <c r="K622" s="3" t="s">
        <v>1011</v>
      </c>
      <c r="L622" s="3" t="s">
        <v>24</v>
      </c>
      <c r="M622" s="3">
        <v>1</v>
      </c>
      <c r="N622" s="6"/>
      <c r="O622" s="3">
        <v>1</v>
      </c>
      <c r="P622" s="3">
        <v>1</v>
      </c>
      <c r="Q622" s="3">
        <v>1</v>
      </c>
      <c r="R622" s="3">
        <v>0</v>
      </c>
      <c r="S622" s="3">
        <v>0</v>
      </c>
      <c r="T622" s="3">
        <v>0</v>
      </c>
      <c r="U622" s="3">
        <v>0</v>
      </c>
      <c r="V622" s="3">
        <f t="shared" si="137"/>
        <v>1</v>
      </c>
      <c r="W622" s="3">
        <v>1</v>
      </c>
      <c r="X622" s="3">
        <v>0</v>
      </c>
      <c r="Y622" s="3">
        <v>0</v>
      </c>
      <c r="Z622" s="3">
        <v>0</v>
      </c>
      <c r="AA622" s="3">
        <v>0</v>
      </c>
      <c r="AB622" s="3">
        <f t="shared" si="138"/>
        <v>1</v>
      </c>
      <c r="AC622" s="6">
        <f t="shared" si="146"/>
        <v>0</v>
      </c>
      <c r="AD622" s="6">
        <f t="shared" si="147"/>
        <v>0</v>
      </c>
      <c r="AE622" s="6">
        <f t="shared" si="148"/>
        <v>0</v>
      </c>
      <c r="AF622" s="6">
        <f t="shared" si="149"/>
        <v>0</v>
      </c>
      <c r="AG622" s="6">
        <f t="shared" si="150"/>
        <v>0</v>
      </c>
      <c r="AH622" s="6">
        <f t="shared" si="139"/>
        <v>0</v>
      </c>
      <c r="AI622" s="3"/>
      <c r="AJ622" s="3" t="e">
        <f>_xlfn.XLOOKUP(K622,工作表1!A:A,工作表1!C:C)</f>
        <v>#N/A</v>
      </c>
      <c r="AK622" s="3"/>
      <c r="AL622" s="6">
        <f t="shared" si="140"/>
        <v>1</v>
      </c>
      <c r="AM622" s="6">
        <f t="shared" si="141"/>
        <v>0</v>
      </c>
      <c r="AN622" s="6">
        <f t="shared" si="142"/>
        <v>0</v>
      </c>
      <c r="AO622" s="6">
        <f t="shared" si="143"/>
        <v>0</v>
      </c>
      <c r="AP622" s="6">
        <f t="shared" si="144"/>
        <v>0</v>
      </c>
      <c r="AQ622" s="6">
        <f t="shared" si="145"/>
        <v>1</v>
      </c>
      <c r="AR622" s="6"/>
      <c r="AS622" s="6"/>
      <c r="AT622" s="6"/>
      <c r="AU622" s="6">
        <v>1</v>
      </c>
      <c r="AV622" s="6"/>
      <c r="AW622" s="6"/>
      <c r="AX622" s="6"/>
      <c r="AY622" s="6"/>
      <c r="AZ622" s="6"/>
      <c r="BA622" s="6"/>
      <c r="BB622" s="6"/>
      <c r="BC622" s="6"/>
      <c r="BD622" s="6"/>
      <c r="BE622" s="6"/>
      <c r="BF622" s="6"/>
      <c r="BG622" s="6"/>
      <c r="BH622" s="6"/>
      <c r="BI622" s="6"/>
      <c r="BJ622" s="6"/>
      <c r="BK622" s="6"/>
      <c r="BL622" s="6"/>
      <c r="BM622" s="6"/>
      <c r="BN622" s="6"/>
      <c r="BO622" s="6"/>
      <c r="BP622" s="3">
        <v>1</v>
      </c>
      <c r="BQ622" s="6">
        <f t="shared" si="136"/>
        <v>1</v>
      </c>
      <c r="BV622">
        <v>1</v>
      </c>
    </row>
    <row r="623" spans="1:74" x14ac:dyDescent="0.3">
      <c r="A623" s="3" t="s">
        <v>931</v>
      </c>
      <c r="B623" s="3">
        <v>312</v>
      </c>
      <c r="C623" s="3" t="s">
        <v>1009</v>
      </c>
      <c r="D623" s="3">
        <v>3</v>
      </c>
      <c r="E623" s="3">
        <v>2</v>
      </c>
      <c r="F623" s="3" t="s">
        <v>41</v>
      </c>
      <c r="G623" s="3" t="s">
        <v>41</v>
      </c>
      <c r="H623" s="3" t="s">
        <v>1012</v>
      </c>
      <c r="I623" s="3"/>
      <c r="J623" s="3" t="s">
        <v>91</v>
      </c>
      <c r="K623" s="3" t="s">
        <v>1013</v>
      </c>
      <c r="L623" s="3" t="s">
        <v>24</v>
      </c>
      <c r="M623" s="3">
        <v>4</v>
      </c>
      <c r="N623" s="6"/>
      <c r="O623" s="3">
        <v>4</v>
      </c>
      <c r="P623" s="3">
        <v>4</v>
      </c>
      <c r="Q623" s="3">
        <v>4</v>
      </c>
      <c r="R623" s="3">
        <v>0</v>
      </c>
      <c r="S623" s="3">
        <v>0</v>
      </c>
      <c r="T623" s="3">
        <v>0</v>
      </c>
      <c r="U623" s="3">
        <v>0</v>
      </c>
      <c r="V623" s="3">
        <f t="shared" si="137"/>
        <v>4</v>
      </c>
      <c r="W623" s="3">
        <v>4</v>
      </c>
      <c r="X623" s="3">
        <v>0</v>
      </c>
      <c r="Y623" s="3">
        <v>0</v>
      </c>
      <c r="Z623" s="3">
        <v>0</v>
      </c>
      <c r="AA623" s="3">
        <v>0</v>
      </c>
      <c r="AB623" s="3">
        <f t="shared" si="138"/>
        <v>4</v>
      </c>
      <c r="AC623" s="6">
        <f t="shared" si="146"/>
        <v>0</v>
      </c>
      <c r="AD623" s="6">
        <f t="shared" si="147"/>
        <v>0</v>
      </c>
      <c r="AE623" s="6">
        <f t="shared" si="148"/>
        <v>0</v>
      </c>
      <c r="AF623" s="6">
        <f t="shared" si="149"/>
        <v>0</v>
      </c>
      <c r="AG623" s="6">
        <f t="shared" si="150"/>
        <v>0</v>
      </c>
      <c r="AH623" s="6">
        <f t="shared" si="139"/>
        <v>0</v>
      </c>
      <c r="AI623" s="3"/>
      <c r="AJ623" s="3" t="e">
        <f>_xlfn.XLOOKUP(K623,工作表1!A:A,工作表1!C:C)</f>
        <v>#N/A</v>
      </c>
      <c r="AK623" s="3"/>
      <c r="AL623" s="6">
        <f t="shared" si="140"/>
        <v>4</v>
      </c>
      <c r="AM623" s="6">
        <f t="shared" si="141"/>
        <v>0</v>
      </c>
      <c r="AN623" s="6">
        <f t="shared" si="142"/>
        <v>0</v>
      </c>
      <c r="AO623" s="6">
        <f t="shared" si="143"/>
        <v>0</v>
      </c>
      <c r="AP623" s="6">
        <f t="shared" si="144"/>
        <v>0</v>
      </c>
      <c r="AQ623" s="6">
        <f t="shared" si="145"/>
        <v>4</v>
      </c>
      <c r="AR623" s="6"/>
      <c r="AS623" s="6"/>
      <c r="AT623" s="6"/>
      <c r="AU623" s="6">
        <v>4</v>
      </c>
      <c r="AV623" s="6"/>
      <c r="AW623" s="6"/>
      <c r="AX623" s="6"/>
      <c r="AY623" s="6"/>
      <c r="AZ623" s="6"/>
      <c r="BA623" s="6"/>
      <c r="BB623" s="6"/>
      <c r="BC623" s="6"/>
      <c r="BD623" s="6"/>
      <c r="BE623" s="6"/>
      <c r="BF623" s="6"/>
      <c r="BG623" s="6"/>
      <c r="BH623" s="6"/>
      <c r="BI623" s="6"/>
      <c r="BJ623" s="6"/>
      <c r="BK623" s="6"/>
      <c r="BL623" s="6"/>
      <c r="BM623" s="6"/>
      <c r="BN623" s="6"/>
      <c r="BO623" s="6"/>
      <c r="BP623" s="3">
        <v>4</v>
      </c>
      <c r="BQ623" s="6">
        <f t="shared" si="136"/>
        <v>4</v>
      </c>
      <c r="BV623">
        <v>4</v>
      </c>
    </row>
    <row r="624" spans="1:74" x14ac:dyDescent="0.3">
      <c r="A624" s="3" t="s">
        <v>931</v>
      </c>
      <c r="B624" s="3">
        <v>331</v>
      </c>
      <c r="C624" s="3" t="s">
        <v>1014</v>
      </c>
      <c r="D624" s="3">
        <v>4</v>
      </c>
      <c r="E624" s="3">
        <v>0.75</v>
      </c>
      <c r="F624" s="3" t="s">
        <v>19</v>
      </c>
      <c r="G624" s="3" t="s">
        <v>19</v>
      </c>
      <c r="H624" s="3" t="s">
        <v>221</v>
      </c>
      <c r="I624" s="3"/>
      <c r="J624" s="3" t="s">
        <v>91</v>
      </c>
      <c r="K624" s="3" t="s">
        <v>1015</v>
      </c>
      <c r="L624" s="3" t="s">
        <v>24</v>
      </c>
      <c r="M624" s="3">
        <v>2</v>
      </c>
      <c r="N624" s="6"/>
      <c r="O624" s="3">
        <v>2</v>
      </c>
      <c r="P624" s="3">
        <v>2</v>
      </c>
      <c r="Q624" s="3">
        <v>2</v>
      </c>
      <c r="R624" s="3">
        <v>0</v>
      </c>
      <c r="S624" s="3">
        <v>0</v>
      </c>
      <c r="T624" s="3">
        <v>0</v>
      </c>
      <c r="U624" s="3">
        <v>0</v>
      </c>
      <c r="V624" s="3">
        <f t="shared" si="137"/>
        <v>2</v>
      </c>
      <c r="W624" s="3">
        <v>2</v>
      </c>
      <c r="X624" s="3">
        <v>0</v>
      </c>
      <c r="Y624" s="3">
        <v>0</v>
      </c>
      <c r="Z624" s="3">
        <v>0</v>
      </c>
      <c r="AA624" s="3">
        <v>0</v>
      </c>
      <c r="AB624" s="3">
        <f t="shared" si="138"/>
        <v>2</v>
      </c>
      <c r="AC624" s="6">
        <f t="shared" si="146"/>
        <v>-2</v>
      </c>
      <c r="AD624" s="6">
        <f t="shared" si="147"/>
        <v>0</v>
      </c>
      <c r="AE624" s="6">
        <f t="shared" si="148"/>
        <v>0</v>
      </c>
      <c r="AF624" s="6">
        <f t="shared" si="149"/>
        <v>0</v>
      </c>
      <c r="AG624" s="6">
        <f t="shared" si="150"/>
        <v>0</v>
      </c>
      <c r="AH624" s="6">
        <f t="shared" si="139"/>
        <v>-2</v>
      </c>
      <c r="AI624" s="3"/>
      <c r="AJ624" s="3" t="e">
        <f>_xlfn.XLOOKUP(K624,工作表1!A:A,工作表1!C:C)</f>
        <v>#N/A</v>
      </c>
      <c r="AK624" s="3"/>
      <c r="AL624" s="6">
        <f t="shared" si="140"/>
        <v>0</v>
      </c>
      <c r="AM624" s="6">
        <f t="shared" si="141"/>
        <v>0</v>
      </c>
      <c r="AN624" s="6">
        <f t="shared" si="142"/>
        <v>0</v>
      </c>
      <c r="AO624" s="6">
        <f t="shared" si="143"/>
        <v>0</v>
      </c>
      <c r="AP624" s="6">
        <f t="shared" si="144"/>
        <v>0</v>
      </c>
      <c r="AQ624" s="6">
        <f t="shared" si="145"/>
        <v>0</v>
      </c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  <c r="BC624" s="6"/>
      <c r="BD624" s="6"/>
      <c r="BE624" s="6"/>
      <c r="BF624" s="6"/>
      <c r="BG624" s="6"/>
      <c r="BH624" s="6"/>
      <c r="BI624" s="6"/>
      <c r="BJ624" s="6"/>
      <c r="BK624" s="6"/>
      <c r="BL624" s="6"/>
      <c r="BM624" s="6"/>
      <c r="BN624" s="6"/>
      <c r="BO624" s="6"/>
      <c r="BP624" s="3">
        <v>2</v>
      </c>
      <c r="BQ624" s="6">
        <f t="shared" si="136"/>
        <v>0</v>
      </c>
    </row>
    <row r="625" spans="1:69" x14ac:dyDescent="0.3">
      <c r="A625" s="3" t="s">
        <v>931</v>
      </c>
      <c r="B625" s="3">
        <v>331</v>
      </c>
      <c r="C625" s="3" t="s">
        <v>1014</v>
      </c>
      <c r="D625" s="3">
        <v>4</v>
      </c>
      <c r="E625" s="3">
        <v>1</v>
      </c>
      <c r="F625" s="3" t="s">
        <v>19</v>
      </c>
      <c r="G625" s="3" t="s">
        <v>19</v>
      </c>
      <c r="H625" s="3" t="s">
        <v>225</v>
      </c>
      <c r="I625" s="3"/>
      <c r="J625" s="3" t="s">
        <v>91</v>
      </c>
      <c r="K625" s="3" t="s">
        <v>1016</v>
      </c>
      <c r="L625" s="3" t="s">
        <v>24</v>
      </c>
      <c r="M625" s="3">
        <v>2</v>
      </c>
      <c r="N625" s="6"/>
      <c r="O625" s="3">
        <v>2</v>
      </c>
      <c r="P625" s="3">
        <v>2</v>
      </c>
      <c r="Q625" s="3">
        <v>2</v>
      </c>
      <c r="R625" s="3">
        <v>0</v>
      </c>
      <c r="S625" s="3">
        <v>0</v>
      </c>
      <c r="T625" s="3">
        <v>0</v>
      </c>
      <c r="U625" s="3">
        <v>0</v>
      </c>
      <c r="V625" s="3">
        <f t="shared" si="137"/>
        <v>2</v>
      </c>
      <c r="W625" s="3">
        <v>2</v>
      </c>
      <c r="X625" s="3">
        <v>0</v>
      </c>
      <c r="Y625" s="3">
        <v>0</v>
      </c>
      <c r="Z625" s="3">
        <v>0</v>
      </c>
      <c r="AA625" s="3">
        <v>0</v>
      </c>
      <c r="AB625" s="3">
        <f t="shared" si="138"/>
        <v>2</v>
      </c>
      <c r="AC625" s="6">
        <f t="shared" si="146"/>
        <v>-2</v>
      </c>
      <c r="AD625" s="6">
        <f t="shared" si="147"/>
        <v>0</v>
      </c>
      <c r="AE625" s="6">
        <f t="shared" si="148"/>
        <v>0</v>
      </c>
      <c r="AF625" s="6">
        <f t="shared" si="149"/>
        <v>0</v>
      </c>
      <c r="AG625" s="6">
        <f t="shared" si="150"/>
        <v>0</v>
      </c>
      <c r="AH625" s="6">
        <f t="shared" si="139"/>
        <v>-2</v>
      </c>
      <c r="AI625" s="3"/>
      <c r="AJ625" s="3" t="e">
        <f>_xlfn.XLOOKUP(K625,工作表1!A:A,工作表1!C:C)</f>
        <v>#N/A</v>
      </c>
      <c r="AK625" s="3"/>
      <c r="AL625" s="6">
        <f t="shared" si="140"/>
        <v>0</v>
      </c>
      <c r="AM625" s="6">
        <f t="shared" si="141"/>
        <v>0</v>
      </c>
      <c r="AN625" s="6">
        <f t="shared" si="142"/>
        <v>0</v>
      </c>
      <c r="AO625" s="6">
        <f t="shared" si="143"/>
        <v>0</v>
      </c>
      <c r="AP625" s="6">
        <f t="shared" si="144"/>
        <v>0</v>
      </c>
      <c r="AQ625" s="6">
        <f t="shared" si="145"/>
        <v>0</v>
      </c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  <c r="BC625" s="6"/>
      <c r="BD625" s="6"/>
      <c r="BE625" s="6"/>
      <c r="BF625" s="6"/>
      <c r="BG625" s="6"/>
      <c r="BH625" s="6"/>
      <c r="BI625" s="6"/>
      <c r="BJ625" s="6"/>
      <c r="BK625" s="6"/>
      <c r="BL625" s="6"/>
      <c r="BM625" s="6"/>
      <c r="BN625" s="6"/>
      <c r="BO625" s="6"/>
      <c r="BP625" s="3">
        <v>2</v>
      </c>
      <c r="BQ625" s="6">
        <f t="shared" si="136"/>
        <v>0</v>
      </c>
    </row>
    <row r="626" spans="1:69" x14ac:dyDescent="0.3">
      <c r="A626" s="3" t="s">
        <v>931</v>
      </c>
      <c r="B626" s="3">
        <v>332</v>
      </c>
      <c r="C626" s="3" t="s">
        <v>1017</v>
      </c>
      <c r="D626" s="3">
        <v>16</v>
      </c>
      <c r="E626" s="3">
        <v>0.75</v>
      </c>
      <c r="F626" s="3" t="s">
        <v>41</v>
      </c>
      <c r="G626" s="3" t="s">
        <v>41</v>
      </c>
      <c r="H626" s="3" t="s">
        <v>1018</v>
      </c>
      <c r="I626" s="3"/>
      <c r="J626" s="3" t="s">
        <v>91</v>
      </c>
      <c r="K626" s="3" t="s">
        <v>1019</v>
      </c>
      <c r="L626" s="3" t="s">
        <v>24</v>
      </c>
      <c r="M626" s="3">
        <v>2</v>
      </c>
      <c r="N626" s="6"/>
      <c r="O626" s="3">
        <v>2</v>
      </c>
      <c r="P626" s="3">
        <v>2</v>
      </c>
      <c r="Q626" s="3">
        <v>2</v>
      </c>
      <c r="R626" s="3">
        <v>0</v>
      </c>
      <c r="S626" s="3">
        <v>0</v>
      </c>
      <c r="T626" s="3">
        <v>0</v>
      </c>
      <c r="U626" s="3">
        <v>0</v>
      </c>
      <c r="V626" s="3">
        <f t="shared" si="137"/>
        <v>2</v>
      </c>
      <c r="W626" s="3">
        <v>2</v>
      </c>
      <c r="X626" s="3">
        <v>0</v>
      </c>
      <c r="Y626" s="3">
        <v>0</v>
      </c>
      <c r="Z626" s="3">
        <v>0</v>
      </c>
      <c r="AA626" s="3">
        <v>0</v>
      </c>
      <c r="AB626" s="3">
        <f t="shared" si="138"/>
        <v>2</v>
      </c>
      <c r="AC626" s="6">
        <f t="shared" si="146"/>
        <v>-2</v>
      </c>
      <c r="AD626" s="6">
        <f t="shared" si="147"/>
        <v>0</v>
      </c>
      <c r="AE626" s="6">
        <f t="shared" si="148"/>
        <v>0</v>
      </c>
      <c r="AF626" s="6">
        <f t="shared" si="149"/>
        <v>0</v>
      </c>
      <c r="AG626" s="6">
        <f t="shared" si="150"/>
        <v>0</v>
      </c>
      <c r="AH626" s="6">
        <f t="shared" si="139"/>
        <v>-2</v>
      </c>
      <c r="AI626" s="3"/>
      <c r="AJ626" s="3" t="e">
        <f>_xlfn.XLOOKUP(K626,工作表1!A:A,工作表1!C:C)</f>
        <v>#N/A</v>
      </c>
      <c r="AK626" s="3"/>
      <c r="AL626" s="6">
        <f t="shared" si="140"/>
        <v>0</v>
      </c>
      <c r="AM626" s="6">
        <f t="shared" si="141"/>
        <v>0</v>
      </c>
      <c r="AN626" s="6">
        <f t="shared" si="142"/>
        <v>0</v>
      </c>
      <c r="AO626" s="6">
        <f t="shared" si="143"/>
        <v>0</v>
      </c>
      <c r="AP626" s="6">
        <f t="shared" si="144"/>
        <v>0</v>
      </c>
      <c r="AQ626" s="6">
        <f t="shared" si="145"/>
        <v>0</v>
      </c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  <c r="BC626" s="6"/>
      <c r="BD626" s="6"/>
      <c r="BE626" s="6"/>
      <c r="BF626" s="6"/>
      <c r="BG626" s="6"/>
      <c r="BH626" s="6"/>
      <c r="BI626" s="6"/>
      <c r="BJ626" s="6"/>
      <c r="BK626" s="6"/>
      <c r="BL626" s="6"/>
      <c r="BM626" s="6"/>
      <c r="BN626" s="6"/>
      <c r="BO626" s="6"/>
      <c r="BP626" s="3">
        <v>2</v>
      </c>
      <c r="BQ626" s="6">
        <f t="shared" si="136"/>
        <v>0</v>
      </c>
    </row>
    <row r="627" spans="1:69" x14ac:dyDescent="0.3">
      <c r="A627" s="3" t="s">
        <v>931</v>
      </c>
      <c r="B627" s="3">
        <v>332</v>
      </c>
      <c r="C627" s="3" t="s">
        <v>1017</v>
      </c>
      <c r="D627" s="3">
        <v>16</v>
      </c>
      <c r="E627" s="3">
        <v>2</v>
      </c>
      <c r="F627" s="3" t="s">
        <v>41</v>
      </c>
      <c r="G627" s="3" t="s">
        <v>41</v>
      </c>
      <c r="H627" s="3" t="s">
        <v>1020</v>
      </c>
      <c r="I627" s="3"/>
      <c r="J627" s="3" t="s">
        <v>91</v>
      </c>
      <c r="K627" s="3" t="s">
        <v>1021</v>
      </c>
      <c r="L627" s="3" t="s">
        <v>24</v>
      </c>
      <c r="M627" s="3">
        <v>1</v>
      </c>
      <c r="N627" s="6"/>
      <c r="O627" s="3">
        <v>1</v>
      </c>
      <c r="P627" s="3">
        <v>1</v>
      </c>
      <c r="Q627" s="3">
        <v>1</v>
      </c>
      <c r="R627" s="3">
        <v>0</v>
      </c>
      <c r="S627" s="3">
        <v>0</v>
      </c>
      <c r="T627" s="3">
        <v>0</v>
      </c>
      <c r="U627" s="3">
        <v>0</v>
      </c>
      <c r="V627" s="3">
        <f t="shared" si="137"/>
        <v>1</v>
      </c>
      <c r="W627" s="3">
        <v>1</v>
      </c>
      <c r="X627" s="3">
        <v>0</v>
      </c>
      <c r="Y627" s="3">
        <v>0</v>
      </c>
      <c r="Z627" s="3">
        <v>0</v>
      </c>
      <c r="AA627" s="3">
        <v>0</v>
      </c>
      <c r="AB627" s="3">
        <f t="shared" si="138"/>
        <v>1</v>
      </c>
      <c r="AC627" s="6">
        <f t="shared" si="146"/>
        <v>-1</v>
      </c>
      <c r="AD627" s="6">
        <f t="shared" si="147"/>
        <v>0</v>
      </c>
      <c r="AE627" s="6">
        <f t="shared" si="148"/>
        <v>0</v>
      </c>
      <c r="AF627" s="6">
        <f t="shared" si="149"/>
        <v>0</v>
      </c>
      <c r="AG627" s="6">
        <f t="shared" si="150"/>
        <v>0</v>
      </c>
      <c r="AH627" s="6">
        <f t="shared" si="139"/>
        <v>-1</v>
      </c>
      <c r="AI627" s="3"/>
      <c r="AJ627" s="3" t="e">
        <f>_xlfn.XLOOKUP(K627,工作表1!A:A,工作表1!C:C)</f>
        <v>#N/A</v>
      </c>
      <c r="AK627" s="3"/>
      <c r="AL627" s="6">
        <f t="shared" si="140"/>
        <v>0</v>
      </c>
      <c r="AM627" s="6">
        <f t="shared" si="141"/>
        <v>0</v>
      </c>
      <c r="AN627" s="6">
        <f t="shared" si="142"/>
        <v>0</v>
      </c>
      <c r="AO627" s="6">
        <f t="shared" si="143"/>
        <v>0</v>
      </c>
      <c r="AP627" s="6">
        <f t="shared" si="144"/>
        <v>0</v>
      </c>
      <c r="AQ627" s="6">
        <f t="shared" si="145"/>
        <v>0</v>
      </c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  <c r="BC627" s="6"/>
      <c r="BD627" s="6"/>
      <c r="BE627" s="6"/>
      <c r="BF627" s="6"/>
      <c r="BG627" s="6"/>
      <c r="BH627" s="6"/>
      <c r="BI627" s="6"/>
      <c r="BJ627" s="6"/>
      <c r="BK627" s="6"/>
      <c r="BL627" s="6"/>
      <c r="BM627" s="6"/>
      <c r="BN627" s="6"/>
      <c r="BO627" s="6"/>
      <c r="BP627" s="3">
        <v>1</v>
      </c>
      <c r="BQ627" s="6">
        <f t="shared" si="136"/>
        <v>0</v>
      </c>
    </row>
    <row r="628" spans="1:69" x14ac:dyDescent="0.3">
      <c r="A628" s="3" t="s">
        <v>931</v>
      </c>
      <c r="B628" s="3">
        <v>332</v>
      </c>
      <c r="C628" s="3" t="s">
        <v>1017</v>
      </c>
      <c r="D628" s="3">
        <v>16</v>
      </c>
      <c r="E628" s="3">
        <v>1.5</v>
      </c>
      <c r="F628" s="3" t="s">
        <v>41</v>
      </c>
      <c r="G628" s="3" t="s">
        <v>41</v>
      </c>
      <c r="H628" s="3" t="s">
        <v>1022</v>
      </c>
      <c r="I628" s="3"/>
      <c r="J628" s="3" t="s">
        <v>91</v>
      </c>
      <c r="K628" s="3" t="s">
        <v>1023</v>
      </c>
      <c r="L628" s="3" t="s">
        <v>24</v>
      </c>
      <c r="M628" s="3">
        <v>3</v>
      </c>
      <c r="N628" s="6"/>
      <c r="O628" s="3">
        <v>3</v>
      </c>
      <c r="P628" s="3">
        <v>3</v>
      </c>
      <c r="Q628" s="3">
        <v>3</v>
      </c>
      <c r="R628" s="3">
        <v>0</v>
      </c>
      <c r="S628" s="3">
        <v>0</v>
      </c>
      <c r="T628" s="3">
        <v>0</v>
      </c>
      <c r="U628" s="3">
        <v>0</v>
      </c>
      <c r="V628" s="3">
        <f t="shared" si="137"/>
        <v>3</v>
      </c>
      <c r="W628" s="3">
        <v>3</v>
      </c>
      <c r="X628" s="3">
        <v>0</v>
      </c>
      <c r="Y628" s="3">
        <v>0</v>
      </c>
      <c r="Z628" s="3">
        <v>0</v>
      </c>
      <c r="AA628" s="3">
        <v>0</v>
      </c>
      <c r="AB628" s="3">
        <f t="shared" si="138"/>
        <v>3</v>
      </c>
      <c r="AC628" s="6">
        <f t="shared" si="146"/>
        <v>-3</v>
      </c>
      <c r="AD628" s="6">
        <f t="shared" si="147"/>
        <v>0</v>
      </c>
      <c r="AE628" s="6">
        <f t="shared" si="148"/>
        <v>0</v>
      </c>
      <c r="AF628" s="6">
        <f t="shared" si="149"/>
        <v>0</v>
      </c>
      <c r="AG628" s="6">
        <f t="shared" si="150"/>
        <v>0</v>
      </c>
      <c r="AH628" s="6">
        <f t="shared" si="139"/>
        <v>-3</v>
      </c>
      <c r="AI628" s="3"/>
      <c r="AJ628" s="3" t="e">
        <f>_xlfn.XLOOKUP(K628,工作表1!A:A,工作表1!C:C)</f>
        <v>#N/A</v>
      </c>
      <c r="AK628" s="3"/>
      <c r="AL628" s="6">
        <f t="shared" si="140"/>
        <v>0</v>
      </c>
      <c r="AM628" s="6">
        <f t="shared" si="141"/>
        <v>0</v>
      </c>
      <c r="AN628" s="6">
        <f t="shared" si="142"/>
        <v>0</v>
      </c>
      <c r="AO628" s="6">
        <f t="shared" si="143"/>
        <v>0</v>
      </c>
      <c r="AP628" s="6">
        <f t="shared" si="144"/>
        <v>0</v>
      </c>
      <c r="AQ628" s="6">
        <f t="shared" si="145"/>
        <v>0</v>
      </c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  <c r="BC628" s="6"/>
      <c r="BD628" s="6"/>
      <c r="BE628" s="6"/>
      <c r="BF628" s="6"/>
      <c r="BG628" s="6"/>
      <c r="BH628" s="6"/>
      <c r="BI628" s="6"/>
      <c r="BJ628" s="6"/>
      <c r="BK628" s="6"/>
      <c r="BL628" s="6"/>
      <c r="BM628" s="6"/>
      <c r="BN628" s="6"/>
      <c r="BO628" s="6"/>
      <c r="BP628" s="3">
        <v>3</v>
      </c>
      <c r="BQ628" s="6">
        <f t="shared" si="136"/>
        <v>0</v>
      </c>
    </row>
    <row r="629" spans="1:69" x14ac:dyDescent="0.3">
      <c r="A629" s="3" t="s">
        <v>931</v>
      </c>
      <c r="B629" s="3">
        <v>332</v>
      </c>
      <c r="C629" s="3" t="s">
        <v>1017</v>
      </c>
      <c r="D629" s="3">
        <v>16</v>
      </c>
      <c r="E629" s="3">
        <v>1</v>
      </c>
      <c r="F629" s="3" t="s">
        <v>41</v>
      </c>
      <c r="G629" s="3" t="s">
        <v>41</v>
      </c>
      <c r="H629" s="3" t="s">
        <v>1024</v>
      </c>
      <c r="I629" s="3"/>
      <c r="J629" s="3" t="s">
        <v>91</v>
      </c>
      <c r="K629" s="3" t="s">
        <v>1025</v>
      </c>
      <c r="L629" s="3" t="s">
        <v>24</v>
      </c>
      <c r="M629" s="3">
        <v>3</v>
      </c>
      <c r="N629" s="6"/>
      <c r="O629" s="3">
        <v>3</v>
      </c>
      <c r="P629" s="3">
        <v>3</v>
      </c>
      <c r="Q629" s="3">
        <v>3</v>
      </c>
      <c r="R629" s="3">
        <v>0</v>
      </c>
      <c r="S629" s="3">
        <v>0</v>
      </c>
      <c r="T629" s="3">
        <v>0</v>
      </c>
      <c r="U629" s="3">
        <v>0</v>
      </c>
      <c r="V629" s="3">
        <f t="shared" si="137"/>
        <v>3</v>
      </c>
      <c r="W629" s="3">
        <v>3</v>
      </c>
      <c r="X629" s="3">
        <v>0</v>
      </c>
      <c r="Y629" s="3">
        <v>0</v>
      </c>
      <c r="Z629" s="3">
        <v>0</v>
      </c>
      <c r="AA629" s="3">
        <v>0</v>
      </c>
      <c r="AB629" s="3">
        <f t="shared" si="138"/>
        <v>3</v>
      </c>
      <c r="AC629" s="6">
        <f t="shared" si="146"/>
        <v>-3</v>
      </c>
      <c r="AD629" s="6">
        <f t="shared" si="147"/>
        <v>0</v>
      </c>
      <c r="AE629" s="6">
        <f t="shared" si="148"/>
        <v>0</v>
      </c>
      <c r="AF629" s="6">
        <f t="shared" si="149"/>
        <v>0</v>
      </c>
      <c r="AG629" s="6">
        <f t="shared" si="150"/>
        <v>0</v>
      </c>
      <c r="AH629" s="6">
        <f t="shared" si="139"/>
        <v>-3</v>
      </c>
      <c r="AI629" s="3"/>
      <c r="AJ629" s="3" t="e">
        <f>_xlfn.XLOOKUP(K629,工作表1!A:A,工作表1!C:C)</f>
        <v>#N/A</v>
      </c>
      <c r="AK629" s="3"/>
      <c r="AL629" s="6">
        <f t="shared" si="140"/>
        <v>0</v>
      </c>
      <c r="AM629" s="6">
        <f t="shared" si="141"/>
        <v>0</v>
      </c>
      <c r="AN629" s="6">
        <f t="shared" si="142"/>
        <v>0</v>
      </c>
      <c r="AO629" s="6">
        <f t="shared" si="143"/>
        <v>0</v>
      </c>
      <c r="AP629" s="6">
        <f t="shared" si="144"/>
        <v>0</v>
      </c>
      <c r="AQ629" s="6">
        <f t="shared" si="145"/>
        <v>0</v>
      </c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  <c r="BC629" s="6"/>
      <c r="BD629" s="6"/>
      <c r="BE629" s="6"/>
      <c r="BF629" s="6"/>
      <c r="BG629" s="6"/>
      <c r="BH629" s="6"/>
      <c r="BI629" s="6"/>
      <c r="BJ629" s="6"/>
      <c r="BK629" s="6"/>
      <c r="BL629" s="6"/>
      <c r="BM629" s="6"/>
      <c r="BN629" s="6"/>
      <c r="BO629" s="6"/>
      <c r="BP629" s="3">
        <v>3</v>
      </c>
      <c r="BQ629" s="6">
        <f t="shared" si="136"/>
        <v>0</v>
      </c>
    </row>
    <row r="630" spans="1:69" x14ac:dyDescent="0.3">
      <c r="A630" s="3" t="s">
        <v>931</v>
      </c>
      <c r="B630" s="3">
        <v>332</v>
      </c>
      <c r="C630" s="3" t="s">
        <v>1017</v>
      </c>
      <c r="D630" s="3">
        <v>14</v>
      </c>
      <c r="E630" s="3">
        <v>0.75</v>
      </c>
      <c r="F630" s="3" t="s">
        <v>41</v>
      </c>
      <c r="G630" s="3" t="s">
        <v>41</v>
      </c>
      <c r="H630" s="3" t="s">
        <v>1026</v>
      </c>
      <c r="I630" s="3"/>
      <c r="J630" s="3" t="s">
        <v>91</v>
      </c>
      <c r="K630" s="3" t="s">
        <v>1027</v>
      </c>
      <c r="L630" s="3" t="s">
        <v>24</v>
      </c>
      <c r="M630" s="3">
        <v>1</v>
      </c>
      <c r="N630" s="6"/>
      <c r="O630" s="3">
        <v>1</v>
      </c>
      <c r="P630" s="3">
        <v>1</v>
      </c>
      <c r="Q630" s="3">
        <v>1</v>
      </c>
      <c r="R630" s="3">
        <v>0</v>
      </c>
      <c r="S630" s="3">
        <v>0</v>
      </c>
      <c r="T630" s="3">
        <v>0</v>
      </c>
      <c r="U630" s="3">
        <v>0</v>
      </c>
      <c r="V630" s="3">
        <f t="shared" si="137"/>
        <v>1</v>
      </c>
      <c r="W630" s="3">
        <v>1</v>
      </c>
      <c r="X630" s="3">
        <v>0</v>
      </c>
      <c r="Y630" s="3">
        <v>0</v>
      </c>
      <c r="Z630" s="3">
        <v>0</v>
      </c>
      <c r="AA630" s="3">
        <v>0</v>
      </c>
      <c r="AB630" s="3">
        <f t="shared" si="138"/>
        <v>1</v>
      </c>
      <c r="AC630" s="6">
        <f t="shared" si="146"/>
        <v>-1</v>
      </c>
      <c r="AD630" s="6">
        <f t="shared" si="147"/>
        <v>0</v>
      </c>
      <c r="AE630" s="6">
        <f t="shared" si="148"/>
        <v>0</v>
      </c>
      <c r="AF630" s="6">
        <f t="shared" si="149"/>
        <v>0</v>
      </c>
      <c r="AG630" s="6">
        <f t="shared" si="150"/>
        <v>0</v>
      </c>
      <c r="AH630" s="6">
        <f t="shared" si="139"/>
        <v>-1</v>
      </c>
      <c r="AI630" s="3"/>
      <c r="AJ630" s="3" t="e">
        <f>_xlfn.XLOOKUP(K630,工作表1!A:A,工作表1!C:C)</f>
        <v>#N/A</v>
      </c>
      <c r="AK630" s="3"/>
      <c r="AL630" s="6">
        <f t="shared" si="140"/>
        <v>0</v>
      </c>
      <c r="AM630" s="6">
        <f t="shared" si="141"/>
        <v>0</v>
      </c>
      <c r="AN630" s="6">
        <f t="shared" si="142"/>
        <v>0</v>
      </c>
      <c r="AO630" s="6">
        <f t="shared" si="143"/>
        <v>0</v>
      </c>
      <c r="AP630" s="6">
        <f t="shared" si="144"/>
        <v>0</v>
      </c>
      <c r="AQ630" s="6">
        <f t="shared" si="145"/>
        <v>0</v>
      </c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  <c r="BC630" s="6"/>
      <c r="BD630" s="6"/>
      <c r="BE630" s="6"/>
      <c r="BF630" s="6"/>
      <c r="BG630" s="6"/>
      <c r="BH630" s="6"/>
      <c r="BI630" s="6"/>
      <c r="BJ630" s="6"/>
      <c r="BK630" s="6"/>
      <c r="BL630" s="6"/>
      <c r="BM630" s="6"/>
      <c r="BN630" s="6"/>
      <c r="BO630" s="6"/>
      <c r="BP630" s="3">
        <v>1</v>
      </c>
      <c r="BQ630" s="6">
        <f t="shared" si="136"/>
        <v>0</v>
      </c>
    </row>
    <row r="631" spans="1:69" x14ac:dyDescent="0.3">
      <c r="A631" s="3" t="s">
        <v>931</v>
      </c>
      <c r="B631" s="3">
        <v>332</v>
      </c>
      <c r="C631" s="3" t="s">
        <v>1017</v>
      </c>
      <c r="D631" s="3">
        <v>14</v>
      </c>
      <c r="E631" s="3">
        <v>2</v>
      </c>
      <c r="F631" s="3" t="s">
        <v>41</v>
      </c>
      <c r="G631" s="3" t="s">
        <v>41</v>
      </c>
      <c r="H631" s="3" t="s">
        <v>1028</v>
      </c>
      <c r="I631" s="3"/>
      <c r="J631" s="3" t="s">
        <v>91</v>
      </c>
      <c r="K631" s="3" t="s">
        <v>1029</v>
      </c>
      <c r="L631" s="3" t="s">
        <v>24</v>
      </c>
      <c r="M631" s="3">
        <v>1</v>
      </c>
      <c r="N631" s="6"/>
      <c r="O631" s="3">
        <v>1</v>
      </c>
      <c r="P631" s="3">
        <v>1</v>
      </c>
      <c r="Q631" s="3">
        <v>1</v>
      </c>
      <c r="R631" s="3">
        <v>0</v>
      </c>
      <c r="S631" s="3">
        <v>0</v>
      </c>
      <c r="T631" s="3">
        <v>0</v>
      </c>
      <c r="U631" s="3">
        <v>0</v>
      </c>
      <c r="V631" s="3">
        <f t="shared" si="137"/>
        <v>1</v>
      </c>
      <c r="W631" s="3">
        <v>1</v>
      </c>
      <c r="X631" s="3">
        <v>0</v>
      </c>
      <c r="Y631" s="3">
        <v>0</v>
      </c>
      <c r="Z631" s="3">
        <v>0</v>
      </c>
      <c r="AA631" s="3">
        <v>0</v>
      </c>
      <c r="AB631" s="3">
        <f t="shared" si="138"/>
        <v>1</v>
      </c>
      <c r="AC631" s="6">
        <f t="shared" si="146"/>
        <v>-1</v>
      </c>
      <c r="AD631" s="6">
        <f t="shared" si="147"/>
        <v>0</v>
      </c>
      <c r="AE631" s="6">
        <f t="shared" si="148"/>
        <v>0</v>
      </c>
      <c r="AF631" s="6">
        <f t="shared" si="149"/>
        <v>0</v>
      </c>
      <c r="AG631" s="6">
        <f t="shared" si="150"/>
        <v>0</v>
      </c>
      <c r="AH631" s="6">
        <f t="shared" si="139"/>
        <v>-1</v>
      </c>
      <c r="AI631" s="3"/>
      <c r="AJ631" s="3" t="e">
        <f>_xlfn.XLOOKUP(K631,工作表1!A:A,工作表1!C:C)</f>
        <v>#N/A</v>
      </c>
      <c r="AK631" s="3"/>
      <c r="AL631" s="6">
        <f t="shared" si="140"/>
        <v>0</v>
      </c>
      <c r="AM631" s="6">
        <f t="shared" si="141"/>
        <v>0</v>
      </c>
      <c r="AN631" s="6">
        <f t="shared" si="142"/>
        <v>0</v>
      </c>
      <c r="AO631" s="6">
        <f t="shared" si="143"/>
        <v>0</v>
      </c>
      <c r="AP631" s="6">
        <f t="shared" si="144"/>
        <v>0</v>
      </c>
      <c r="AQ631" s="6">
        <f t="shared" si="145"/>
        <v>0</v>
      </c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  <c r="BC631" s="6"/>
      <c r="BD631" s="6"/>
      <c r="BE631" s="6"/>
      <c r="BF631" s="6"/>
      <c r="BG631" s="6"/>
      <c r="BH631" s="6"/>
      <c r="BI631" s="6"/>
      <c r="BJ631" s="6"/>
      <c r="BK631" s="6"/>
      <c r="BL631" s="6"/>
      <c r="BM631" s="6"/>
      <c r="BN631" s="6"/>
      <c r="BO631" s="6"/>
      <c r="BP631" s="3">
        <v>1</v>
      </c>
      <c r="BQ631" s="6">
        <f t="shared" si="136"/>
        <v>0</v>
      </c>
    </row>
    <row r="632" spans="1:69" x14ac:dyDescent="0.3">
      <c r="A632" s="3" t="s">
        <v>931</v>
      </c>
      <c r="B632" s="3">
        <v>332</v>
      </c>
      <c r="C632" s="3" t="s">
        <v>1017</v>
      </c>
      <c r="D632" s="3">
        <v>14</v>
      </c>
      <c r="E632" s="3">
        <v>1.5</v>
      </c>
      <c r="F632" s="3" t="s">
        <v>41</v>
      </c>
      <c r="G632" s="3" t="s">
        <v>41</v>
      </c>
      <c r="H632" s="3" t="s">
        <v>1030</v>
      </c>
      <c r="I632" s="3"/>
      <c r="J632" s="3" t="s">
        <v>91</v>
      </c>
      <c r="K632" s="3" t="s">
        <v>1031</v>
      </c>
      <c r="L632" s="3" t="s">
        <v>24</v>
      </c>
      <c r="M632" s="3">
        <v>3</v>
      </c>
      <c r="N632" s="6"/>
      <c r="O632" s="3">
        <v>3</v>
      </c>
      <c r="P632" s="3">
        <v>3</v>
      </c>
      <c r="Q632" s="3">
        <v>3</v>
      </c>
      <c r="R632" s="3">
        <v>0</v>
      </c>
      <c r="S632" s="3">
        <v>0</v>
      </c>
      <c r="T632" s="3">
        <v>0</v>
      </c>
      <c r="U632" s="3">
        <v>0</v>
      </c>
      <c r="V632" s="3">
        <f t="shared" si="137"/>
        <v>3</v>
      </c>
      <c r="W632" s="3">
        <v>3</v>
      </c>
      <c r="X632" s="3">
        <v>0</v>
      </c>
      <c r="Y632" s="3">
        <v>0</v>
      </c>
      <c r="Z632" s="3">
        <v>0</v>
      </c>
      <c r="AA632" s="3">
        <v>0</v>
      </c>
      <c r="AB632" s="3">
        <f t="shared" si="138"/>
        <v>3</v>
      </c>
      <c r="AC632" s="6">
        <f t="shared" si="146"/>
        <v>-3</v>
      </c>
      <c r="AD632" s="6">
        <f t="shared" si="147"/>
        <v>0</v>
      </c>
      <c r="AE632" s="6">
        <f t="shared" si="148"/>
        <v>0</v>
      </c>
      <c r="AF632" s="6">
        <f t="shared" si="149"/>
        <v>0</v>
      </c>
      <c r="AG632" s="6">
        <f t="shared" si="150"/>
        <v>0</v>
      </c>
      <c r="AH632" s="6">
        <f t="shared" si="139"/>
        <v>-3</v>
      </c>
      <c r="AI632" s="3"/>
      <c r="AJ632" s="3" t="e">
        <f>_xlfn.XLOOKUP(K632,工作表1!A:A,工作表1!C:C)</f>
        <v>#N/A</v>
      </c>
      <c r="AK632" s="3"/>
      <c r="AL632" s="6">
        <f t="shared" si="140"/>
        <v>0</v>
      </c>
      <c r="AM632" s="6">
        <f t="shared" si="141"/>
        <v>0</v>
      </c>
      <c r="AN632" s="6">
        <f t="shared" si="142"/>
        <v>0</v>
      </c>
      <c r="AO632" s="6">
        <f t="shared" si="143"/>
        <v>0</v>
      </c>
      <c r="AP632" s="6">
        <f t="shared" si="144"/>
        <v>0</v>
      </c>
      <c r="AQ632" s="6">
        <f t="shared" si="145"/>
        <v>0</v>
      </c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  <c r="BC632" s="6"/>
      <c r="BD632" s="6"/>
      <c r="BE632" s="6"/>
      <c r="BF632" s="6"/>
      <c r="BG632" s="6"/>
      <c r="BH632" s="6"/>
      <c r="BI632" s="6"/>
      <c r="BJ632" s="6"/>
      <c r="BK632" s="6"/>
      <c r="BL632" s="6"/>
      <c r="BM632" s="6"/>
      <c r="BN632" s="6"/>
      <c r="BO632" s="6"/>
      <c r="BP632" s="3">
        <v>3</v>
      </c>
      <c r="BQ632" s="6">
        <f t="shared" si="136"/>
        <v>0</v>
      </c>
    </row>
    <row r="633" spans="1:69" x14ac:dyDescent="0.3">
      <c r="A633" s="3" t="s">
        <v>931</v>
      </c>
      <c r="B633" s="3">
        <v>332</v>
      </c>
      <c r="C633" s="3" t="s">
        <v>1017</v>
      </c>
      <c r="D633" s="3">
        <v>14</v>
      </c>
      <c r="E633" s="3">
        <v>1</v>
      </c>
      <c r="F633" s="3" t="s">
        <v>41</v>
      </c>
      <c r="G633" s="3" t="s">
        <v>41</v>
      </c>
      <c r="H633" s="3" t="s">
        <v>1032</v>
      </c>
      <c r="I633" s="3"/>
      <c r="J633" s="3" t="s">
        <v>91</v>
      </c>
      <c r="K633" s="3" t="s">
        <v>1033</v>
      </c>
      <c r="L633" s="3" t="s">
        <v>24</v>
      </c>
      <c r="M633" s="3">
        <v>2</v>
      </c>
      <c r="N633" s="6"/>
      <c r="O633" s="3">
        <v>2</v>
      </c>
      <c r="P633" s="3">
        <v>2</v>
      </c>
      <c r="Q633" s="3">
        <v>2</v>
      </c>
      <c r="R633" s="3">
        <v>0</v>
      </c>
      <c r="S633" s="3">
        <v>0</v>
      </c>
      <c r="T633" s="3">
        <v>0</v>
      </c>
      <c r="U633" s="3">
        <v>0</v>
      </c>
      <c r="V633" s="3">
        <f t="shared" si="137"/>
        <v>2</v>
      </c>
      <c r="W633" s="3">
        <v>2</v>
      </c>
      <c r="X633" s="3">
        <v>0</v>
      </c>
      <c r="Y633" s="3">
        <v>0</v>
      </c>
      <c r="Z633" s="3">
        <v>0</v>
      </c>
      <c r="AA633" s="3">
        <v>0</v>
      </c>
      <c r="AB633" s="3">
        <f t="shared" si="138"/>
        <v>2</v>
      </c>
      <c r="AC633" s="6">
        <f t="shared" si="146"/>
        <v>-2</v>
      </c>
      <c r="AD633" s="6">
        <f t="shared" si="147"/>
        <v>0</v>
      </c>
      <c r="AE633" s="6">
        <f t="shared" si="148"/>
        <v>0</v>
      </c>
      <c r="AF633" s="6">
        <f t="shared" si="149"/>
        <v>0</v>
      </c>
      <c r="AG633" s="6">
        <f t="shared" si="150"/>
        <v>0</v>
      </c>
      <c r="AH633" s="6">
        <f t="shared" si="139"/>
        <v>-2</v>
      </c>
      <c r="AI633" s="3"/>
      <c r="AJ633" s="3" t="e">
        <f>_xlfn.XLOOKUP(K633,工作表1!A:A,工作表1!C:C)</f>
        <v>#N/A</v>
      </c>
      <c r="AK633" s="3"/>
      <c r="AL633" s="6">
        <f t="shared" si="140"/>
        <v>0</v>
      </c>
      <c r="AM633" s="6">
        <f t="shared" si="141"/>
        <v>0</v>
      </c>
      <c r="AN633" s="6">
        <f t="shared" si="142"/>
        <v>0</v>
      </c>
      <c r="AO633" s="6">
        <f t="shared" si="143"/>
        <v>0</v>
      </c>
      <c r="AP633" s="6">
        <f t="shared" si="144"/>
        <v>0</v>
      </c>
      <c r="AQ633" s="6">
        <f t="shared" si="145"/>
        <v>0</v>
      </c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  <c r="BC633" s="6"/>
      <c r="BD633" s="6"/>
      <c r="BE633" s="6"/>
      <c r="BF633" s="6"/>
      <c r="BG633" s="6"/>
      <c r="BH633" s="6"/>
      <c r="BI633" s="6"/>
      <c r="BJ633" s="6"/>
      <c r="BK633" s="6"/>
      <c r="BL633" s="6"/>
      <c r="BM633" s="6"/>
      <c r="BN633" s="6"/>
      <c r="BO633" s="6"/>
      <c r="BP633" s="3">
        <v>2</v>
      </c>
      <c r="BQ633" s="6">
        <f t="shared" si="136"/>
        <v>0</v>
      </c>
    </row>
    <row r="634" spans="1:69" x14ac:dyDescent="0.3">
      <c r="A634" s="3" t="s">
        <v>931</v>
      </c>
      <c r="B634" s="3">
        <v>332</v>
      </c>
      <c r="C634" s="3" t="s">
        <v>1017</v>
      </c>
      <c r="D634" s="3">
        <v>10</v>
      </c>
      <c r="E634" s="3">
        <v>1</v>
      </c>
      <c r="F634" s="3" t="s">
        <v>41</v>
      </c>
      <c r="G634" s="3" t="s">
        <v>41</v>
      </c>
      <c r="H634" s="3" t="s">
        <v>1034</v>
      </c>
      <c r="I634" s="3"/>
      <c r="J634" s="3" t="s">
        <v>91</v>
      </c>
      <c r="K634" s="3" t="s">
        <v>1035</v>
      </c>
      <c r="L634" s="3" t="s">
        <v>24</v>
      </c>
      <c r="M634" s="3">
        <v>3</v>
      </c>
      <c r="N634" s="6"/>
      <c r="O634" s="3">
        <v>3</v>
      </c>
      <c r="P634" s="3">
        <v>3</v>
      </c>
      <c r="Q634" s="3">
        <v>3</v>
      </c>
      <c r="R634" s="3">
        <v>0</v>
      </c>
      <c r="S634" s="3">
        <v>0</v>
      </c>
      <c r="T634" s="3">
        <v>0</v>
      </c>
      <c r="U634" s="3">
        <v>0</v>
      </c>
      <c r="V634" s="3">
        <f t="shared" si="137"/>
        <v>3</v>
      </c>
      <c r="W634" s="3">
        <v>3</v>
      </c>
      <c r="X634" s="3">
        <v>0</v>
      </c>
      <c r="Y634" s="3">
        <v>0</v>
      </c>
      <c r="Z634" s="3">
        <v>0</v>
      </c>
      <c r="AA634" s="3">
        <v>0</v>
      </c>
      <c r="AB634" s="3">
        <f t="shared" si="138"/>
        <v>3</v>
      </c>
      <c r="AC634" s="6">
        <f t="shared" si="146"/>
        <v>-3</v>
      </c>
      <c r="AD634" s="6">
        <f t="shared" si="147"/>
        <v>0</v>
      </c>
      <c r="AE634" s="6">
        <f t="shared" si="148"/>
        <v>0</v>
      </c>
      <c r="AF634" s="6">
        <f t="shared" si="149"/>
        <v>0</v>
      </c>
      <c r="AG634" s="6">
        <f t="shared" si="150"/>
        <v>0</v>
      </c>
      <c r="AH634" s="6">
        <f t="shared" si="139"/>
        <v>-3</v>
      </c>
      <c r="AI634" s="3"/>
      <c r="AJ634" s="3" t="e">
        <f>_xlfn.XLOOKUP(K634,工作表1!A:A,工作表1!C:C)</f>
        <v>#N/A</v>
      </c>
      <c r="AK634" s="3"/>
      <c r="AL634" s="6">
        <f t="shared" si="140"/>
        <v>0</v>
      </c>
      <c r="AM634" s="6">
        <f t="shared" si="141"/>
        <v>0</v>
      </c>
      <c r="AN634" s="6">
        <f t="shared" si="142"/>
        <v>0</v>
      </c>
      <c r="AO634" s="6">
        <f t="shared" si="143"/>
        <v>0</v>
      </c>
      <c r="AP634" s="6">
        <f t="shared" si="144"/>
        <v>0</v>
      </c>
      <c r="AQ634" s="6">
        <f t="shared" si="145"/>
        <v>0</v>
      </c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  <c r="BC634" s="6"/>
      <c r="BD634" s="6"/>
      <c r="BE634" s="6"/>
      <c r="BF634" s="6"/>
      <c r="BG634" s="6"/>
      <c r="BH634" s="6"/>
      <c r="BI634" s="6"/>
      <c r="BJ634" s="6"/>
      <c r="BK634" s="6"/>
      <c r="BL634" s="6"/>
      <c r="BM634" s="6"/>
      <c r="BN634" s="6"/>
      <c r="BO634" s="6"/>
      <c r="BP634" s="3">
        <v>3</v>
      </c>
      <c r="BQ634" s="6">
        <f t="shared" si="136"/>
        <v>0</v>
      </c>
    </row>
    <row r="635" spans="1:69" x14ac:dyDescent="0.3">
      <c r="A635" s="3" t="s">
        <v>931</v>
      </c>
      <c r="B635" s="3">
        <v>332</v>
      </c>
      <c r="C635" s="3" t="s">
        <v>1017</v>
      </c>
      <c r="D635" s="3">
        <v>8</v>
      </c>
      <c r="E635" s="3">
        <v>2</v>
      </c>
      <c r="F635" s="3" t="s">
        <v>41</v>
      </c>
      <c r="G635" s="3" t="s">
        <v>41</v>
      </c>
      <c r="H635" s="3" t="s">
        <v>1036</v>
      </c>
      <c r="I635" s="3"/>
      <c r="J635" s="3" t="s">
        <v>91</v>
      </c>
      <c r="K635" s="3" t="s">
        <v>1037</v>
      </c>
      <c r="L635" s="3" t="s">
        <v>24</v>
      </c>
      <c r="M635" s="3">
        <v>1</v>
      </c>
      <c r="N635" s="6"/>
      <c r="O635" s="3">
        <v>1</v>
      </c>
      <c r="P635" s="3">
        <v>1</v>
      </c>
      <c r="Q635" s="3">
        <v>1</v>
      </c>
      <c r="R635" s="3">
        <v>0</v>
      </c>
      <c r="S635" s="3">
        <v>0</v>
      </c>
      <c r="T635" s="3">
        <v>0</v>
      </c>
      <c r="U635" s="3">
        <v>0</v>
      </c>
      <c r="V635" s="3">
        <f t="shared" si="137"/>
        <v>1</v>
      </c>
      <c r="W635" s="3">
        <v>1</v>
      </c>
      <c r="X635" s="3">
        <v>0</v>
      </c>
      <c r="Y635" s="3">
        <v>0</v>
      </c>
      <c r="Z635" s="3">
        <v>0</v>
      </c>
      <c r="AA635" s="3">
        <v>0</v>
      </c>
      <c r="AB635" s="3">
        <f t="shared" si="138"/>
        <v>1</v>
      </c>
      <c r="AC635" s="6">
        <f t="shared" si="146"/>
        <v>-1</v>
      </c>
      <c r="AD635" s="6">
        <f t="shared" si="147"/>
        <v>0</v>
      </c>
      <c r="AE635" s="6">
        <f t="shared" si="148"/>
        <v>0</v>
      </c>
      <c r="AF635" s="6">
        <f t="shared" si="149"/>
        <v>0</v>
      </c>
      <c r="AG635" s="6">
        <f t="shared" si="150"/>
        <v>0</v>
      </c>
      <c r="AH635" s="6">
        <f t="shared" si="139"/>
        <v>-1</v>
      </c>
      <c r="AI635" s="3"/>
      <c r="AJ635" s="3" t="e">
        <f>_xlfn.XLOOKUP(K635,工作表1!A:A,工作表1!C:C)</f>
        <v>#N/A</v>
      </c>
      <c r="AK635" s="3"/>
      <c r="AL635" s="6">
        <f t="shared" si="140"/>
        <v>0</v>
      </c>
      <c r="AM635" s="6">
        <f t="shared" si="141"/>
        <v>0</v>
      </c>
      <c r="AN635" s="6">
        <f t="shared" si="142"/>
        <v>0</v>
      </c>
      <c r="AO635" s="6">
        <f t="shared" si="143"/>
        <v>0</v>
      </c>
      <c r="AP635" s="6">
        <f t="shared" si="144"/>
        <v>0</v>
      </c>
      <c r="AQ635" s="6">
        <f t="shared" si="145"/>
        <v>0</v>
      </c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  <c r="BC635" s="6"/>
      <c r="BD635" s="6"/>
      <c r="BE635" s="6"/>
      <c r="BF635" s="6"/>
      <c r="BG635" s="6"/>
      <c r="BH635" s="6"/>
      <c r="BI635" s="6"/>
      <c r="BJ635" s="6"/>
      <c r="BK635" s="6"/>
      <c r="BL635" s="6"/>
      <c r="BM635" s="6"/>
      <c r="BN635" s="6"/>
      <c r="BO635" s="6"/>
      <c r="BP635" s="3">
        <v>1</v>
      </c>
      <c r="BQ635" s="6">
        <f t="shared" si="136"/>
        <v>0</v>
      </c>
    </row>
    <row r="636" spans="1:69" x14ac:dyDescent="0.3">
      <c r="A636" s="3" t="s">
        <v>931</v>
      </c>
      <c r="B636" s="3">
        <v>332</v>
      </c>
      <c r="C636" s="3" t="s">
        <v>1017</v>
      </c>
      <c r="D636" s="3">
        <v>8</v>
      </c>
      <c r="E636" s="3">
        <v>1</v>
      </c>
      <c r="F636" s="3" t="s">
        <v>41</v>
      </c>
      <c r="G636" s="3" t="s">
        <v>41</v>
      </c>
      <c r="H636" s="3" t="s">
        <v>1038</v>
      </c>
      <c r="I636" s="3"/>
      <c r="J636" s="3" t="s">
        <v>91</v>
      </c>
      <c r="K636" s="3" t="s">
        <v>1039</v>
      </c>
      <c r="L636" s="3" t="s">
        <v>24</v>
      </c>
      <c r="M636" s="3">
        <v>2</v>
      </c>
      <c r="N636" s="6"/>
      <c r="O636" s="3">
        <v>2</v>
      </c>
      <c r="P636" s="3">
        <v>2</v>
      </c>
      <c r="Q636" s="3">
        <v>2</v>
      </c>
      <c r="R636" s="3">
        <v>0</v>
      </c>
      <c r="S636" s="3">
        <v>0</v>
      </c>
      <c r="T636" s="3">
        <v>0</v>
      </c>
      <c r="U636" s="3">
        <v>0</v>
      </c>
      <c r="V636" s="3">
        <f t="shared" si="137"/>
        <v>2</v>
      </c>
      <c r="W636" s="3">
        <v>2</v>
      </c>
      <c r="X636" s="3">
        <v>0</v>
      </c>
      <c r="Y636" s="3">
        <v>0</v>
      </c>
      <c r="Z636" s="3">
        <v>0</v>
      </c>
      <c r="AA636" s="3">
        <v>0</v>
      </c>
      <c r="AB636" s="3">
        <f t="shared" si="138"/>
        <v>2</v>
      </c>
      <c r="AC636" s="6">
        <f t="shared" si="146"/>
        <v>-2</v>
      </c>
      <c r="AD636" s="6">
        <f t="shared" si="147"/>
        <v>0</v>
      </c>
      <c r="AE636" s="6">
        <f t="shared" si="148"/>
        <v>0</v>
      </c>
      <c r="AF636" s="6">
        <f t="shared" si="149"/>
        <v>0</v>
      </c>
      <c r="AG636" s="6">
        <f t="shared" si="150"/>
        <v>0</v>
      </c>
      <c r="AH636" s="6">
        <f t="shared" si="139"/>
        <v>-2</v>
      </c>
      <c r="AI636" s="3"/>
      <c r="AJ636" s="3" t="e">
        <f>_xlfn.XLOOKUP(K636,工作表1!A:A,工作表1!C:C)</f>
        <v>#N/A</v>
      </c>
      <c r="AK636" s="3"/>
      <c r="AL636" s="6">
        <f t="shared" si="140"/>
        <v>0</v>
      </c>
      <c r="AM636" s="6">
        <f t="shared" si="141"/>
        <v>0</v>
      </c>
      <c r="AN636" s="6">
        <f t="shared" si="142"/>
        <v>0</v>
      </c>
      <c r="AO636" s="6">
        <f t="shared" si="143"/>
        <v>0</v>
      </c>
      <c r="AP636" s="6">
        <f t="shared" si="144"/>
        <v>0</v>
      </c>
      <c r="AQ636" s="6">
        <f t="shared" si="145"/>
        <v>0</v>
      </c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  <c r="BC636" s="6"/>
      <c r="BD636" s="6"/>
      <c r="BE636" s="6"/>
      <c r="BF636" s="6"/>
      <c r="BG636" s="6"/>
      <c r="BH636" s="6"/>
      <c r="BI636" s="6"/>
      <c r="BJ636" s="6"/>
      <c r="BK636" s="6"/>
      <c r="BL636" s="6"/>
      <c r="BM636" s="6"/>
      <c r="BN636" s="6"/>
      <c r="BO636" s="6"/>
      <c r="BP636" s="3">
        <v>2</v>
      </c>
      <c r="BQ636" s="6">
        <f t="shared" si="136"/>
        <v>0</v>
      </c>
    </row>
    <row r="637" spans="1:69" x14ac:dyDescent="0.3">
      <c r="A637" s="3" t="s">
        <v>931</v>
      </c>
      <c r="B637" s="3">
        <v>332</v>
      </c>
      <c r="C637" s="3" t="s">
        <v>1017</v>
      </c>
      <c r="D637" s="3">
        <v>6</v>
      </c>
      <c r="E637" s="3">
        <v>1.5</v>
      </c>
      <c r="F637" s="3" t="s">
        <v>41</v>
      </c>
      <c r="G637" s="3" t="s">
        <v>41</v>
      </c>
      <c r="H637" s="3" t="s">
        <v>1040</v>
      </c>
      <c r="I637" s="3"/>
      <c r="J637" s="3" t="s">
        <v>91</v>
      </c>
      <c r="K637" s="3" t="s">
        <v>1041</v>
      </c>
      <c r="L637" s="3" t="s">
        <v>24</v>
      </c>
      <c r="M637" s="3">
        <v>2</v>
      </c>
      <c r="N637" s="6"/>
      <c r="O637" s="3">
        <v>2</v>
      </c>
      <c r="P637" s="3">
        <v>2</v>
      </c>
      <c r="Q637" s="3">
        <v>2</v>
      </c>
      <c r="R637" s="3">
        <v>0</v>
      </c>
      <c r="S637" s="3">
        <v>0</v>
      </c>
      <c r="T637" s="3">
        <v>0</v>
      </c>
      <c r="U637" s="3">
        <v>0</v>
      </c>
      <c r="V637" s="3">
        <f t="shared" si="137"/>
        <v>2</v>
      </c>
      <c r="W637" s="3">
        <v>2</v>
      </c>
      <c r="X637" s="3">
        <v>0</v>
      </c>
      <c r="Y637" s="3">
        <v>0</v>
      </c>
      <c r="Z637" s="3">
        <v>0</v>
      </c>
      <c r="AA637" s="3">
        <v>0</v>
      </c>
      <c r="AB637" s="3">
        <f t="shared" si="138"/>
        <v>2</v>
      </c>
      <c r="AC637" s="6">
        <f t="shared" si="146"/>
        <v>-2</v>
      </c>
      <c r="AD637" s="6">
        <f t="shared" si="147"/>
        <v>0</v>
      </c>
      <c r="AE637" s="6">
        <f t="shared" si="148"/>
        <v>0</v>
      </c>
      <c r="AF637" s="6">
        <f t="shared" si="149"/>
        <v>0</v>
      </c>
      <c r="AG637" s="6">
        <f t="shared" si="150"/>
        <v>0</v>
      </c>
      <c r="AH637" s="6">
        <f t="shared" si="139"/>
        <v>-2</v>
      </c>
      <c r="AI637" s="3"/>
      <c r="AJ637" s="3" t="e">
        <f>_xlfn.XLOOKUP(K637,工作表1!A:A,工作表1!C:C)</f>
        <v>#N/A</v>
      </c>
      <c r="AK637" s="3"/>
      <c r="AL637" s="6">
        <f t="shared" si="140"/>
        <v>0</v>
      </c>
      <c r="AM637" s="6">
        <f t="shared" si="141"/>
        <v>0</v>
      </c>
      <c r="AN637" s="6">
        <f t="shared" si="142"/>
        <v>0</v>
      </c>
      <c r="AO637" s="6">
        <f t="shared" si="143"/>
        <v>0</v>
      </c>
      <c r="AP637" s="6">
        <f t="shared" si="144"/>
        <v>0</v>
      </c>
      <c r="AQ637" s="6">
        <f t="shared" si="145"/>
        <v>0</v>
      </c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  <c r="BC637" s="6"/>
      <c r="BD637" s="6"/>
      <c r="BE637" s="6"/>
      <c r="BF637" s="6"/>
      <c r="BG637" s="6"/>
      <c r="BH637" s="6"/>
      <c r="BI637" s="6"/>
      <c r="BJ637" s="6"/>
      <c r="BK637" s="6"/>
      <c r="BL637" s="6"/>
      <c r="BM637" s="6"/>
      <c r="BN637" s="6"/>
      <c r="BO637" s="6"/>
      <c r="BP637" s="3">
        <v>2</v>
      </c>
      <c r="BQ637" s="6">
        <f t="shared" si="136"/>
        <v>0</v>
      </c>
    </row>
    <row r="638" spans="1:69" x14ac:dyDescent="0.3">
      <c r="A638" s="3" t="s">
        <v>931</v>
      </c>
      <c r="B638" s="3">
        <v>332</v>
      </c>
      <c r="C638" s="3" t="s">
        <v>1017</v>
      </c>
      <c r="D638" s="3">
        <v>4</v>
      </c>
      <c r="E638" s="3">
        <v>0.75</v>
      </c>
      <c r="F638" s="3" t="s">
        <v>41</v>
      </c>
      <c r="G638" s="3" t="s">
        <v>41</v>
      </c>
      <c r="H638" s="3" t="s">
        <v>1042</v>
      </c>
      <c r="I638" s="3"/>
      <c r="J638" s="3" t="s">
        <v>91</v>
      </c>
      <c r="K638" s="3" t="s">
        <v>1043</v>
      </c>
      <c r="L638" s="3" t="s">
        <v>24</v>
      </c>
      <c r="M638" s="3">
        <v>0</v>
      </c>
      <c r="N638" s="6"/>
      <c r="O638" s="3">
        <v>1</v>
      </c>
      <c r="P638" s="3">
        <v>1</v>
      </c>
      <c r="Q638" s="3">
        <v>1</v>
      </c>
      <c r="R638" s="3">
        <v>0</v>
      </c>
      <c r="S638" s="3">
        <v>0</v>
      </c>
      <c r="T638" s="3">
        <v>0</v>
      </c>
      <c r="U638" s="3">
        <v>0</v>
      </c>
      <c r="V638" s="3">
        <f t="shared" si="137"/>
        <v>1</v>
      </c>
      <c r="W638" s="3">
        <v>1</v>
      </c>
      <c r="X638" s="3">
        <v>0</v>
      </c>
      <c r="Y638" s="3">
        <v>0</v>
      </c>
      <c r="Z638" s="3">
        <v>0</v>
      </c>
      <c r="AA638" s="3">
        <v>0</v>
      </c>
      <c r="AB638" s="3">
        <f t="shared" si="138"/>
        <v>1</v>
      </c>
      <c r="AC638" s="6">
        <f t="shared" si="146"/>
        <v>-1</v>
      </c>
      <c r="AD638" s="6">
        <f t="shared" si="147"/>
        <v>0</v>
      </c>
      <c r="AE638" s="6">
        <f t="shared" si="148"/>
        <v>0</v>
      </c>
      <c r="AF638" s="6">
        <f t="shared" si="149"/>
        <v>0</v>
      </c>
      <c r="AG638" s="6">
        <f t="shared" si="150"/>
        <v>0</v>
      </c>
      <c r="AH638" s="6">
        <f t="shared" si="139"/>
        <v>-1</v>
      </c>
      <c r="AI638" s="3"/>
      <c r="AJ638" s="3" t="e">
        <f>_xlfn.XLOOKUP(K638,工作表1!A:A,工作表1!C:C)</f>
        <v>#N/A</v>
      </c>
      <c r="AK638" s="3"/>
      <c r="AL638" s="6">
        <f t="shared" si="140"/>
        <v>0</v>
      </c>
      <c r="AM638" s="6">
        <f t="shared" si="141"/>
        <v>0</v>
      </c>
      <c r="AN638" s="6">
        <f t="shared" si="142"/>
        <v>0</v>
      </c>
      <c r="AO638" s="6">
        <f t="shared" si="143"/>
        <v>0</v>
      </c>
      <c r="AP638" s="6">
        <f t="shared" si="144"/>
        <v>0</v>
      </c>
      <c r="AQ638" s="6">
        <f t="shared" si="145"/>
        <v>0</v>
      </c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  <c r="BC638" s="6"/>
      <c r="BD638" s="6"/>
      <c r="BE638" s="6"/>
      <c r="BF638" s="6"/>
      <c r="BG638" s="6"/>
      <c r="BH638" s="6"/>
      <c r="BI638" s="6"/>
      <c r="BJ638" s="6"/>
      <c r="BK638" s="6"/>
      <c r="BL638" s="6"/>
      <c r="BM638" s="6"/>
      <c r="BN638" s="6"/>
      <c r="BO638" s="6"/>
      <c r="BP638" s="3">
        <v>1</v>
      </c>
      <c r="BQ638" s="6">
        <f t="shared" si="136"/>
        <v>0</v>
      </c>
    </row>
    <row r="639" spans="1:69" x14ac:dyDescent="0.3">
      <c r="A639" s="3" t="s">
        <v>931</v>
      </c>
      <c r="B639" s="3">
        <v>332</v>
      </c>
      <c r="C639" s="3" t="s">
        <v>1017</v>
      </c>
      <c r="D639" s="3">
        <v>3</v>
      </c>
      <c r="E639" s="3">
        <v>0.75</v>
      </c>
      <c r="F639" s="3" t="s">
        <v>41</v>
      </c>
      <c r="G639" s="3" t="s">
        <v>41</v>
      </c>
      <c r="H639" s="3" t="s">
        <v>1044</v>
      </c>
      <c r="I639" s="3"/>
      <c r="J639" s="3" t="s">
        <v>91</v>
      </c>
      <c r="K639" s="3" t="s">
        <v>1045</v>
      </c>
      <c r="L639" s="3" t="s">
        <v>24</v>
      </c>
      <c r="M639" s="3">
        <v>8</v>
      </c>
      <c r="N639" s="6"/>
      <c r="O639" s="3">
        <v>8</v>
      </c>
      <c r="P639" s="3">
        <v>8</v>
      </c>
      <c r="Q639" s="3">
        <v>8</v>
      </c>
      <c r="R639" s="3">
        <v>0</v>
      </c>
      <c r="S639" s="3">
        <v>0</v>
      </c>
      <c r="T639" s="3">
        <v>0</v>
      </c>
      <c r="U639" s="3">
        <v>0</v>
      </c>
      <c r="V639" s="3">
        <f t="shared" si="137"/>
        <v>8</v>
      </c>
      <c r="W639" s="3">
        <v>8</v>
      </c>
      <c r="X639" s="3">
        <v>0</v>
      </c>
      <c r="Y639" s="3">
        <v>0</v>
      </c>
      <c r="Z639" s="3">
        <v>0</v>
      </c>
      <c r="AA639" s="3">
        <v>0</v>
      </c>
      <c r="AB639" s="3">
        <f t="shared" si="138"/>
        <v>8</v>
      </c>
      <c r="AC639" s="6">
        <f t="shared" si="146"/>
        <v>-8</v>
      </c>
      <c r="AD639" s="6">
        <f t="shared" si="147"/>
        <v>0</v>
      </c>
      <c r="AE639" s="6">
        <f t="shared" si="148"/>
        <v>0</v>
      </c>
      <c r="AF639" s="6">
        <f t="shared" si="149"/>
        <v>0</v>
      </c>
      <c r="AG639" s="6">
        <f t="shared" si="150"/>
        <v>0</v>
      </c>
      <c r="AH639" s="6">
        <f t="shared" si="139"/>
        <v>-8</v>
      </c>
      <c r="AI639" s="3"/>
      <c r="AJ639" s="3" t="e">
        <f>_xlfn.XLOOKUP(K639,工作表1!A:A,工作表1!C:C)</f>
        <v>#N/A</v>
      </c>
      <c r="AK639" s="3"/>
      <c r="AL639" s="6">
        <f t="shared" si="140"/>
        <v>0</v>
      </c>
      <c r="AM639" s="6">
        <f t="shared" si="141"/>
        <v>0</v>
      </c>
      <c r="AN639" s="6">
        <f t="shared" si="142"/>
        <v>0</v>
      </c>
      <c r="AO639" s="6">
        <f t="shared" si="143"/>
        <v>0</v>
      </c>
      <c r="AP639" s="6">
        <f t="shared" si="144"/>
        <v>0</v>
      </c>
      <c r="AQ639" s="6">
        <f t="shared" si="145"/>
        <v>0</v>
      </c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  <c r="BC639" s="6"/>
      <c r="BD639" s="6"/>
      <c r="BE639" s="6"/>
      <c r="BF639" s="6"/>
      <c r="BG639" s="6"/>
      <c r="BH639" s="6"/>
      <c r="BI639" s="6"/>
      <c r="BJ639" s="6"/>
      <c r="BK639" s="6"/>
      <c r="BL639" s="6"/>
      <c r="BM639" s="6"/>
      <c r="BN639" s="6"/>
      <c r="BO639" s="6"/>
      <c r="BP639" s="3">
        <v>8</v>
      </c>
      <c r="BQ639" s="6">
        <f t="shared" si="136"/>
        <v>0</v>
      </c>
    </row>
    <row r="640" spans="1:69" x14ac:dyDescent="0.3">
      <c r="A640" s="3" t="s">
        <v>931</v>
      </c>
      <c r="B640" s="3">
        <v>332</v>
      </c>
      <c r="C640" s="3" t="s">
        <v>1017</v>
      </c>
      <c r="D640" s="3">
        <v>3</v>
      </c>
      <c r="E640" s="3">
        <v>1</v>
      </c>
      <c r="F640" s="3" t="s">
        <v>41</v>
      </c>
      <c r="G640" s="3" t="s">
        <v>41</v>
      </c>
      <c r="H640" s="3" t="s">
        <v>1046</v>
      </c>
      <c r="I640" s="3"/>
      <c r="J640" s="3" t="s">
        <v>91</v>
      </c>
      <c r="K640" s="3" t="s">
        <v>1047</v>
      </c>
      <c r="L640" s="3" t="s">
        <v>24</v>
      </c>
      <c r="M640" s="3">
        <v>8</v>
      </c>
      <c r="N640" s="6"/>
      <c r="O640" s="3">
        <v>8</v>
      </c>
      <c r="P640" s="3">
        <v>8</v>
      </c>
      <c r="Q640" s="3">
        <v>8</v>
      </c>
      <c r="R640" s="3">
        <v>0</v>
      </c>
      <c r="S640" s="3">
        <v>0</v>
      </c>
      <c r="T640" s="3">
        <v>0</v>
      </c>
      <c r="U640" s="3">
        <v>0</v>
      </c>
      <c r="V640" s="3">
        <f t="shared" si="137"/>
        <v>8</v>
      </c>
      <c r="W640" s="3">
        <v>8</v>
      </c>
      <c r="X640" s="3">
        <v>0</v>
      </c>
      <c r="Y640" s="3">
        <v>0</v>
      </c>
      <c r="Z640" s="3">
        <v>0</v>
      </c>
      <c r="AA640" s="3">
        <v>0</v>
      </c>
      <c r="AB640" s="3">
        <f t="shared" si="138"/>
        <v>8</v>
      </c>
      <c r="AC640" s="6">
        <f t="shared" si="146"/>
        <v>-8</v>
      </c>
      <c r="AD640" s="6">
        <f t="shared" si="147"/>
        <v>0</v>
      </c>
      <c r="AE640" s="6">
        <f t="shared" si="148"/>
        <v>0</v>
      </c>
      <c r="AF640" s="6">
        <f t="shared" si="149"/>
        <v>0</v>
      </c>
      <c r="AG640" s="6">
        <f t="shared" si="150"/>
        <v>0</v>
      </c>
      <c r="AH640" s="6">
        <f t="shared" si="139"/>
        <v>-8</v>
      </c>
      <c r="AI640" s="3"/>
      <c r="AJ640" s="3" t="e">
        <f>_xlfn.XLOOKUP(K640,工作表1!A:A,工作表1!C:C)</f>
        <v>#N/A</v>
      </c>
      <c r="AK640" s="3"/>
      <c r="AL640" s="6">
        <f t="shared" si="140"/>
        <v>0</v>
      </c>
      <c r="AM640" s="6">
        <f t="shared" si="141"/>
        <v>0</v>
      </c>
      <c r="AN640" s="6">
        <f t="shared" si="142"/>
        <v>0</v>
      </c>
      <c r="AO640" s="6">
        <f t="shared" si="143"/>
        <v>0</v>
      </c>
      <c r="AP640" s="6">
        <f t="shared" si="144"/>
        <v>0</v>
      </c>
      <c r="AQ640" s="6">
        <f t="shared" si="145"/>
        <v>0</v>
      </c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  <c r="BC640" s="6"/>
      <c r="BD640" s="6"/>
      <c r="BE640" s="6"/>
      <c r="BF640" s="6"/>
      <c r="BG640" s="6"/>
      <c r="BH640" s="6"/>
      <c r="BI640" s="6"/>
      <c r="BJ640" s="6"/>
      <c r="BK640" s="6"/>
      <c r="BL640" s="6"/>
      <c r="BM640" s="6"/>
      <c r="BN640" s="6"/>
      <c r="BO640" s="6"/>
      <c r="BP640" s="3">
        <v>8</v>
      </c>
      <c r="BQ640" s="6">
        <f t="shared" si="136"/>
        <v>0</v>
      </c>
    </row>
    <row r="641" spans="1:74" x14ac:dyDescent="0.3">
      <c r="A641" s="3" t="s">
        <v>931</v>
      </c>
      <c r="B641" s="3">
        <v>332</v>
      </c>
      <c r="C641" s="3" t="s">
        <v>1017</v>
      </c>
      <c r="D641" s="3">
        <v>2</v>
      </c>
      <c r="E641" s="3">
        <v>0.75</v>
      </c>
      <c r="F641" s="3" t="s">
        <v>41</v>
      </c>
      <c r="G641" s="3" t="s">
        <v>41</v>
      </c>
      <c r="H641" s="3" t="s">
        <v>1048</v>
      </c>
      <c r="I641" s="3"/>
      <c r="J641" s="3" t="s">
        <v>91</v>
      </c>
      <c r="K641" s="3" t="s">
        <v>1049</v>
      </c>
      <c r="L641" s="3" t="s">
        <v>24</v>
      </c>
      <c r="M641" s="3">
        <v>1</v>
      </c>
      <c r="N641" s="6"/>
      <c r="O641" s="3">
        <v>1</v>
      </c>
      <c r="P641" s="3">
        <v>1</v>
      </c>
      <c r="Q641" s="3">
        <v>1</v>
      </c>
      <c r="R641" s="3">
        <v>0</v>
      </c>
      <c r="S641" s="3">
        <v>0</v>
      </c>
      <c r="T641" s="3">
        <v>0</v>
      </c>
      <c r="U641" s="3">
        <v>0</v>
      </c>
      <c r="V641" s="3">
        <f t="shared" si="137"/>
        <v>1</v>
      </c>
      <c r="W641" s="3">
        <v>1</v>
      </c>
      <c r="X641" s="3">
        <v>0</v>
      </c>
      <c r="Y641" s="3">
        <v>0</v>
      </c>
      <c r="Z641" s="3">
        <v>0</v>
      </c>
      <c r="AA641" s="3">
        <v>0</v>
      </c>
      <c r="AB641" s="3">
        <f t="shared" si="138"/>
        <v>1</v>
      </c>
      <c r="AC641" s="6">
        <f t="shared" si="146"/>
        <v>-1</v>
      </c>
      <c r="AD641" s="6">
        <f t="shared" si="147"/>
        <v>0</v>
      </c>
      <c r="AE641" s="6">
        <f t="shared" si="148"/>
        <v>0</v>
      </c>
      <c r="AF641" s="6">
        <f t="shared" si="149"/>
        <v>0</v>
      </c>
      <c r="AG641" s="6">
        <f t="shared" si="150"/>
        <v>0</v>
      </c>
      <c r="AH641" s="6">
        <f t="shared" si="139"/>
        <v>-1</v>
      </c>
      <c r="AI641" s="3"/>
      <c r="AJ641" s="3" t="e">
        <f>_xlfn.XLOOKUP(K641,工作表1!A:A,工作表1!C:C)</f>
        <v>#N/A</v>
      </c>
      <c r="AK641" s="3"/>
      <c r="AL641" s="6">
        <f t="shared" si="140"/>
        <v>0</v>
      </c>
      <c r="AM641" s="6">
        <f t="shared" si="141"/>
        <v>0</v>
      </c>
      <c r="AN641" s="6">
        <f t="shared" si="142"/>
        <v>0</v>
      </c>
      <c r="AO641" s="6">
        <f t="shared" si="143"/>
        <v>0</v>
      </c>
      <c r="AP641" s="6">
        <f t="shared" si="144"/>
        <v>0</v>
      </c>
      <c r="AQ641" s="6">
        <f t="shared" si="145"/>
        <v>0</v>
      </c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  <c r="BC641" s="6"/>
      <c r="BD641" s="6"/>
      <c r="BE641" s="6"/>
      <c r="BF641" s="6"/>
      <c r="BG641" s="6"/>
      <c r="BH641" s="6"/>
      <c r="BI641" s="6"/>
      <c r="BJ641" s="6"/>
      <c r="BK641" s="6"/>
      <c r="BL641" s="6"/>
      <c r="BM641" s="6"/>
      <c r="BN641" s="6"/>
      <c r="BO641" s="6"/>
      <c r="BP641" s="3">
        <v>1</v>
      </c>
      <c r="BQ641" s="6">
        <f t="shared" si="136"/>
        <v>0</v>
      </c>
    </row>
    <row r="642" spans="1:74" x14ac:dyDescent="0.3">
      <c r="A642" s="3" t="s">
        <v>931</v>
      </c>
      <c r="B642" s="3">
        <v>332</v>
      </c>
      <c r="C642" s="3" t="s">
        <v>1050</v>
      </c>
      <c r="D642" s="3">
        <v>10</v>
      </c>
      <c r="E642" s="3">
        <v>3</v>
      </c>
      <c r="F642" s="3" t="s">
        <v>41</v>
      </c>
      <c r="G642" s="3" t="s">
        <v>41</v>
      </c>
      <c r="H642" s="3" t="s">
        <v>1051</v>
      </c>
      <c r="I642" s="3"/>
      <c r="J642" s="3" t="s">
        <v>91</v>
      </c>
      <c r="K642" s="3" t="s">
        <v>1052</v>
      </c>
      <c r="L642" s="3" t="s">
        <v>24</v>
      </c>
      <c r="M642" s="3">
        <v>1</v>
      </c>
      <c r="N642" s="6"/>
      <c r="O642" s="3">
        <v>1</v>
      </c>
      <c r="P642" s="3">
        <v>1</v>
      </c>
      <c r="Q642" s="3">
        <v>1</v>
      </c>
      <c r="R642" s="3">
        <v>0</v>
      </c>
      <c r="S642" s="3">
        <v>0</v>
      </c>
      <c r="T642" s="3">
        <v>0</v>
      </c>
      <c r="U642" s="3">
        <v>0</v>
      </c>
      <c r="V642" s="3">
        <f t="shared" si="137"/>
        <v>1</v>
      </c>
      <c r="W642" s="3">
        <v>1</v>
      </c>
      <c r="X642" s="3">
        <v>0</v>
      </c>
      <c r="Y642" s="3">
        <v>0</v>
      </c>
      <c r="Z642" s="3">
        <v>0</v>
      </c>
      <c r="AA642" s="3">
        <v>0</v>
      </c>
      <c r="AB642" s="3">
        <f t="shared" si="138"/>
        <v>1</v>
      </c>
      <c r="AC642" s="6">
        <f t="shared" si="146"/>
        <v>-1</v>
      </c>
      <c r="AD642" s="6">
        <f t="shared" si="147"/>
        <v>0</v>
      </c>
      <c r="AE642" s="6">
        <f t="shared" si="148"/>
        <v>0</v>
      </c>
      <c r="AF642" s="6">
        <f t="shared" si="149"/>
        <v>0</v>
      </c>
      <c r="AG642" s="6">
        <f t="shared" si="150"/>
        <v>0</v>
      </c>
      <c r="AH642" s="6">
        <f t="shared" si="139"/>
        <v>-1</v>
      </c>
      <c r="AI642" s="3"/>
      <c r="AJ642" s="3" t="e">
        <f>_xlfn.XLOOKUP(K642,工作表1!A:A,工作表1!C:C)</f>
        <v>#N/A</v>
      </c>
      <c r="AK642" s="3"/>
      <c r="AL642" s="6">
        <f t="shared" si="140"/>
        <v>0</v>
      </c>
      <c r="AM642" s="6">
        <f t="shared" si="141"/>
        <v>0</v>
      </c>
      <c r="AN642" s="6">
        <f t="shared" si="142"/>
        <v>0</v>
      </c>
      <c r="AO642" s="6">
        <f t="shared" si="143"/>
        <v>0</v>
      </c>
      <c r="AP642" s="6">
        <f t="shared" si="144"/>
        <v>0</v>
      </c>
      <c r="AQ642" s="6">
        <f t="shared" si="145"/>
        <v>0</v>
      </c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  <c r="BC642" s="6"/>
      <c r="BD642" s="6"/>
      <c r="BE642" s="6"/>
      <c r="BF642" s="6"/>
      <c r="BG642" s="6"/>
      <c r="BH642" s="6"/>
      <c r="BI642" s="6"/>
      <c r="BJ642" s="6"/>
      <c r="BK642" s="6"/>
      <c r="BL642" s="6"/>
      <c r="BM642" s="6"/>
      <c r="BN642" s="6"/>
      <c r="BO642" s="6"/>
      <c r="BP642" s="3">
        <v>1</v>
      </c>
      <c r="BQ642" s="6">
        <f t="shared" si="136"/>
        <v>0</v>
      </c>
    </row>
    <row r="643" spans="1:74" x14ac:dyDescent="0.3">
      <c r="A643" s="3" t="s">
        <v>931</v>
      </c>
      <c r="B643" s="3">
        <v>351</v>
      </c>
      <c r="C643" s="3" t="s">
        <v>1053</v>
      </c>
      <c r="D643" s="3">
        <v>0.75</v>
      </c>
      <c r="E643" s="3" t="s">
        <v>19</v>
      </c>
      <c r="F643" s="3" t="s">
        <v>19</v>
      </c>
      <c r="G643" s="3" t="s">
        <v>19</v>
      </c>
      <c r="H643" s="3" t="s">
        <v>103</v>
      </c>
      <c r="I643" s="3"/>
      <c r="J643" s="3" t="s">
        <v>91</v>
      </c>
      <c r="K643" s="3" t="s">
        <v>1054</v>
      </c>
      <c r="L643" s="3" t="s">
        <v>24</v>
      </c>
      <c r="M643" s="3">
        <v>3</v>
      </c>
      <c r="N643" s="6"/>
      <c r="O643" s="3">
        <v>3</v>
      </c>
      <c r="P643" s="3">
        <v>3</v>
      </c>
      <c r="Q643" s="3">
        <v>3</v>
      </c>
      <c r="R643" s="3">
        <v>0</v>
      </c>
      <c r="S643" s="3">
        <v>0</v>
      </c>
      <c r="T643" s="3">
        <v>0</v>
      </c>
      <c r="U643" s="3">
        <v>0</v>
      </c>
      <c r="V643" s="3">
        <f t="shared" si="137"/>
        <v>3</v>
      </c>
      <c r="W643" s="3">
        <v>3</v>
      </c>
      <c r="X643" s="3">
        <v>0</v>
      </c>
      <c r="Y643" s="3">
        <v>0</v>
      </c>
      <c r="Z643" s="3">
        <v>0</v>
      </c>
      <c r="AA643" s="3">
        <v>0</v>
      </c>
      <c r="AB643" s="3">
        <f t="shared" si="138"/>
        <v>3</v>
      </c>
      <c r="AC643" s="6">
        <f t="shared" si="146"/>
        <v>-3</v>
      </c>
      <c r="AD643" s="6">
        <f t="shared" si="147"/>
        <v>0</v>
      </c>
      <c r="AE643" s="6">
        <f t="shared" si="148"/>
        <v>0</v>
      </c>
      <c r="AF643" s="6">
        <f t="shared" si="149"/>
        <v>0</v>
      </c>
      <c r="AG643" s="6">
        <f t="shared" si="150"/>
        <v>0</v>
      </c>
      <c r="AH643" s="6">
        <f t="shared" si="139"/>
        <v>-3</v>
      </c>
      <c r="AI643" s="3"/>
      <c r="AJ643" s="3" t="e">
        <f>_xlfn.XLOOKUP(K643,工作表1!A:A,工作表1!C:C)</f>
        <v>#N/A</v>
      </c>
      <c r="AK643" s="3"/>
      <c r="AL643" s="6">
        <f t="shared" si="140"/>
        <v>0</v>
      </c>
      <c r="AM643" s="6">
        <f t="shared" si="141"/>
        <v>0</v>
      </c>
      <c r="AN643" s="6">
        <f t="shared" si="142"/>
        <v>0</v>
      </c>
      <c r="AO643" s="6">
        <f t="shared" si="143"/>
        <v>0</v>
      </c>
      <c r="AP643" s="6">
        <f t="shared" si="144"/>
        <v>0</v>
      </c>
      <c r="AQ643" s="6">
        <f t="shared" si="145"/>
        <v>0</v>
      </c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  <c r="BC643" s="6"/>
      <c r="BD643" s="6"/>
      <c r="BE643" s="6"/>
      <c r="BF643" s="6"/>
      <c r="BG643" s="6"/>
      <c r="BH643" s="6"/>
      <c r="BI643" s="6"/>
      <c r="BJ643" s="6"/>
      <c r="BK643" s="6"/>
      <c r="BL643" s="6"/>
      <c r="BM643" s="6"/>
      <c r="BN643" s="6"/>
      <c r="BO643" s="6"/>
      <c r="BP643" s="3">
        <v>3</v>
      </c>
      <c r="BQ643" s="6">
        <f t="shared" si="136"/>
        <v>0</v>
      </c>
    </row>
    <row r="644" spans="1:74" x14ac:dyDescent="0.3">
      <c r="A644" s="3" t="s">
        <v>931</v>
      </c>
      <c r="B644" s="3">
        <v>363</v>
      </c>
      <c r="C644" s="3" t="s">
        <v>1055</v>
      </c>
      <c r="D644" s="3">
        <v>2</v>
      </c>
      <c r="E644" s="3">
        <v>1</v>
      </c>
      <c r="F644" s="3" t="s">
        <v>41</v>
      </c>
      <c r="G644" s="3" t="s">
        <v>41</v>
      </c>
      <c r="H644" s="3" t="s">
        <v>292</v>
      </c>
      <c r="I644" s="3"/>
      <c r="J644" s="3" t="s">
        <v>91</v>
      </c>
      <c r="K644" s="3" t="s">
        <v>1056</v>
      </c>
      <c r="L644" s="3" t="s">
        <v>24</v>
      </c>
      <c r="M644" s="3">
        <v>2</v>
      </c>
      <c r="N644" s="6"/>
      <c r="O644" s="3">
        <v>2</v>
      </c>
      <c r="P644" s="3">
        <v>2</v>
      </c>
      <c r="Q644" s="3">
        <v>2</v>
      </c>
      <c r="R644" s="3">
        <v>0</v>
      </c>
      <c r="S644" s="3">
        <v>0</v>
      </c>
      <c r="T644" s="3">
        <v>0</v>
      </c>
      <c r="U644" s="3">
        <v>0</v>
      </c>
      <c r="V644" s="3">
        <f t="shared" si="137"/>
        <v>2</v>
      </c>
      <c r="W644" s="3">
        <v>2</v>
      </c>
      <c r="X644" s="3">
        <v>0</v>
      </c>
      <c r="Y644" s="3">
        <v>0</v>
      </c>
      <c r="Z644" s="3">
        <v>0</v>
      </c>
      <c r="AA644" s="3">
        <v>0</v>
      </c>
      <c r="AB644" s="3">
        <f t="shared" si="138"/>
        <v>2</v>
      </c>
      <c r="AC644" s="6">
        <f t="shared" si="146"/>
        <v>0</v>
      </c>
      <c r="AD644" s="6">
        <f t="shared" si="147"/>
        <v>0</v>
      </c>
      <c r="AE644" s="6">
        <f t="shared" si="148"/>
        <v>0</v>
      </c>
      <c r="AF644" s="6">
        <f t="shared" si="149"/>
        <v>0</v>
      </c>
      <c r="AG644" s="6">
        <f t="shared" si="150"/>
        <v>0</v>
      </c>
      <c r="AH644" s="6">
        <f t="shared" si="139"/>
        <v>0</v>
      </c>
      <c r="AI644" s="3"/>
      <c r="AJ644" s="3" t="e">
        <f>_xlfn.XLOOKUP(K644,工作表1!A:A,工作表1!C:C)</f>
        <v>#N/A</v>
      </c>
      <c r="AK644" s="3"/>
      <c r="AL644" s="6">
        <f t="shared" si="140"/>
        <v>2</v>
      </c>
      <c r="AM644" s="6">
        <f t="shared" si="141"/>
        <v>0</v>
      </c>
      <c r="AN644" s="6">
        <f t="shared" si="142"/>
        <v>0</v>
      </c>
      <c r="AO644" s="6">
        <f t="shared" si="143"/>
        <v>0</v>
      </c>
      <c r="AP644" s="6">
        <f t="shared" si="144"/>
        <v>0</v>
      </c>
      <c r="AQ644" s="6">
        <f t="shared" si="145"/>
        <v>2</v>
      </c>
      <c r="AR644" s="6"/>
      <c r="AS644" s="6"/>
      <c r="AT644" s="6"/>
      <c r="AU644" s="6">
        <v>2</v>
      </c>
      <c r="AV644" s="6"/>
      <c r="AW644" s="6"/>
      <c r="AX644" s="6"/>
      <c r="AY644" s="6"/>
      <c r="AZ644" s="6"/>
      <c r="BA644" s="6"/>
      <c r="BB644" s="6"/>
      <c r="BC644" s="6"/>
      <c r="BD644" s="6"/>
      <c r="BE644" s="6"/>
      <c r="BF644" s="6"/>
      <c r="BG644" s="6"/>
      <c r="BH644" s="6"/>
      <c r="BI644" s="6"/>
      <c r="BJ644" s="6"/>
      <c r="BK644" s="6"/>
      <c r="BL644" s="6"/>
      <c r="BM644" s="6"/>
      <c r="BN644" s="6"/>
      <c r="BO644" s="6"/>
      <c r="BP644" s="3">
        <v>2</v>
      </c>
      <c r="BQ644" s="6">
        <f t="shared" si="136"/>
        <v>2</v>
      </c>
      <c r="BV644">
        <v>2</v>
      </c>
    </row>
    <row r="645" spans="1:74" x14ac:dyDescent="0.3">
      <c r="A645" s="3" t="s">
        <v>931</v>
      </c>
      <c r="B645" s="3">
        <v>363</v>
      </c>
      <c r="C645" s="3" t="s">
        <v>1055</v>
      </c>
      <c r="D645" s="3">
        <v>1</v>
      </c>
      <c r="E645" s="3">
        <v>0.75</v>
      </c>
      <c r="F645" s="3" t="s">
        <v>41</v>
      </c>
      <c r="G645" s="3" t="s">
        <v>41</v>
      </c>
      <c r="H645" s="3" t="s">
        <v>199</v>
      </c>
      <c r="I645" s="3"/>
      <c r="J645" s="3" t="s">
        <v>91</v>
      </c>
      <c r="K645" s="3" t="s">
        <v>1057</v>
      </c>
      <c r="L645" s="3" t="s">
        <v>24</v>
      </c>
      <c r="M645" s="3">
        <v>7</v>
      </c>
      <c r="N645" s="6"/>
      <c r="O645" s="3">
        <v>6</v>
      </c>
      <c r="P645" s="3">
        <v>6</v>
      </c>
      <c r="Q645" s="3">
        <v>6</v>
      </c>
      <c r="R645" s="3">
        <v>0</v>
      </c>
      <c r="S645" s="3">
        <v>0</v>
      </c>
      <c r="T645" s="3">
        <v>0</v>
      </c>
      <c r="U645" s="3">
        <v>0</v>
      </c>
      <c r="V645" s="3">
        <f t="shared" si="137"/>
        <v>6</v>
      </c>
      <c r="W645" s="3">
        <v>6</v>
      </c>
      <c r="X645" s="3">
        <v>0</v>
      </c>
      <c r="Y645" s="3">
        <v>0</v>
      </c>
      <c r="Z645" s="3">
        <v>0</v>
      </c>
      <c r="AA645" s="3">
        <v>0</v>
      </c>
      <c r="AB645" s="3">
        <f t="shared" si="138"/>
        <v>6</v>
      </c>
      <c r="AC645" s="6">
        <f t="shared" si="146"/>
        <v>0</v>
      </c>
      <c r="AD645" s="6">
        <f t="shared" si="147"/>
        <v>0</v>
      </c>
      <c r="AE645" s="6">
        <f t="shared" si="148"/>
        <v>0</v>
      </c>
      <c r="AF645" s="6">
        <f t="shared" si="149"/>
        <v>0</v>
      </c>
      <c r="AG645" s="6">
        <f t="shared" si="150"/>
        <v>0</v>
      </c>
      <c r="AH645" s="6">
        <f t="shared" si="139"/>
        <v>0</v>
      </c>
      <c r="AI645" s="3"/>
      <c r="AJ645" s="3" t="e">
        <f>_xlfn.XLOOKUP(K645,工作表1!A:A,工作表1!C:C)</f>
        <v>#N/A</v>
      </c>
      <c r="AK645" s="3"/>
      <c r="AL645" s="6">
        <f t="shared" si="140"/>
        <v>6</v>
      </c>
      <c r="AM645" s="6">
        <f t="shared" si="141"/>
        <v>0</v>
      </c>
      <c r="AN645" s="6">
        <f t="shared" si="142"/>
        <v>0</v>
      </c>
      <c r="AO645" s="6">
        <f t="shared" si="143"/>
        <v>0</v>
      </c>
      <c r="AP645" s="6">
        <f t="shared" si="144"/>
        <v>0</v>
      </c>
      <c r="AQ645" s="6">
        <f t="shared" si="145"/>
        <v>6</v>
      </c>
      <c r="AR645" s="6"/>
      <c r="AS645" s="6"/>
      <c r="AT645" s="6"/>
      <c r="AU645" s="6">
        <v>6</v>
      </c>
      <c r="AV645" s="6"/>
      <c r="AW645" s="6"/>
      <c r="AX645" s="6"/>
      <c r="AY645" s="6"/>
      <c r="AZ645" s="6"/>
      <c r="BA645" s="6"/>
      <c r="BB645" s="6"/>
      <c r="BC645" s="6"/>
      <c r="BD645" s="6"/>
      <c r="BE645" s="6"/>
      <c r="BF645" s="6"/>
      <c r="BG645" s="6"/>
      <c r="BH645" s="6"/>
      <c r="BI645" s="6"/>
      <c r="BJ645" s="6"/>
      <c r="BK645" s="6"/>
      <c r="BL645" s="6"/>
      <c r="BM645" s="6"/>
      <c r="BN645" s="6"/>
      <c r="BO645" s="6"/>
      <c r="BP645" s="3">
        <v>6</v>
      </c>
      <c r="BQ645" s="6">
        <f t="shared" si="136"/>
        <v>6</v>
      </c>
      <c r="BV645">
        <v>6</v>
      </c>
    </row>
    <row r="646" spans="1:74" x14ac:dyDescent="0.3">
      <c r="A646" s="3" t="s">
        <v>931</v>
      </c>
      <c r="B646" s="3">
        <v>363</v>
      </c>
      <c r="C646" s="3" t="s">
        <v>1058</v>
      </c>
      <c r="D646" s="3">
        <v>3</v>
      </c>
      <c r="E646" s="3">
        <v>2</v>
      </c>
      <c r="F646" s="3" t="s">
        <v>41</v>
      </c>
      <c r="G646" s="3" t="s">
        <v>41</v>
      </c>
      <c r="H646" s="3" t="s">
        <v>1012</v>
      </c>
      <c r="I646" s="3"/>
      <c r="J646" s="3" t="s">
        <v>91</v>
      </c>
      <c r="K646" s="3" t="s">
        <v>1059</v>
      </c>
      <c r="L646" s="3" t="s">
        <v>24</v>
      </c>
      <c r="M646" s="3">
        <v>4</v>
      </c>
      <c r="N646" s="6"/>
      <c r="O646" s="3">
        <v>4</v>
      </c>
      <c r="P646" s="3">
        <v>4</v>
      </c>
      <c r="Q646" s="3">
        <v>4</v>
      </c>
      <c r="R646" s="3">
        <v>0</v>
      </c>
      <c r="S646" s="3">
        <v>0</v>
      </c>
      <c r="T646" s="3">
        <v>0</v>
      </c>
      <c r="U646" s="3">
        <v>0</v>
      </c>
      <c r="V646" s="3">
        <f t="shared" si="137"/>
        <v>4</v>
      </c>
      <c r="W646" s="3">
        <v>4</v>
      </c>
      <c r="X646" s="3">
        <v>0</v>
      </c>
      <c r="Y646" s="3">
        <v>0</v>
      </c>
      <c r="Z646" s="3">
        <v>0</v>
      </c>
      <c r="AA646" s="3">
        <v>0</v>
      </c>
      <c r="AB646" s="3">
        <f t="shared" si="138"/>
        <v>4</v>
      </c>
      <c r="AC646" s="6">
        <f t="shared" si="146"/>
        <v>0</v>
      </c>
      <c r="AD646" s="6">
        <f t="shared" si="147"/>
        <v>0</v>
      </c>
      <c r="AE646" s="6">
        <f t="shared" si="148"/>
        <v>0</v>
      </c>
      <c r="AF646" s="6">
        <f t="shared" si="149"/>
        <v>0</v>
      </c>
      <c r="AG646" s="6">
        <f t="shared" si="150"/>
        <v>0</v>
      </c>
      <c r="AH646" s="6">
        <f t="shared" si="139"/>
        <v>0</v>
      </c>
      <c r="AI646" s="3"/>
      <c r="AJ646" s="3" t="e">
        <f>_xlfn.XLOOKUP(K646,工作表1!A:A,工作表1!C:C)</f>
        <v>#N/A</v>
      </c>
      <c r="AK646" s="3"/>
      <c r="AL646" s="6">
        <f t="shared" si="140"/>
        <v>4</v>
      </c>
      <c r="AM646" s="6">
        <f t="shared" si="141"/>
        <v>0</v>
      </c>
      <c r="AN646" s="6">
        <f t="shared" si="142"/>
        <v>0</v>
      </c>
      <c r="AO646" s="6">
        <f t="shared" si="143"/>
        <v>0</v>
      </c>
      <c r="AP646" s="6">
        <f t="shared" si="144"/>
        <v>0</v>
      </c>
      <c r="AQ646" s="6">
        <f t="shared" si="145"/>
        <v>4</v>
      </c>
      <c r="AR646" s="6"/>
      <c r="AS646" s="6"/>
      <c r="AT646" s="6"/>
      <c r="AU646" s="6">
        <v>4</v>
      </c>
      <c r="AV646" s="6"/>
      <c r="AW646" s="6"/>
      <c r="AX646" s="6"/>
      <c r="AY646" s="6"/>
      <c r="AZ646" s="6"/>
      <c r="BA646" s="6"/>
      <c r="BB646" s="6"/>
      <c r="BC646" s="6"/>
      <c r="BD646" s="6"/>
      <c r="BE646" s="6"/>
      <c r="BF646" s="6"/>
      <c r="BG646" s="6"/>
      <c r="BH646" s="6"/>
      <c r="BI646" s="6"/>
      <c r="BJ646" s="6"/>
      <c r="BK646" s="6"/>
      <c r="BL646" s="6"/>
      <c r="BM646" s="6"/>
      <c r="BN646" s="6"/>
      <c r="BO646" s="6"/>
      <c r="BP646" s="3">
        <v>4</v>
      </c>
      <c r="BQ646" s="6">
        <f t="shared" si="136"/>
        <v>4</v>
      </c>
      <c r="BV646">
        <v>4</v>
      </c>
    </row>
    <row r="647" spans="1:74" x14ac:dyDescent="0.3">
      <c r="A647" s="3" t="s">
        <v>931</v>
      </c>
      <c r="B647" s="3">
        <v>363</v>
      </c>
      <c r="C647" s="3" t="s">
        <v>1060</v>
      </c>
      <c r="D647" s="3">
        <v>6</v>
      </c>
      <c r="E647" s="3">
        <v>4</v>
      </c>
      <c r="F647" s="3" t="s">
        <v>767</v>
      </c>
      <c r="G647" s="3" t="s">
        <v>767</v>
      </c>
      <c r="H647" s="3" t="s">
        <v>1061</v>
      </c>
      <c r="I647" s="3"/>
      <c r="J647" s="3" t="s">
        <v>91</v>
      </c>
      <c r="K647" s="3" t="s">
        <v>1062</v>
      </c>
      <c r="L647" s="3" t="s">
        <v>24</v>
      </c>
      <c r="M647" s="3">
        <v>1</v>
      </c>
      <c r="N647" s="6"/>
      <c r="O647" s="3">
        <v>1</v>
      </c>
      <c r="P647" s="3">
        <v>1</v>
      </c>
      <c r="Q647" s="3">
        <v>1</v>
      </c>
      <c r="R647" s="3">
        <v>0</v>
      </c>
      <c r="S647" s="3">
        <v>0</v>
      </c>
      <c r="T647" s="3">
        <v>0</v>
      </c>
      <c r="U647" s="3">
        <v>0</v>
      </c>
      <c r="V647" s="3">
        <f t="shared" si="137"/>
        <v>1</v>
      </c>
      <c r="W647" s="3">
        <v>1</v>
      </c>
      <c r="X647" s="3">
        <v>0</v>
      </c>
      <c r="Y647" s="3">
        <v>0</v>
      </c>
      <c r="Z647" s="3">
        <v>0</v>
      </c>
      <c r="AA647" s="3">
        <v>0</v>
      </c>
      <c r="AB647" s="3">
        <f t="shared" si="138"/>
        <v>1</v>
      </c>
      <c r="AC647" s="6">
        <f t="shared" si="146"/>
        <v>0</v>
      </c>
      <c r="AD647" s="6">
        <f t="shared" si="147"/>
        <v>0</v>
      </c>
      <c r="AE647" s="6">
        <f t="shared" si="148"/>
        <v>0</v>
      </c>
      <c r="AF647" s="6">
        <f t="shared" si="149"/>
        <v>0</v>
      </c>
      <c r="AG647" s="6">
        <f t="shared" si="150"/>
        <v>0</v>
      </c>
      <c r="AH647" s="6">
        <f t="shared" si="139"/>
        <v>0</v>
      </c>
      <c r="AI647" s="3"/>
      <c r="AJ647" s="3" t="e">
        <f>_xlfn.XLOOKUP(K647,工作表1!A:A,工作表1!C:C)</f>
        <v>#N/A</v>
      </c>
      <c r="AK647" s="3"/>
      <c r="AL647" s="6">
        <f t="shared" si="140"/>
        <v>1</v>
      </c>
      <c r="AM647" s="6">
        <f t="shared" si="141"/>
        <v>0</v>
      </c>
      <c r="AN647" s="6">
        <f t="shared" si="142"/>
        <v>0</v>
      </c>
      <c r="AO647" s="6">
        <f t="shared" si="143"/>
        <v>0</v>
      </c>
      <c r="AP647" s="6">
        <f t="shared" si="144"/>
        <v>0</v>
      </c>
      <c r="AQ647" s="6">
        <f t="shared" si="145"/>
        <v>1</v>
      </c>
      <c r="AR647" s="6"/>
      <c r="AS647" s="6"/>
      <c r="AT647" s="6"/>
      <c r="AU647" s="6">
        <v>1</v>
      </c>
      <c r="AV647" s="6"/>
      <c r="AW647" s="6"/>
      <c r="AX647" s="6"/>
      <c r="AY647" s="6"/>
      <c r="AZ647" s="6"/>
      <c r="BA647" s="6"/>
      <c r="BB647" s="6"/>
      <c r="BC647" s="6"/>
      <c r="BD647" s="6"/>
      <c r="BE647" s="6"/>
      <c r="BF647" s="6"/>
      <c r="BG647" s="6"/>
      <c r="BH647" s="6"/>
      <c r="BI647" s="6"/>
      <c r="BJ647" s="6"/>
      <c r="BK647" s="6"/>
      <c r="BL647" s="6"/>
      <c r="BM647" s="6"/>
      <c r="BN647" s="6"/>
      <c r="BO647" s="6"/>
      <c r="BP647" s="3">
        <v>1</v>
      </c>
      <c r="BQ647" s="6">
        <f t="shared" ref="BQ647:BQ710" si="151">SUM(BR647:FN647)</f>
        <v>1</v>
      </c>
      <c r="BV647">
        <v>1</v>
      </c>
    </row>
    <row r="648" spans="1:74" x14ac:dyDescent="0.3">
      <c r="A648" s="3" t="s">
        <v>931</v>
      </c>
      <c r="B648" s="3">
        <v>363</v>
      </c>
      <c r="C648" s="3" t="s">
        <v>1063</v>
      </c>
      <c r="D648" s="3">
        <v>12</v>
      </c>
      <c r="E648" s="3">
        <v>10</v>
      </c>
      <c r="F648" s="3" t="s">
        <v>41</v>
      </c>
      <c r="G648" s="3" t="s">
        <v>41</v>
      </c>
      <c r="H648" s="3" t="s">
        <v>1064</v>
      </c>
      <c r="I648" s="3"/>
      <c r="J648" s="3" t="s">
        <v>91</v>
      </c>
      <c r="K648" s="3" t="s">
        <v>1065</v>
      </c>
      <c r="L648" s="3" t="s">
        <v>24</v>
      </c>
      <c r="M648" s="3">
        <v>1</v>
      </c>
      <c r="N648" s="6"/>
      <c r="O648" s="3">
        <v>1</v>
      </c>
      <c r="P648" s="3">
        <v>1</v>
      </c>
      <c r="Q648" s="3">
        <v>1</v>
      </c>
      <c r="R648" s="3">
        <v>0</v>
      </c>
      <c r="S648" s="3">
        <v>0</v>
      </c>
      <c r="T648" s="3">
        <v>0</v>
      </c>
      <c r="U648" s="3">
        <v>0</v>
      </c>
      <c r="V648" s="3">
        <f t="shared" ref="V648:V711" si="152">SUM(Q648:U648)</f>
        <v>1</v>
      </c>
      <c r="W648" s="3">
        <v>1</v>
      </c>
      <c r="X648" s="3">
        <v>0</v>
      </c>
      <c r="Y648" s="3">
        <v>0</v>
      </c>
      <c r="Z648" s="3">
        <v>0</v>
      </c>
      <c r="AA648" s="3">
        <v>0</v>
      </c>
      <c r="AB648" s="3">
        <f t="shared" ref="AB648:AB711" si="153">SUM(W648:AA648)</f>
        <v>1</v>
      </c>
      <c r="AC648" s="6">
        <f t="shared" si="146"/>
        <v>0</v>
      </c>
      <c r="AD648" s="6">
        <f t="shared" si="147"/>
        <v>0</v>
      </c>
      <c r="AE648" s="6">
        <f t="shared" si="148"/>
        <v>0</v>
      </c>
      <c r="AF648" s="6">
        <f t="shared" si="149"/>
        <v>0</v>
      </c>
      <c r="AG648" s="6">
        <f t="shared" si="150"/>
        <v>0</v>
      </c>
      <c r="AH648" s="6">
        <f t="shared" ref="AH648:AH711" si="154">AQ648-AB648</f>
        <v>0</v>
      </c>
      <c r="AI648" s="3"/>
      <c r="AJ648" s="3" t="e">
        <f>_xlfn.XLOOKUP(K648,工作表1!A:A,工作表1!C:C)</f>
        <v>#N/A</v>
      </c>
      <c r="AK648" s="3"/>
      <c r="AL648" s="6">
        <f t="shared" ref="AL648:AL711" si="155">SUM(AR648:AV648)</f>
        <v>1</v>
      </c>
      <c r="AM648" s="6">
        <f t="shared" ref="AM648:AM711" si="156">SUM(AW648:AZ648)</f>
        <v>0</v>
      </c>
      <c r="AN648" s="6">
        <f t="shared" ref="AN648:AN711" si="157">SUM(BA648:BE648)</f>
        <v>0</v>
      </c>
      <c r="AO648" s="6">
        <f t="shared" ref="AO648:AO711" si="158">SUM(BF648:BI648)</f>
        <v>0</v>
      </c>
      <c r="AP648" s="6">
        <f t="shared" ref="AP648:AP711" si="159">SUM(BJ648:BN648)</f>
        <v>0</v>
      </c>
      <c r="AQ648" s="6">
        <f t="shared" ref="AQ648:AQ711" si="160">SUM(AL648:AP648)</f>
        <v>1</v>
      </c>
      <c r="AR648" s="6"/>
      <c r="AS648" s="6"/>
      <c r="AT648" s="6"/>
      <c r="AU648" s="6">
        <v>1</v>
      </c>
      <c r="AV648" s="6"/>
      <c r="AW648" s="6"/>
      <c r="AX648" s="6"/>
      <c r="AY648" s="6"/>
      <c r="AZ648" s="6"/>
      <c r="BA648" s="6"/>
      <c r="BB648" s="6"/>
      <c r="BC648" s="6"/>
      <c r="BD648" s="6"/>
      <c r="BE648" s="6"/>
      <c r="BF648" s="6"/>
      <c r="BG648" s="6"/>
      <c r="BH648" s="6"/>
      <c r="BI648" s="6"/>
      <c r="BJ648" s="6"/>
      <c r="BK648" s="6"/>
      <c r="BL648" s="6"/>
      <c r="BM648" s="6"/>
      <c r="BN648" s="6"/>
      <c r="BO648" s="6"/>
      <c r="BP648" s="3">
        <v>1</v>
      </c>
      <c r="BQ648" s="6">
        <f t="shared" si="151"/>
        <v>1</v>
      </c>
      <c r="BV648">
        <v>1</v>
      </c>
    </row>
    <row r="649" spans="1:74" x14ac:dyDescent="0.3">
      <c r="A649" s="3" t="s">
        <v>931</v>
      </c>
      <c r="B649" s="3">
        <v>363</v>
      </c>
      <c r="C649" s="3" t="s">
        <v>1063</v>
      </c>
      <c r="D649" s="3">
        <v>10</v>
      </c>
      <c r="E649" s="3">
        <v>8</v>
      </c>
      <c r="F649" s="3" t="s">
        <v>41</v>
      </c>
      <c r="G649" s="3" t="s">
        <v>41</v>
      </c>
      <c r="H649" s="3" t="s">
        <v>1066</v>
      </c>
      <c r="I649" s="3"/>
      <c r="J649" s="3" t="s">
        <v>91</v>
      </c>
      <c r="K649" s="3" t="s">
        <v>1067</v>
      </c>
      <c r="L649" s="3" t="s">
        <v>24</v>
      </c>
      <c r="M649" s="3">
        <v>3</v>
      </c>
      <c r="N649" s="6"/>
      <c r="O649" s="3">
        <v>3</v>
      </c>
      <c r="P649" s="3">
        <v>3</v>
      </c>
      <c r="Q649" s="3">
        <v>3</v>
      </c>
      <c r="R649" s="3">
        <v>0</v>
      </c>
      <c r="S649" s="3">
        <v>0</v>
      </c>
      <c r="T649" s="3">
        <v>0</v>
      </c>
      <c r="U649" s="3">
        <v>0</v>
      </c>
      <c r="V649" s="3">
        <f t="shared" si="152"/>
        <v>3</v>
      </c>
      <c r="W649" s="3">
        <v>3</v>
      </c>
      <c r="X649" s="3">
        <v>0</v>
      </c>
      <c r="Y649" s="3">
        <v>0</v>
      </c>
      <c r="Z649" s="3">
        <v>0</v>
      </c>
      <c r="AA649" s="3">
        <v>0</v>
      </c>
      <c r="AB649" s="3">
        <f t="shared" si="153"/>
        <v>3</v>
      </c>
      <c r="AC649" s="6">
        <f t="shared" si="146"/>
        <v>0</v>
      </c>
      <c r="AD649" s="6">
        <f t="shared" si="147"/>
        <v>0</v>
      </c>
      <c r="AE649" s="6">
        <f t="shared" si="148"/>
        <v>0</v>
      </c>
      <c r="AF649" s="6">
        <f t="shared" si="149"/>
        <v>0</v>
      </c>
      <c r="AG649" s="6">
        <f t="shared" si="150"/>
        <v>0</v>
      </c>
      <c r="AH649" s="6">
        <f t="shared" si="154"/>
        <v>0</v>
      </c>
      <c r="AI649" s="3"/>
      <c r="AJ649" s="3" t="e">
        <f>_xlfn.XLOOKUP(K649,工作表1!A:A,工作表1!C:C)</f>
        <v>#N/A</v>
      </c>
      <c r="AK649" s="3"/>
      <c r="AL649" s="6">
        <f t="shared" si="155"/>
        <v>3</v>
      </c>
      <c r="AM649" s="6">
        <f t="shared" si="156"/>
        <v>0</v>
      </c>
      <c r="AN649" s="6">
        <f t="shared" si="157"/>
        <v>0</v>
      </c>
      <c r="AO649" s="6">
        <f t="shared" si="158"/>
        <v>0</v>
      </c>
      <c r="AP649" s="6">
        <f t="shared" si="159"/>
        <v>0</v>
      </c>
      <c r="AQ649" s="6">
        <f t="shared" si="160"/>
        <v>3</v>
      </c>
      <c r="AR649" s="6"/>
      <c r="AS649" s="6"/>
      <c r="AT649" s="6"/>
      <c r="AU649" s="6">
        <v>3</v>
      </c>
      <c r="AV649" s="6"/>
      <c r="AW649" s="6"/>
      <c r="AX649" s="6"/>
      <c r="AY649" s="6"/>
      <c r="AZ649" s="6"/>
      <c r="BA649" s="6"/>
      <c r="BB649" s="6"/>
      <c r="BC649" s="6"/>
      <c r="BD649" s="6"/>
      <c r="BE649" s="6"/>
      <c r="BF649" s="6"/>
      <c r="BG649" s="6"/>
      <c r="BH649" s="6"/>
      <c r="BI649" s="6"/>
      <c r="BJ649" s="6"/>
      <c r="BK649" s="6"/>
      <c r="BL649" s="6"/>
      <c r="BM649" s="6"/>
      <c r="BN649" s="6"/>
      <c r="BO649" s="6"/>
      <c r="BP649" s="3">
        <v>3</v>
      </c>
      <c r="BQ649" s="6">
        <f t="shared" si="151"/>
        <v>3</v>
      </c>
      <c r="BV649">
        <v>3</v>
      </c>
    </row>
    <row r="650" spans="1:74" x14ac:dyDescent="0.3">
      <c r="A650" s="3" t="s">
        <v>931</v>
      </c>
      <c r="B650" s="3">
        <v>363</v>
      </c>
      <c r="C650" s="3" t="s">
        <v>1063</v>
      </c>
      <c r="D650" s="3">
        <v>10</v>
      </c>
      <c r="E650" s="3">
        <v>6</v>
      </c>
      <c r="F650" s="3" t="s">
        <v>41</v>
      </c>
      <c r="G650" s="3" t="s">
        <v>41</v>
      </c>
      <c r="H650" s="3" t="s">
        <v>1068</v>
      </c>
      <c r="I650" s="3"/>
      <c r="J650" s="3" t="s">
        <v>91</v>
      </c>
      <c r="K650" s="3" t="s">
        <v>1069</v>
      </c>
      <c r="L650" s="3" t="s">
        <v>24</v>
      </c>
      <c r="M650" s="3">
        <v>2</v>
      </c>
      <c r="N650" s="6"/>
      <c r="O650" s="3">
        <v>2</v>
      </c>
      <c r="P650" s="3">
        <v>2</v>
      </c>
      <c r="Q650" s="3">
        <v>2</v>
      </c>
      <c r="R650" s="3">
        <v>0</v>
      </c>
      <c r="S650" s="3">
        <v>0</v>
      </c>
      <c r="T650" s="3">
        <v>0</v>
      </c>
      <c r="U650" s="3">
        <v>0</v>
      </c>
      <c r="V650" s="3">
        <f t="shared" si="152"/>
        <v>2</v>
      </c>
      <c r="W650" s="3">
        <v>2</v>
      </c>
      <c r="X650" s="3">
        <v>0</v>
      </c>
      <c r="Y650" s="3">
        <v>0</v>
      </c>
      <c r="Z650" s="3">
        <v>0</v>
      </c>
      <c r="AA650" s="3">
        <v>0</v>
      </c>
      <c r="AB650" s="3">
        <f t="shared" si="153"/>
        <v>2</v>
      </c>
      <c r="AC650" s="6">
        <f t="shared" si="146"/>
        <v>0</v>
      </c>
      <c r="AD650" s="6">
        <f t="shared" si="147"/>
        <v>0</v>
      </c>
      <c r="AE650" s="6">
        <f t="shared" si="148"/>
        <v>0</v>
      </c>
      <c r="AF650" s="6">
        <f t="shared" si="149"/>
        <v>0</v>
      </c>
      <c r="AG650" s="6">
        <f t="shared" si="150"/>
        <v>0</v>
      </c>
      <c r="AH650" s="6">
        <f t="shared" si="154"/>
        <v>0</v>
      </c>
      <c r="AI650" s="3"/>
      <c r="AJ650" s="3" t="e">
        <f>_xlfn.XLOOKUP(K650,工作表1!A:A,工作表1!C:C)</f>
        <v>#N/A</v>
      </c>
      <c r="AK650" s="3"/>
      <c r="AL650" s="6">
        <f t="shared" si="155"/>
        <v>2</v>
      </c>
      <c r="AM650" s="6">
        <f t="shared" si="156"/>
        <v>0</v>
      </c>
      <c r="AN650" s="6">
        <f t="shared" si="157"/>
        <v>0</v>
      </c>
      <c r="AO650" s="6">
        <f t="shared" si="158"/>
        <v>0</v>
      </c>
      <c r="AP650" s="6">
        <f t="shared" si="159"/>
        <v>0</v>
      </c>
      <c r="AQ650" s="6">
        <f t="shared" si="160"/>
        <v>2</v>
      </c>
      <c r="AR650" s="6"/>
      <c r="AS650" s="6"/>
      <c r="AT650" s="6"/>
      <c r="AU650" s="6">
        <v>2</v>
      </c>
      <c r="AV650" s="6"/>
      <c r="AW650" s="6"/>
      <c r="AX650" s="6"/>
      <c r="AY650" s="6"/>
      <c r="AZ650" s="6"/>
      <c r="BA650" s="6"/>
      <c r="BB650" s="6"/>
      <c r="BC650" s="6"/>
      <c r="BD650" s="6"/>
      <c r="BE650" s="6"/>
      <c r="BF650" s="6"/>
      <c r="BG650" s="6"/>
      <c r="BH650" s="6"/>
      <c r="BI650" s="6"/>
      <c r="BJ650" s="6"/>
      <c r="BK650" s="6"/>
      <c r="BL650" s="6"/>
      <c r="BM650" s="6"/>
      <c r="BN650" s="6"/>
      <c r="BO650" s="6"/>
      <c r="BP650" s="3">
        <v>2</v>
      </c>
      <c r="BQ650" s="6">
        <f t="shared" si="151"/>
        <v>2</v>
      </c>
      <c r="BV650">
        <v>2</v>
      </c>
    </row>
    <row r="651" spans="1:74" x14ac:dyDescent="0.3">
      <c r="A651" s="3" t="s">
        <v>931</v>
      </c>
      <c r="B651" s="3">
        <v>363</v>
      </c>
      <c r="C651" s="3" t="s">
        <v>1063</v>
      </c>
      <c r="D651" s="3">
        <v>4</v>
      </c>
      <c r="E651" s="3">
        <v>2</v>
      </c>
      <c r="F651" s="3" t="s">
        <v>41</v>
      </c>
      <c r="G651" s="3" t="s">
        <v>41</v>
      </c>
      <c r="H651" s="3" t="s">
        <v>1070</v>
      </c>
      <c r="I651" s="3"/>
      <c r="J651" s="3" t="s">
        <v>91</v>
      </c>
      <c r="K651" s="3" t="s">
        <v>1071</v>
      </c>
      <c r="L651" s="3" t="s">
        <v>24</v>
      </c>
      <c r="M651" s="3">
        <v>1</v>
      </c>
      <c r="N651" s="6"/>
      <c r="O651" s="3">
        <v>1</v>
      </c>
      <c r="P651" s="3">
        <v>1</v>
      </c>
      <c r="Q651" s="3">
        <v>1</v>
      </c>
      <c r="R651" s="3">
        <v>0</v>
      </c>
      <c r="S651" s="3">
        <v>0</v>
      </c>
      <c r="T651" s="3">
        <v>0</v>
      </c>
      <c r="U651" s="3">
        <v>0</v>
      </c>
      <c r="V651" s="3">
        <f t="shared" si="152"/>
        <v>1</v>
      </c>
      <c r="W651" s="3">
        <v>1</v>
      </c>
      <c r="X651" s="3">
        <v>0</v>
      </c>
      <c r="Y651" s="3">
        <v>0</v>
      </c>
      <c r="Z651" s="3">
        <v>0</v>
      </c>
      <c r="AA651" s="3">
        <v>0</v>
      </c>
      <c r="AB651" s="3">
        <f t="shared" si="153"/>
        <v>1</v>
      </c>
      <c r="AC651" s="6">
        <f t="shared" si="146"/>
        <v>0</v>
      </c>
      <c r="AD651" s="6">
        <f t="shared" si="147"/>
        <v>0</v>
      </c>
      <c r="AE651" s="6">
        <f t="shared" si="148"/>
        <v>0</v>
      </c>
      <c r="AF651" s="6">
        <f t="shared" si="149"/>
        <v>0</v>
      </c>
      <c r="AG651" s="6">
        <f t="shared" si="150"/>
        <v>0</v>
      </c>
      <c r="AH651" s="6">
        <f t="shared" si="154"/>
        <v>0</v>
      </c>
      <c r="AI651" s="3"/>
      <c r="AJ651" s="3" t="e">
        <f>_xlfn.XLOOKUP(K651,工作表1!A:A,工作表1!C:C)</f>
        <v>#N/A</v>
      </c>
      <c r="AK651" s="3"/>
      <c r="AL651" s="6">
        <f t="shared" si="155"/>
        <v>1</v>
      </c>
      <c r="AM651" s="6">
        <f t="shared" si="156"/>
        <v>0</v>
      </c>
      <c r="AN651" s="6">
        <f t="shared" si="157"/>
        <v>0</v>
      </c>
      <c r="AO651" s="6">
        <f t="shared" si="158"/>
        <v>0</v>
      </c>
      <c r="AP651" s="6">
        <f t="shared" si="159"/>
        <v>0</v>
      </c>
      <c r="AQ651" s="6">
        <f t="shared" si="160"/>
        <v>1</v>
      </c>
      <c r="AR651" s="6"/>
      <c r="AS651" s="6"/>
      <c r="AT651" s="6"/>
      <c r="AU651" s="6">
        <v>1</v>
      </c>
      <c r="AV651" s="6"/>
      <c r="AW651" s="6"/>
      <c r="AX651" s="6"/>
      <c r="AY651" s="6"/>
      <c r="AZ651" s="6"/>
      <c r="BA651" s="6"/>
      <c r="BB651" s="6"/>
      <c r="BC651" s="6"/>
      <c r="BD651" s="6"/>
      <c r="BE651" s="6"/>
      <c r="BF651" s="6"/>
      <c r="BG651" s="6"/>
      <c r="BH651" s="6"/>
      <c r="BI651" s="6"/>
      <c r="BJ651" s="6"/>
      <c r="BK651" s="6"/>
      <c r="BL651" s="6"/>
      <c r="BM651" s="6"/>
      <c r="BN651" s="6"/>
      <c r="BO651" s="6"/>
      <c r="BP651" s="3">
        <v>1</v>
      </c>
      <c r="BQ651" s="6">
        <f t="shared" si="151"/>
        <v>1</v>
      </c>
      <c r="BV651">
        <v>1</v>
      </c>
    </row>
    <row r="652" spans="1:74" x14ac:dyDescent="0.3">
      <c r="A652" s="3" t="s">
        <v>931</v>
      </c>
      <c r="B652" s="3">
        <v>363</v>
      </c>
      <c r="C652" s="3" t="s">
        <v>1063</v>
      </c>
      <c r="D652" s="3">
        <v>4</v>
      </c>
      <c r="E652" s="3">
        <v>3</v>
      </c>
      <c r="F652" s="3" t="s">
        <v>41</v>
      </c>
      <c r="G652" s="3" t="s">
        <v>41</v>
      </c>
      <c r="H652" s="3" t="s">
        <v>1072</v>
      </c>
      <c r="I652" s="3"/>
      <c r="J652" s="3" t="s">
        <v>91</v>
      </c>
      <c r="K652" s="3" t="s">
        <v>1073</v>
      </c>
      <c r="L652" s="3" t="s">
        <v>24</v>
      </c>
      <c r="M652" s="3">
        <v>1</v>
      </c>
      <c r="N652" s="6"/>
      <c r="O652" s="3">
        <v>1</v>
      </c>
      <c r="P652" s="3">
        <v>1</v>
      </c>
      <c r="Q652" s="3">
        <v>1</v>
      </c>
      <c r="R652" s="3">
        <v>0</v>
      </c>
      <c r="S652" s="3">
        <v>0</v>
      </c>
      <c r="T652" s="3">
        <v>0</v>
      </c>
      <c r="U652" s="3">
        <v>0</v>
      </c>
      <c r="V652" s="3">
        <f t="shared" si="152"/>
        <v>1</v>
      </c>
      <c r="W652" s="3">
        <v>1</v>
      </c>
      <c r="X652" s="3">
        <v>0</v>
      </c>
      <c r="Y652" s="3">
        <v>0</v>
      </c>
      <c r="Z652" s="3">
        <v>0</v>
      </c>
      <c r="AA652" s="3">
        <v>0</v>
      </c>
      <c r="AB652" s="3">
        <f t="shared" si="153"/>
        <v>1</v>
      </c>
      <c r="AC652" s="6">
        <f t="shared" si="146"/>
        <v>0</v>
      </c>
      <c r="AD652" s="6">
        <f t="shared" si="147"/>
        <v>0</v>
      </c>
      <c r="AE652" s="6">
        <f t="shared" si="148"/>
        <v>0</v>
      </c>
      <c r="AF652" s="6">
        <f t="shared" si="149"/>
        <v>0</v>
      </c>
      <c r="AG652" s="6">
        <f t="shared" si="150"/>
        <v>0</v>
      </c>
      <c r="AH652" s="6">
        <f t="shared" si="154"/>
        <v>0</v>
      </c>
      <c r="AI652" s="3"/>
      <c r="AJ652" s="3" t="e">
        <f>_xlfn.XLOOKUP(K652,工作表1!A:A,工作表1!C:C)</f>
        <v>#N/A</v>
      </c>
      <c r="AK652" s="3"/>
      <c r="AL652" s="6">
        <f t="shared" si="155"/>
        <v>1</v>
      </c>
      <c r="AM652" s="6">
        <f t="shared" si="156"/>
        <v>0</v>
      </c>
      <c r="AN652" s="6">
        <f t="shared" si="157"/>
        <v>0</v>
      </c>
      <c r="AO652" s="6">
        <f t="shared" si="158"/>
        <v>0</v>
      </c>
      <c r="AP652" s="6">
        <f t="shared" si="159"/>
        <v>0</v>
      </c>
      <c r="AQ652" s="6">
        <f t="shared" si="160"/>
        <v>1</v>
      </c>
      <c r="AR652" s="6"/>
      <c r="AS652" s="6"/>
      <c r="AT652" s="6"/>
      <c r="AU652" s="6">
        <v>1</v>
      </c>
      <c r="AV652" s="6"/>
      <c r="AW652" s="6"/>
      <c r="AX652" s="6"/>
      <c r="AY652" s="6"/>
      <c r="AZ652" s="6"/>
      <c r="BA652" s="6"/>
      <c r="BB652" s="6"/>
      <c r="BC652" s="6"/>
      <c r="BD652" s="6"/>
      <c r="BE652" s="6"/>
      <c r="BF652" s="6"/>
      <c r="BG652" s="6"/>
      <c r="BH652" s="6"/>
      <c r="BI652" s="6"/>
      <c r="BJ652" s="6"/>
      <c r="BK652" s="6"/>
      <c r="BL652" s="6"/>
      <c r="BM652" s="6"/>
      <c r="BN652" s="6"/>
      <c r="BO652" s="6"/>
      <c r="BP652" s="3">
        <v>1</v>
      </c>
      <c r="BQ652" s="6">
        <f t="shared" si="151"/>
        <v>1</v>
      </c>
      <c r="BV652">
        <v>1</v>
      </c>
    </row>
    <row r="653" spans="1:74" x14ac:dyDescent="0.3">
      <c r="A653" s="3" t="s">
        <v>931</v>
      </c>
      <c r="B653" s="3">
        <v>372</v>
      </c>
      <c r="C653" s="3" t="s">
        <v>1074</v>
      </c>
      <c r="D653" s="3">
        <v>0.75</v>
      </c>
      <c r="E653" s="3" t="s">
        <v>19</v>
      </c>
      <c r="F653" s="3" t="s">
        <v>19</v>
      </c>
      <c r="G653" s="3" t="s">
        <v>19</v>
      </c>
      <c r="H653" s="3" t="s">
        <v>103</v>
      </c>
      <c r="I653" s="3"/>
      <c r="J653" s="3" t="s">
        <v>91</v>
      </c>
      <c r="K653" s="3" t="s">
        <v>1075</v>
      </c>
      <c r="L653" s="3" t="s">
        <v>24</v>
      </c>
      <c r="M653" s="3">
        <v>2</v>
      </c>
      <c r="N653" s="6"/>
      <c r="O653" s="3">
        <v>2</v>
      </c>
      <c r="P653" s="3">
        <v>2</v>
      </c>
      <c r="Q653" s="3">
        <v>2</v>
      </c>
      <c r="R653" s="3">
        <v>0</v>
      </c>
      <c r="S653" s="3">
        <v>0</v>
      </c>
      <c r="T653" s="3">
        <v>0</v>
      </c>
      <c r="U653" s="3">
        <v>0</v>
      </c>
      <c r="V653" s="3">
        <f t="shared" si="152"/>
        <v>2</v>
      </c>
      <c r="W653" s="3">
        <v>2</v>
      </c>
      <c r="X653" s="3">
        <v>0</v>
      </c>
      <c r="Y653" s="3">
        <v>0</v>
      </c>
      <c r="Z653" s="3">
        <v>0</v>
      </c>
      <c r="AA653" s="3">
        <v>0</v>
      </c>
      <c r="AB653" s="3">
        <f t="shared" si="153"/>
        <v>2</v>
      </c>
      <c r="AC653" s="6">
        <f t="shared" si="146"/>
        <v>-2</v>
      </c>
      <c r="AD653" s="6">
        <f t="shared" si="147"/>
        <v>0</v>
      </c>
      <c r="AE653" s="6">
        <f t="shared" si="148"/>
        <v>0</v>
      </c>
      <c r="AF653" s="6">
        <f t="shared" si="149"/>
        <v>0</v>
      </c>
      <c r="AG653" s="6">
        <f t="shared" si="150"/>
        <v>0</v>
      </c>
      <c r="AH653" s="6">
        <f t="shared" si="154"/>
        <v>-2</v>
      </c>
      <c r="AI653" s="3"/>
      <c r="AJ653" s="3" t="e">
        <f>_xlfn.XLOOKUP(K653,工作表1!A:A,工作表1!C:C)</f>
        <v>#N/A</v>
      </c>
      <c r="AK653" s="3"/>
      <c r="AL653" s="6">
        <f t="shared" si="155"/>
        <v>0</v>
      </c>
      <c r="AM653" s="6">
        <f t="shared" si="156"/>
        <v>0</v>
      </c>
      <c r="AN653" s="6">
        <f t="shared" si="157"/>
        <v>0</v>
      </c>
      <c r="AO653" s="6">
        <f t="shared" si="158"/>
        <v>0</v>
      </c>
      <c r="AP653" s="6">
        <f t="shared" si="159"/>
        <v>0</v>
      </c>
      <c r="AQ653" s="6">
        <f t="shared" si="160"/>
        <v>0</v>
      </c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  <c r="BC653" s="6"/>
      <c r="BD653" s="6"/>
      <c r="BE653" s="6"/>
      <c r="BF653" s="6"/>
      <c r="BG653" s="6"/>
      <c r="BH653" s="6"/>
      <c r="BI653" s="6"/>
      <c r="BJ653" s="6"/>
      <c r="BK653" s="6"/>
      <c r="BL653" s="6"/>
      <c r="BM653" s="6"/>
      <c r="BN653" s="6"/>
      <c r="BO653" s="6"/>
      <c r="BP653" s="3">
        <v>2</v>
      </c>
      <c r="BQ653" s="6">
        <f t="shared" si="151"/>
        <v>0</v>
      </c>
    </row>
    <row r="654" spans="1:74" x14ac:dyDescent="0.3">
      <c r="A654" s="3" t="s">
        <v>931</v>
      </c>
      <c r="B654" s="3">
        <v>372</v>
      </c>
      <c r="C654" s="3" t="s">
        <v>1076</v>
      </c>
      <c r="D654" s="3">
        <v>0.75</v>
      </c>
      <c r="E654" s="3" t="s">
        <v>19</v>
      </c>
      <c r="F654" s="3" t="s">
        <v>41</v>
      </c>
      <c r="G654" s="3" t="s">
        <v>19</v>
      </c>
      <c r="H654" s="3" t="s">
        <v>61</v>
      </c>
      <c r="I654" s="3">
        <v>5.56</v>
      </c>
      <c r="J654" s="3" t="s">
        <v>91</v>
      </c>
      <c r="K654" s="3" t="s">
        <v>1077</v>
      </c>
      <c r="L654" s="3" t="s">
        <v>24</v>
      </c>
      <c r="M654" s="3">
        <v>2</v>
      </c>
      <c r="N654" s="6"/>
      <c r="O654" s="3">
        <v>2</v>
      </c>
      <c r="P654" s="3">
        <v>2</v>
      </c>
      <c r="Q654" s="3">
        <v>2</v>
      </c>
      <c r="R654" s="3">
        <v>0</v>
      </c>
      <c r="S654" s="3">
        <v>0</v>
      </c>
      <c r="T654" s="3">
        <v>0</v>
      </c>
      <c r="U654" s="3">
        <v>0</v>
      </c>
      <c r="V654" s="3">
        <f t="shared" si="152"/>
        <v>2</v>
      </c>
      <c r="W654" s="3">
        <v>2</v>
      </c>
      <c r="X654" s="3">
        <v>0</v>
      </c>
      <c r="Y654" s="3">
        <v>0</v>
      </c>
      <c r="Z654" s="3">
        <v>0</v>
      </c>
      <c r="AA654" s="3">
        <v>0</v>
      </c>
      <c r="AB654" s="3">
        <f t="shared" si="153"/>
        <v>2</v>
      </c>
      <c r="AC654" s="6">
        <f t="shared" si="146"/>
        <v>0</v>
      </c>
      <c r="AD654" s="6">
        <f t="shared" si="147"/>
        <v>0</v>
      </c>
      <c r="AE654" s="6">
        <f t="shared" si="148"/>
        <v>0</v>
      </c>
      <c r="AF654" s="6">
        <f t="shared" si="149"/>
        <v>0</v>
      </c>
      <c r="AG654" s="6">
        <f t="shared" si="150"/>
        <v>0</v>
      </c>
      <c r="AH654" s="6">
        <f t="shared" si="154"/>
        <v>0</v>
      </c>
      <c r="AI654" s="3"/>
      <c r="AJ654" s="3" t="e">
        <f>_xlfn.XLOOKUP(K654,工作表1!A:A,工作表1!C:C)</f>
        <v>#N/A</v>
      </c>
      <c r="AK654" s="3"/>
      <c r="AL654" s="6">
        <f t="shared" si="155"/>
        <v>2</v>
      </c>
      <c r="AM654" s="6">
        <f t="shared" si="156"/>
        <v>0</v>
      </c>
      <c r="AN654" s="6">
        <f t="shared" si="157"/>
        <v>0</v>
      </c>
      <c r="AO654" s="6">
        <f t="shared" si="158"/>
        <v>0</v>
      </c>
      <c r="AP654" s="6">
        <f t="shared" si="159"/>
        <v>0</v>
      </c>
      <c r="AQ654" s="6">
        <f t="shared" si="160"/>
        <v>2</v>
      </c>
      <c r="AR654" s="6"/>
      <c r="AS654" s="6"/>
      <c r="AT654" s="6"/>
      <c r="AU654" s="6">
        <v>2</v>
      </c>
      <c r="AV654" s="6"/>
      <c r="AW654" s="6"/>
      <c r="AX654" s="6"/>
      <c r="AY654" s="6"/>
      <c r="AZ654" s="6"/>
      <c r="BA654" s="6"/>
      <c r="BB654" s="6"/>
      <c r="BC654" s="6"/>
      <c r="BD654" s="6"/>
      <c r="BE654" s="6"/>
      <c r="BF654" s="6"/>
      <c r="BG654" s="6"/>
      <c r="BH654" s="6"/>
      <c r="BI654" s="6"/>
      <c r="BJ654" s="6"/>
      <c r="BK654" s="6"/>
      <c r="BL654" s="6"/>
      <c r="BM654" s="6"/>
      <c r="BN654" s="6"/>
      <c r="BO654" s="6"/>
      <c r="BP654" s="3">
        <v>2</v>
      </c>
      <c r="BQ654" s="6">
        <f t="shared" si="151"/>
        <v>2</v>
      </c>
      <c r="BV654">
        <v>2</v>
      </c>
    </row>
    <row r="655" spans="1:74" x14ac:dyDescent="0.3">
      <c r="A655" s="3" t="s">
        <v>931</v>
      </c>
      <c r="B655" s="3">
        <v>372</v>
      </c>
      <c r="C655" s="3" t="s">
        <v>1078</v>
      </c>
      <c r="D655" s="3">
        <v>3</v>
      </c>
      <c r="E655" s="3" t="s">
        <v>19</v>
      </c>
      <c r="F655" s="3" t="s">
        <v>41</v>
      </c>
      <c r="G655" s="3" t="s">
        <v>19</v>
      </c>
      <c r="H655" s="3" t="s">
        <v>51</v>
      </c>
      <c r="I655" s="3">
        <v>11.13</v>
      </c>
      <c r="J655" s="3" t="s">
        <v>91</v>
      </c>
      <c r="K655" s="3" t="s">
        <v>1079</v>
      </c>
      <c r="L655" s="3" t="s">
        <v>24</v>
      </c>
      <c r="M655" s="3">
        <v>4</v>
      </c>
      <c r="N655" s="6"/>
      <c r="O655" s="3">
        <v>4</v>
      </c>
      <c r="P655" s="3">
        <v>4</v>
      </c>
      <c r="Q655" s="3">
        <v>4</v>
      </c>
      <c r="R655" s="3">
        <v>0</v>
      </c>
      <c r="S655" s="3">
        <v>0</v>
      </c>
      <c r="T655" s="3">
        <v>0</v>
      </c>
      <c r="U655" s="3">
        <v>0</v>
      </c>
      <c r="V655" s="3">
        <f t="shared" si="152"/>
        <v>4</v>
      </c>
      <c r="W655" s="3">
        <v>4</v>
      </c>
      <c r="X655" s="3">
        <v>0</v>
      </c>
      <c r="Y655" s="3">
        <v>0</v>
      </c>
      <c r="Z655" s="3">
        <v>0</v>
      </c>
      <c r="AA655" s="3">
        <v>0</v>
      </c>
      <c r="AB655" s="3">
        <f t="shared" si="153"/>
        <v>4</v>
      </c>
      <c r="AC655" s="6">
        <f t="shared" si="146"/>
        <v>0</v>
      </c>
      <c r="AD655" s="6">
        <f t="shared" si="147"/>
        <v>0</v>
      </c>
      <c r="AE655" s="6">
        <f t="shared" si="148"/>
        <v>0</v>
      </c>
      <c r="AF655" s="6">
        <f t="shared" si="149"/>
        <v>0</v>
      </c>
      <c r="AG655" s="6">
        <f t="shared" si="150"/>
        <v>0</v>
      </c>
      <c r="AH655" s="6">
        <f t="shared" si="154"/>
        <v>0</v>
      </c>
      <c r="AI655" s="3"/>
      <c r="AJ655" s="3" t="e">
        <f>_xlfn.XLOOKUP(K655,工作表1!A:A,工作表1!C:C)</f>
        <v>#N/A</v>
      </c>
      <c r="AK655" s="3"/>
      <c r="AL655" s="6">
        <f t="shared" si="155"/>
        <v>4</v>
      </c>
      <c r="AM655" s="6">
        <f t="shared" si="156"/>
        <v>0</v>
      </c>
      <c r="AN655" s="6">
        <f t="shared" si="157"/>
        <v>0</v>
      </c>
      <c r="AO655" s="6">
        <f t="shared" si="158"/>
        <v>0</v>
      </c>
      <c r="AP655" s="6">
        <f t="shared" si="159"/>
        <v>0</v>
      </c>
      <c r="AQ655" s="6">
        <f t="shared" si="160"/>
        <v>4</v>
      </c>
      <c r="AR655" s="6"/>
      <c r="AS655" s="6"/>
      <c r="AT655" s="6"/>
      <c r="AU655" s="6">
        <v>4</v>
      </c>
      <c r="AV655" s="6"/>
      <c r="AW655" s="6"/>
      <c r="AX655" s="6"/>
      <c r="AY655" s="6"/>
      <c r="AZ655" s="6"/>
      <c r="BA655" s="6"/>
      <c r="BB655" s="6"/>
      <c r="BC655" s="6"/>
      <c r="BD655" s="6"/>
      <c r="BE655" s="6"/>
      <c r="BF655" s="6"/>
      <c r="BG655" s="6"/>
      <c r="BH655" s="6"/>
      <c r="BI655" s="6"/>
      <c r="BJ655" s="6"/>
      <c r="BK655" s="6"/>
      <c r="BL655" s="6"/>
      <c r="BM655" s="6"/>
      <c r="BN655" s="6"/>
      <c r="BO655" s="6"/>
      <c r="BP655" s="3">
        <v>4</v>
      </c>
      <c r="BQ655" s="6">
        <f t="shared" si="151"/>
        <v>4</v>
      </c>
      <c r="BV655">
        <v>4</v>
      </c>
    </row>
    <row r="656" spans="1:74" x14ac:dyDescent="0.3">
      <c r="A656" s="3" t="s">
        <v>931</v>
      </c>
      <c r="B656" s="3">
        <v>411</v>
      </c>
      <c r="C656" s="3" t="s">
        <v>1080</v>
      </c>
      <c r="D656" s="3">
        <v>2</v>
      </c>
      <c r="E656" s="3" t="s">
        <v>19</v>
      </c>
      <c r="F656" s="3" t="s">
        <v>19</v>
      </c>
      <c r="G656" s="3" t="s">
        <v>19</v>
      </c>
      <c r="H656" s="3" t="s">
        <v>340</v>
      </c>
      <c r="I656" s="3"/>
      <c r="J656" s="3" t="s">
        <v>91</v>
      </c>
      <c r="K656" s="3" t="s">
        <v>1081</v>
      </c>
      <c r="L656" s="3" t="s">
        <v>335</v>
      </c>
      <c r="M656" s="3">
        <v>1</v>
      </c>
      <c r="N656" s="6"/>
      <c r="O656" s="3">
        <v>1</v>
      </c>
      <c r="P656" s="3">
        <v>1</v>
      </c>
      <c r="Q656" s="3">
        <v>1</v>
      </c>
      <c r="R656" s="3">
        <v>0</v>
      </c>
      <c r="S656" s="3">
        <v>0</v>
      </c>
      <c r="T656" s="3">
        <v>0</v>
      </c>
      <c r="U656" s="3">
        <v>0</v>
      </c>
      <c r="V656" s="3">
        <f t="shared" si="152"/>
        <v>1</v>
      </c>
      <c r="W656" s="3">
        <v>1</v>
      </c>
      <c r="X656" s="3">
        <v>0</v>
      </c>
      <c r="Y656" s="3">
        <v>0</v>
      </c>
      <c r="Z656" s="3">
        <v>0</v>
      </c>
      <c r="AA656" s="3">
        <v>0</v>
      </c>
      <c r="AB656" s="3">
        <f t="shared" si="153"/>
        <v>1</v>
      </c>
      <c r="AC656" s="6">
        <f t="shared" si="146"/>
        <v>-1</v>
      </c>
      <c r="AD656" s="6">
        <f t="shared" si="147"/>
        <v>0</v>
      </c>
      <c r="AE656" s="6">
        <f t="shared" si="148"/>
        <v>0</v>
      </c>
      <c r="AF656" s="6">
        <f t="shared" si="149"/>
        <v>0</v>
      </c>
      <c r="AG656" s="6">
        <f t="shared" si="150"/>
        <v>0</v>
      </c>
      <c r="AH656" s="6">
        <f t="shared" si="154"/>
        <v>-1</v>
      </c>
      <c r="AI656" s="3">
        <v>1</v>
      </c>
      <c r="AJ656" s="3" t="e">
        <f>_xlfn.XLOOKUP(K656,工作表1!A:A,工作表1!C:C)</f>
        <v>#N/A</v>
      </c>
      <c r="AK656" s="3"/>
      <c r="AL656" s="6">
        <f t="shared" si="155"/>
        <v>0</v>
      </c>
      <c r="AM656" s="6">
        <f t="shared" si="156"/>
        <v>0</v>
      </c>
      <c r="AN656" s="6">
        <f t="shared" si="157"/>
        <v>0</v>
      </c>
      <c r="AO656" s="6">
        <f t="shared" si="158"/>
        <v>0</v>
      </c>
      <c r="AP656" s="6">
        <f t="shared" si="159"/>
        <v>0</v>
      </c>
      <c r="AQ656" s="6">
        <f t="shared" si="160"/>
        <v>0</v>
      </c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  <c r="BC656" s="6"/>
      <c r="BD656" s="6"/>
      <c r="BE656" s="6"/>
      <c r="BF656" s="6"/>
      <c r="BG656" s="6"/>
      <c r="BH656" s="6"/>
      <c r="BI656" s="6"/>
      <c r="BJ656" s="6"/>
      <c r="BK656" s="6"/>
      <c r="BL656" s="6"/>
      <c r="BM656" s="6"/>
      <c r="BN656" s="6"/>
      <c r="BO656" s="6"/>
      <c r="BP656" s="3">
        <v>1</v>
      </c>
      <c r="BQ656" s="6">
        <f t="shared" si="151"/>
        <v>0</v>
      </c>
    </row>
    <row r="657" spans="1:73" x14ac:dyDescent="0.3">
      <c r="A657" s="3" t="s">
        <v>931</v>
      </c>
      <c r="B657" s="3">
        <v>411</v>
      </c>
      <c r="C657" s="3" t="s">
        <v>1080</v>
      </c>
      <c r="D657" s="3">
        <v>1</v>
      </c>
      <c r="E657" s="3" t="s">
        <v>19</v>
      </c>
      <c r="F657" s="3" t="s">
        <v>19</v>
      </c>
      <c r="G657" s="3" t="s">
        <v>19</v>
      </c>
      <c r="H657" s="3" t="s">
        <v>101</v>
      </c>
      <c r="I657" s="3"/>
      <c r="J657" s="3" t="s">
        <v>91</v>
      </c>
      <c r="K657" s="3" t="s">
        <v>1082</v>
      </c>
      <c r="L657" s="3" t="s">
        <v>335</v>
      </c>
      <c r="M657" s="3">
        <v>1</v>
      </c>
      <c r="N657" s="6"/>
      <c r="O657" s="3">
        <v>1</v>
      </c>
      <c r="P657" s="3">
        <v>1</v>
      </c>
      <c r="Q657" s="3">
        <v>1</v>
      </c>
      <c r="R657" s="3">
        <v>0</v>
      </c>
      <c r="S657" s="3">
        <v>0</v>
      </c>
      <c r="T657" s="3">
        <v>0</v>
      </c>
      <c r="U657" s="3">
        <v>0</v>
      </c>
      <c r="V657" s="3">
        <f t="shared" si="152"/>
        <v>1</v>
      </c>
      <c r="W657" s="3">
        <v>1</v>
      </c>
      <c r="X657" s="3">
        <v>0</v>
      </c>
      <c r="Y657" s="3">
        <v>0</v>
      </c>
      <c r="Z657" s="3">
        <v>0</v>
      </c>
      <c r="AA657" s="3">
        <v>0</v>
      </c>
      <c r="AB657" s="3">
        <f t="shared" si="153"/>
        <v>1</v>
      </c>
      <c r="AC657" s="6">
        <f t="shared" si="146"/>
        <v>-1</v>
      </c>
      <c r="AD657" s="6">
        <f t="shared" si="147"/>
        <v>0</v>
      </c>
      <c r="AE657" s="6">
        <f t="shared" si="148"/>
        <v>0</v>
      </c>
      <c r="AF657" s="6">
        <f t="shared" si="149"/>
        <v>0</v>
      </c>
      <c r="AG657" s="6">
        <f t="shared" si="150"/>
        <v>0</v>
      </c>
      <c r="AH657" s="6">
        <f t="shared" si="154"/>
        <v>-1</v>
      </c>
      <c r="AI657" s="3">
        <v>1</v>
      </c>
      <c r="AJ657" s="3" t="e">
        <f>_xlfn.XLOOKUP(K657,工作表1!A:A,工作表1!C:C)</f>
        <v>#N/A</v>
      </c>
      <c r="AK657" s="3"/>
      <c r="AL657" s="6">
        <f t="shared" si="155"/>
        <v>0</v>
      </c>
      <c r="AM657" s="6">
        <f t="shared" si="156"/>
        <v>0</v>
      </c>
      <c r="AN657" s="6">
        <f t="shared" si="157"/>
        <v>0</v>
      </c>
      <c r="AO657" s="6">
        <f t="shared" si="158"/>
        <v>0</v>
      </c>
      <c r="AP657" s="6">
        <f t="shared" si="159"/>
        <v>0</v>
      </c>
      <c r="AQ657" s="6">
        <f t="shared" si="160"/>
        <v>0</v>
      </c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  <c r="BC657" s="6"/>
      <c r="BD657" s="6"/>
      <c r="BE657" s="6"/>
      <c r="BF657" s="6"/>
      <c r="BG657" s="6"/>
      <c r="BH657" s="6"/>
      <c r="BI657" s="6"/>
      <c r="BJ657" s="6"/>
      <c r="BK657" s="6"/>
      <c r="BL657" s="6"/>
      <c r="BM657" s="6"/>
      <c r="BN657" s="6"/>
      <c r="BO657" s="6"/>
      <c r="BP657" s="3">
        <v>1</v>
      </c>
      <c r="BQ657" s="6">
        <f t="shared" si="151"/>
        <v>0</v>
      </c>
    </row>
    <row r="658" spans="1:73" x14ac:dyDescent="0.3">
      <c r="A658" s="3" t="s">
        <v>931</v>
      </c>
      <c r="B658" s="3">
        <v>411</v>
      </c>
      <c r="C658" s="3" t="s">
        <v>1083</v>
      </c>
      <c r="D658" s="3">
        <v>2</v>
      </c>
      <c r="E658" s="3" t="s">
        <v>19</v>
      </c>
      <c r="F658" s="3" t="s">
        <v>19</v>
      </c>
      <c r="G658" s="3" t="s">
        <v>19</v>
      </c>
      <c r="H658" s="3" t="s">
        <v>340</v>
      </c>
      <c r="I658" s="3"/>
      <c r="J658" s="3" t="s">
        <v>91</v>
      </c>
      <c r="K658" s="3" t="s">
        <v>1084</v>
      </c>
      <c r="L658" s="3" t="s">
        <v>335</v>
      </c>
      <c r="M658" s="3">
        <v>2</v>
      </c>
      <c r="N658" s="6"/>
      <c r="O658" s="3">
        <v>2</v>
      </c>
      <c r="P658" s="3">
        <v>2</v>
      </c>
      <c r="Q658" s="3">
        <v>2</v>
      </c>
      <c r="R658" s="3">
        <v>0</v>
      </c>
      <c r="S658" s="3">
        <v>0</v>
      </c>
      <c r="T658" s="3">
        <v>0</v>
      </c>
      <c r="U658" s="3">
        <v>0</v>
      </c>
      <c r="V658" s="3">
        <f t="shared" si="152"/>
        <v>2</v>
      </c>
      <c r="W658" s="3">
        <v>2</v>
      </c>
      <c r="X658" s="3">
        <v>0</v>
      </c>
      <c r="Y658" s="3">
        <v>0</v>
      </c>
      <c r="Z658" s="3">
        <v>0</v>
      </c>
      <c r="AA658" s="3">
        <v>0</v>
      </c>
      <c r="AB658" s="3">
        <f t="shared" si="153"/>
        <v>2</v>
      </c>
      <c r="AC658" s="6">
        <f t="shared" si="146"/>
        <v>-2</v>
      </c>
      <c r="AD658" s="6">
        <f t="shared" si="147"/>
        <v>0</v>
      </c>
      <c r="AE658" s="6">
        <f t="shared" si="148"/>
        <v>0</v>
      </c>
      <c r="AF658" s="6">
        <f t="shared" si="149"/>
        <v>0</v>
      </c>
      <c r="AG658" s="6">
        <f t="shared" si="150"/>
        <v>0</v>
      </c>
      <c r="AH658" s="6">
        <f t="shared" si="154"/>
        <v>-2</v>
      </c>
      <c r="AI658" s="3">
        <v>2</v>
      </c>
      <c r="AJ658" s="3" t="e">
        <f>_xlfn.XLOOKUP(K658,工作表1!A:A,工作表1!C:C)</f>
        <v>#N/A</v>
      </c>
      <c r="AK658" s="3"/>
      <c r="AL658" s="6">
        <f t="shared" si="155"/>
        <v>0</v>
      </c>
      <c r="AM658" s="6">
        <f t="shared" si="156"/>
        <v>0</v>
      </c>
      <c r="AN658" s="6">
        <f t="shared" si="157"/>
        <v>0</v>
      </c>
      <c r="AO658" s="6">
        <f t="shared" si="158"/>
        <v>0</v>
      </c>
      <c r="AP658" s="6">
        <f t="shared" si="159"/>
        <v>0</v>
      </c>
      <c r="AQ658" s="6">
        <f t="shared" si="160"/>
        <v>0</v>
      </c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  <c r="BC658" s="6"/>
      <c r="BD658" s="6"/>
      <c r="BE658" s="6"/>
      <c r="BF658" s="6"/>
      <c r="BG658" s="6"/>
      <c r="BH658" s="6"/>
      <c r="BI658" s="6"/>
      <c r="BJ658" s="6"/>
      <c r="BK658" s="6"/>
      <c r="BL658" s="6"/>
      <c r="BM658" s="6"/>
      <c r="BN658" s="6"/>
      <c r="BO658" s="6"/>
      <c r="BP658" s="3">
        <v>2</v>
      </c>
      <c r="BQ658" s="6">
        <f t="shared" si="151"/>
        <v>0</v>
      </c>
    </row>
    <row r="659" spans="1:73" x14ac:dyDescent="0.3">
      <c r="A659" s="3" t="s">
        <v>931</v>
      </c>
      <c r="B659" s="3">
        <v>411</v>
      </c>
      <c r="C659" s="3" t="s">
        <v>1083</v>
      </c>
      <c r="D659" s="3">
        <v>1</v>
      </c>
      <c r="E659" s="3" t="s">
        <v>19</v>
      </c>
      <c r="F659" s="3" t="s">
        <v>19</v>
      </c>
      <c r="G659" s="3" t="s">
        <v>19</v>
      </c>
      <c r="H659" s="3" t="s">
        <v>101</v>
      </c>
      <c r="I659" s="3"/>
      <c r="J659" s="3" t="s">
        <v>91</v>
      </c>
      <c r="K659" s="3" t="s">
        <v>1085</v>
      </c>
      <c r="L659" s="3" t="s">
        <v>335</v>
      </c>
      <c r="M659" s="3">
        <v>7</v>
      </c>
      <c r="N659" s="6"/>
      <c r="O659" s="3">
        <v>7</v>
      </c>
      <c r="P659" s="3">
        <v>7</v>
      </c>
      <c r="Q659" s="3">
        <v>7</v>
      </c>
      <c r="R659" s="3">
        <v>0</v>
      </c>
      <c r="S659" s="3">
        <v>0</v>
      </c>
      <c r="T659" s="3">
        <v>0</v>
      </c>
      <c r="U659" s="3">
        <v>0</v>
      </c>
      <c r="V659" s="3">
        <f t="shared" si="152"/>
        <v>7</v>
      </c>
      <c r="W659" s="3">
        <v>7</v>
      </c>
      <c r="X659" s="3">
        <v>0</v>
      </c>
      <c r="Y659" s="3">
        <v>0</v>
      </c>
      <c r="Z659" s="3">
        <v>0</v>
      </c>
      <c r="AA659" s="3">
        <v>0</v>
      </c>
      <c r="AB659" s="3">
        <f t="shared" si="153"/>
        <v>7</v>
      </c>
      <c r="AC659" s="6">
        <f t="shared" si="146"/>
        <v>-7</v>
      </c>
      <c r="AD659" s="6">
        <f t="shared" si="147"/>
        <v>0</v>
      </c>
      <c r="AE659" s="6">
        <f t="shared" si="148"/>
        <v>0</v>
      </c>
      <c r="AF659" s="6">
        <f t="shared" si="149"/>
        <v>0</v>
      </c>
      <c r="AG659" s="6">
        <f t="shared" si="150"/>
        <v>0</v>
      </c>
      <c r="AH659" s="6">
        <f t="shared" si="154"/>
        <v>-7</v>
      </c>
      <c r="AI659" s="3">
        <v>7</v>
      </c>
      <c r="AJ659" s="3" t="e">
        <f>_xlfn.XLOOKUP(K659,工作表1!A:A,工作表1!C:C)</f>
        <v>#N/A</v>
      </c>
      <c r="AK659" s="3"/>
      <c r="AL659" s="6">
        <f t="shared" si="155"/>
        <v>0</v>
      </c>
      <c r="AM659" s="6">
        <f t="shared" si="156"/>
        <v>0</v>
      </c>
      <c r="AN659" s="6">
        <f t="shared" si="157"/>
        <v>0</v>
      </c>
      <c r="AO659" s="6">
        <f t="shared" si="158"/>
        <v>0</v>
      </c>
      <c r="AP659" s="6">
        <f t="shared" si="159"/>
        <v>0</v>
      </c>
      <c r="AQ659" s="6">
        <f t="shared" si="160"/>
        <v>0</v>
      </c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  <c r="BC659" s="6"/>
      <c r="BD659" s="6"/>
      <c r="BE659" s="6"/>
      <c r="BF659" s="6"/>
      <c r="BG659" s="6"/>
      <c r="BH659" s="6"/>
      <c r="BI659" s="6"/>
      <c r="BJ659" s="6"/>
      <c r="BK659" s="6"/>
      <c r="BL659" s="6"/>
      <c r="BM659" s="6"/>
      <c r="BN659" s="6"/>
      <c r="BO659" s="6"/>
      <c r="BP659" s="3">
        <v>7</v>
      </c>
      <c r="BQ659" s="6">
        <f t="shared" si="151"/>
        <v>0</v>
      </c>
    </row>
    <row r="660" spans="1:73" x14ac:dyDescent="0.3">
      <c r="A660" s="3" t="s">
        <v>931</v>
      </c>
      <c r="B660" s="3">
        <v>411</v>
      </c>
      <c r="C660" s="3" t="s">
        <v>1083</v>
      </c>
      <c r="D660" s="3">
        <v>0.75</v>
      </c>
      <c r="E660" s="3" t="s">
        <v>19</v>
      </c>
      <c r="F660" s="3" t="s">
        <v>19</v>
      </c>
      <c r="G660" s="3" t="s">
        <v>19</v>
      </c>
      <c r="H660" s="3" t="s">
        <v>103</v>
      </c>
      <c r="I660" s="3"/>
      <c r="J660" s="3" t="s">
        <v>91</v>
      </c>
      <c r="K660" s="3" t="s">
        <v>1086</v>
      </c>
      <c r="L660" s="3" t="s">
        <v>335</v>
      </c>
      <c r="M660" s="3">
        <v>22</v>
      </c>
      <c r="N660" s="6"/>
      <c r="O660" s="3">
        <v>7</v>
      </c>
      <c r="P660" s="3">
        <v>7</v>
      </c>
      <c r="Q660" s="3">
        <v>7</v>
      </c>
      <c r="R660" s="3">
        <v>0</v>
      </c>
      <c r="S660" s="3">
        <v>0</v>
      </c>
      <c r="T660" s="3">
        <v>0</v>
      </c>
      <c r="U660" s="3">
        <v>0</v>
      </c>
      <c r="V660" s="3">
        <f t="shared" si="152"/>
        <v>7</v>
      </c>
      <c r="W660" s="3">
        <v>7</v>
      </c>
      <c r="X660" s="3">
        <v>0</v>
      </c>
      <c r="Y660" s="3">
        <v>0</v>
      </c>
      <c r="Z660" s="3">
        <v>0</v>
      </c>
      <c r="AA660" s="3">
        <v>0</v>
      </c>
      <c r="AB660" s="3">
        <f t="shared" si="153"/>
        <v>7</v>
      </c>
      <c r="AC660" s="6">
        <f t="shared" si="146"/>
        <v>-7</v>
      </c>
      <c r="AD660" s="6">
        <f t="shared" si="147"/>
        <v>0</v>
      </c>
      <c r="AE660" s="6">
        <f t="shared" si="148"/>
        <v>0</v>
      </c>
      <c r="AF660" s="6">
        <f t="shared" si="149"/>
        <v>0</v>
      </c>
      <c r="AG660" s="6">
        <f t="shared" si="150"/>
        <v>0</v>
      </c>
      <c r="AH660" s="6">
        <f t="shared" si="154"/>
        <v>-7</v>
      </c>
      <c r="AI660" s="3">
        <v>7</v>
      </c>
      <c r="AJ660" s="3" t="e">
        <f>_xlfn.XLOOKUP(K660,工作表1!A:A,工作表1!C:C)</f>
        <v>#N/A</v>
      </c>
      <c r="AK660" s="3"/>
      <c r="AL660" s="6">
        <f t="shared" si="155"/>
        <v>0</v>
      </c>
      <c r="AM660" s="6">
        <f t="shared" si="156"/>
        <v>0</v>
      </c>
      <c r="AN660" s="6">
        <f t="shared" si="157"/>
        <v>0</v>
      </c>
      <c r="AO660" s="6">
        <f t="shared" si="158"/>
        <v>0</v>
      </c>
      <c r="AP660" s="6">
        <f t="shared" si="159"/>
        <v>0</v>
      </c>
      <c r="AQ660" s="6">
        <f t="shared" si="160"/>
        <v>0</v>
      </c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  <c r="BC660" s="6"/>
      <c r="BD660" s="6"/>
      <c r="BE660" s="6"/>
      <c r="BF660" s="6"/>
      <c r="BG660" s="6"/>
      <c r="BH660" s="6"/>
      <c r="BI660" s="6"/>
      <c r="BJ660" s="6"/>
      <c r="BK660" s="6"/>
      <c r="BL660" s="6"/>
      <c r="BM660" s="6"/>
      <c r="BN660" s="6"/>
      <c r="BO660" s="6"/>
      <c r="BP660" s="3">
        <v>7</v>
      </c>
      <c r="BQ660" s="6">
        <f t="shared" si="151"/>
        <v>0</v>
      </c>
    </row>
    <row r="661" spans="1:73" x14ac:dyDescent="0.3">
      <c r="A661" s="3" t="s">
        <v>931</v>
      </c>
      <c r="B661" s="3">
        <v>411</v>
      </c>
      <c r="C661" s="3" t="s">
        <v>1087</v>
      </c>
      <c r="D661" s="3">
        <v>2</v>
      </c>
      <c r="E661" s="3" t="s">
        <v>19</v>
      </c>
      <c r="F661" s="3" t="s">
        <v>19</v>
      </c>
      <c r="G661" s="3" t="s">
        <v>19</v>
      </c>
      <c r="H661" s="3" t="s">
        <v>340</v>
      </c>
      <c r="I661" s="3"/>
      <c r="J661" s="3" t="s">
        <v>91</v>
      </c>
      <c r="K661" s="3" t="s">
        <v>1088</v>
      </c>
      <c r="L661" s="3" t="s">
        <v>335</v>
      </c>
      <c r="M661" s="3">
        <v>1</v>
      </c>
      <c r="N661" s="6"/>
      <c r="O661" s="3">
        <v>1</v>
      </c>
      <c r="P661" s="3">
        <v>1</v>
      </c>
      <c r="Q661" s="3">
        <v>1</v>
      </c>
      <c r="R661" s="3">
        <v>0</v>
      </c>
      <c r="S661" s="3">
        <v>0</v>
      </c>
      <c r="T661" s="3">
        <v>0</v>
      </c>
      <c r="U661" s="3">
        <v>0</v>
      </c>
      <c r="V661" s="3">
        <f t="shared" si="152"/>
        <v>1</v>
      </c>
      <c r="W661" s="3">
        <v>1</v>
      </c>
      <c r="X661" s="3">
        <v>0</v>
      </c>
      <c r="Y661" s="3">
        <v>0</v>
      </c>
      <c r="Z661" s="3">
        <v>0</v>
      </c>
      <c r="AA661" s="3">
        <v>0</v>
      </c>
      <c r="AB661" s="3">
        <f t="shared" si="153"/>
        <v>1</v>
      </c>
      <c r="AC661" s="6">
        <f t="shared" si="146"/>
        <v>-1</v>
      </c>
      <c r="AD661" s="6">
        <f t="shared" si="147"/>
        <v>0</v>
      </c>
      <c r="AE661" s="6">
        <f t="shared" si="148"/>
        <v>0</v>
      </c>
      <c r="AF661" s="6">
        <f t="shared" si="149"/>
        <v>0</v>
      </c>
      <c r="AG661" s="6">
        <f t="shared" si="150"/>
        <v>0</v>
      </c>
      <c r="AH661" s="6">
        <f t="shared" si="154"/>
        <v>-1</v>
      </c>
      <c r="AI661" s="3">
        <v>1</v>
      </c>
      <c r="AJ661" s="3" t="e">
        <f>_xlfn.XLOOKUP(K661,工作表1!A:A,工作表1!C:C)</f>
        <v>#N/A</v>
      </c>
      <c r="AK661" s="3"/>
      <c r="AL661" s="6">
        <f t="shared" si="155"/>
        <v>0</v>
      </c>
      <c r="AM661" s="6">
        <f t="shared" si="156"/>
        <v>0</v>
      </c>
      <c r="AN661" s="6">
        <f t="shared" si="157"/>
        <v>0</v>
      </c>
      <c r="AO661" s="6">
        <f t="shared" si="158"/>
        <v>0</v>
      </c>
      <c r="AP661" s="6">
        <f t="shared" si="159"/>
        <v>0</v>
      </c>
      <c r="AQ661" s="6">
        <f t="shared" si="160"/>
        <v>0</v>
      </c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  <c r="BC661" s="6"/>
      <c r="BD661" s="6"/>
      <c r="BE661" s="6"/>
      <c r="BF661" s="6"/>
      <c r="BG661" s="6"/>
      <c r="BH661" s="6"/>
      <c r="BI661" s="6"/>
      <c r="BJ661" s="6"/>
      <c r="BK661" s="6"/>
      <c r="BL661" s="6"/>
      <c r="BM661" s="6"/>
      <c r="BN661" s="6"/>
      <c r="BO661" s="6"/>
      <c r="BP661" s="3">
        <v>1</v>
      </c>
      <c r="BQ661" s="6">
        <f t="shared" si="151"/>
        <v>0</v>
      </c>
    </row>
    <row r="662" spans="1:73" x14ac:dyDescent="0.3">
      <c r="A662" s="3" t="s">
        <v>931</v>
      </c>
      <c r="B662" s="3">
        <v>412</v>
      </c>
      <c r="C662" s="3" t="s">
        <v>1089</v>
      </c>
      <c r="D662" s="3">
        <v>2</v>
      </c>
      <c r="E662" s="3" t="s">
        <v>19</v>
      </c>
      <c r="F662" s="3" t="s">
        <v>752</v>
      </c>
      <c r="G662" s="3" t="s">
        <v>19</v>
      </c>
      <c r="H662" s="3" t="s">
        <v>790</v>
      </c>
      <c r="I662" s="3">
        <v>5.54</v>
      </c>
      <c r="J662" s="3" t="s">
        <v>91</v>
      </c>
      <c r="K662" s="3" t="s">
        <v>1090</v>
      </c>
      <c r="L662" s="3" t="s">
        <v>24</v>
      </c>
      <c r="M662" s="3">
        <v>1</v>
      </c>
      <c r="N662" s="6"/>
      <c r="O662" s="3">
        <v>1</v>
      </c>
      <c r="P662" s="3">
        <v>1</v>
      </c>
      <c r="Q662" s="3">
        <v>1</v>
      </c>
      <c r="R662" s="3">
        <v>0</v>
      </c>
      <c r="S662" s="3">
        <v>0</v>
      </c>
      <c r="T662" s="3">
        <v>0</v>
      </c>
      <c r="U662" s="3">
        <v>0</v>
      </c>
      <c r="V662" s="3">
        <f t="shared" si="152"/>
        <v>1</v>
      </c>
      <c r="W662" s="3">
        <v>1</v>
      </c>
      <c r="X662" s="3">
        <v>0</v>
      </c>
      <c r="Y662" s="3">
        <v>0</v>
      </c>
      <c r="Z662" s="3">
        <v>0</v>
      </c>
      <c r="AA662" s="3">
        <v>0</v>
      </c>
      <c r="AB662" s="3">
        <f t="shared" si="153"/>
        <v>1</v>
      </c>
      <c r="AC662" s="6">
        <f t="shared" si="146"/>
        <v>0</v>
      </c>
      <c r="AD662" s="6">
        <f t="shared" si="147"/>
        <v>0</v>
      </c>
      <c r="AE662" s="6">
        <f t="shared" si="148"/>
        <v>0</v>
      </c>
      <c r="AF662" s="6">
        <f t="shared" si="149"/>
        <v>0</v>
      </c>
      <c r="AG662" s="6">
        <f t="shared" si="150"/>
        <v>0</v>
      </c>
      <c r="AH662" s="6">
        <f t="shared" si="154"/>
        <v>0</v>
      </c>
      <c r="AI662" s="3"/>
      <c r="AJ662" s="3" t="e">
        <f>_xlfn.XLOOKUP(K662,工作表1!A:A,工作表1!C:C)</f>
        <v>#N/A</v>
      </c>
      <c r="AK662" s="3"/>
      <c r="AL662" s="6">
        <f t="shared" si="155"/>
        <v>1</v>
      </c>
      <c r="AM662" s="6">
        <f t="shared" si="156"/>
        <v>0</v>
      </c>
      <c r="AN662" s="6">
        <f t="shared" si="157"/>
        <v>0</v>
      </c>
      <c r="AO662" s="6">
        <f t="shared" si="158"/>
        <v>0</v>
      </c>
      <c r="AP662" s="6">
        <f t="shared" si="159"/>
        <v>0</v>
      </c>
      <c r="AQ662" s="6">
        <f t="shared" si="160"/>
        <v>1</v>
      </c>
      <c r="AR662" s="6"/>
      <c r="AS662" s="6"/>
      <c r="AT662" s="6">
        <v>1</v>
      </c>
      <c r="AU662" s="6"/>
      <c r="AV662" s="6"/>
      <c r="AW662" s="6"/>
      <c r="AX662" s="6"/>
      <c r="AY662" s="6"/>
      <c r="AZ662" s="6"/>
      <c r="BA662" s="6"/>
      <c r="BB662" s="6"/>
      <c r="BC662" s="6"/>
      <c r="BD662" s="6"/>
      <c r="BE662" s="6"/>
      <c r="BF662" s="6"/>
      <c r="BG662" s="6"/>
      <c r="BH662" s="6"/>
      <c r="BI662" s="6"/>
      <c r="BJ662" s="6"/>
      <c r="BK662" s="6"/>
      <c r="BL662" s="6"/>
      <c r="BM662" s="6"/>
      <c r="BN662" s="6"/>
      <c r="BO662" s="6"/>
      <c r="BP662" s="3">
        <v>1</v>
      </c>
      <c r="BQ662" s="6">
        <f t="shared" si="151"/>
        <v>1</v>
      </c>
      <c r="BU662">
        <v>1</v>
      </c>
    </row>
    <row r="663" spans="1:73" x14ac:dyDescent="0.3">
      <c r="A663" s="3" t="s">
        <v>931</v>
      </c>
      <c r="B663" s="3">
        <v>412</v>
      </c>
      <c r="C663" s="3" t="s">
        <v>1089</v>
      </c>
      <c r="D663" s="3">
        <v>1</v>
      </c>
      <c r="E663" s="3" t="s">
        <v>19</v>
      </c>
      <c r="F663" s="3" t="s">
        <v>752</v>
      </c>
      <c r="G663" s="3" t="s">
        <v>19</v>
      </c>
      <c r="H663" s="3" t="s">
        <v>797</v>
      </c>
      <c r="I663" s="3">
        <v>4.55</v>
      </c>
      <c r="J663" s="3" t="s">
        <v>91</v>
      </c>
      <c r="K663" s="3" t="s">
        <v>1091</v>
      </c>
      <c r="L663" s="3" t="s">
        <v>24</v>
      </c>
      <c r="M663" s="3">
        <v>7</v>
      </c>
      <c r="N663" s="6"/>
      <c r="O663" s="3">
        <v>1</v>
      </c>
      <c r="P663" s="3">
        <v>7</v>
      </c>
      <c r="Q663" s="3">
        <v>7</v>
      </c>
      <c r="R663" s="3">
        <v>0</v>
      </c>
      <c r="S663" s="3">
        <v>0</v>
      </c>
      <c r="T663" s="3">
        <v>0</v>
      </c>
      <c r="U663" s="3">
        <v>0</v>
      </c>
      <c r="V663" s="3">
        <f t="shared" si="152"/>
        <v>7</v>
      </c>
      <c r="W663" s="3">
        <v>7</v>
      </c>
      <c r="X663" s="3">
        <v>0</v>
      </c>
      <c r="Y663" s="3">
        <v>0</v>
      </c>
      <c r="Z663" s="3">
        <v>0</v>
      </c>
      <c r="AA663" s="3">
        <v>0</v>
      </c>
      <c r="AB663" s="3">
        <f t="shared" si="153"/>
        <v>7</v>
      </c>
      <c r="AC663" s="6">
        <f t="shared" ref="AC663:AC726" si="161">AL663-W663</f>
        <v>-6</v>
      </c>
      <c r="AD663" s="6">
        <f t="shared" ref="AD663:AD726" si="162">AM663-X663</f>
        <v>0</v>
      </c>
      <c r="AE663" s="6">
        <f t="shared" ref="AE663:AE726" si="163">AN663-Y663</f>
        <v>0</v>
      </c>
      <c r="AF663" s="6">
        <f t="shared" ref="AF663:AF726" si="164">AO663-Z663</f>
        <v>0</v>
      </c>
      <c r="AG663" s="6">
        <f t="shared" ref="AG663:AG726" si="165">AP663-AA663</f>
        <v>0</v>
      </c>
      <c r="AH663" s="6">
        <f t="shared" si="154"/>
        <v>-6</v>
      </c>
      <c r="AI663" s="3"/>
      <c r="AJ663" s="3" t="e">
        <f>_xlfn.XLOOKUP(K663,工作表1!A:A,工作表1!C:C)</f>
        <v>#N/A</v>
      </c>
      <c r="AK663" s="3"/>
      <c r="AL663" s="6">
        <f t="shared" si="155"/>
        <v>1</v>
      </c>
      <c r="AM663" s="6">
        <f t="shared" si="156"/>
        <v>0</v>
      </c>
      <c r="AN663" s="6">
        <f t="shared" si="157"/>
        <v>0</v>
      </c>
      <c r="AO663" s="6">
        <f t="shared" si="158"/>
        <v>0</v>
      </c>
      <c r="AP663" s="6">
        <f t="shared" si="159"/>
        <v>0</v>
      </c>
      <c r="AQ663" s="6">
        <f t="shared" si="160"/>
        <v>1</v>
      </c>
      <c r="AR663" s="6"/>
      <c r="AS663" s="6"/>
      <c r="AT663" s="6">
        <v>1</v>
      </c>
      <c r="AU663" s="6"/>
      <c r="AV663" s="6"/>
      <c r="AW663" s="6"/>
      <c r="AX663" s="6"/>
      <c r="AY663" s="6"/>
      <c r="AZ663" s="6"/>
      <c r="BA663" s="6"/>
      <c r="BB663" s="6"/>
      <c r="BC663" s="6"/>
      <c r="BD663" s="6"/>
      <c r="BE663" s="6"/>
      <c r="BF663" s="6"/>
      <c r="BG663" s="6"/>
      <c r="BH663" s="6"/>
      <c r="BI663" s="6"/>
      <c r="BJ663" s="6"/>
      <c r="BK663" s="6"/>
      <c r="BL663" s="6"/>
      <c r="BM663" s="6"/>
      <c r="BN663" s="6"/>
      <c r="BO663" s="6"/>
      <c r="BP663" s="3">
        <v>7</v>
      </c>
      <c r="BQ663" s="6">
        <f t="shared" si="151"/>
        <v>1</v>
      </c>
      <c r="BU663">
        <v>1</v>
      </c>
    </row>
    <row r="664" spans="1:73" x14ac:dyDescent="0.3">
      <c r="A664" s="3" t="s">
        <v>931</v>
      </c>
      <c r="B664" s="3">
        <v>412</v>
      </c>
      <c r="C664" s="3" t="s">
        <v>1089</v>
      </c>
      <c r="D664" s="3">
        <v>0.75</v>
      </c>
      <c r="E664" s="3" t="s">
        <v>19</v>
      </c>
      <c r="F664" s="3" t="s">
        <v>752</v>
      </c>
      <c r="G664" s="3" t="s">
        <v>19</v>
      </c>
      <c r="H664" s="3" t="s">
        <v>799</v>
      </c>
      <c r="I664" s="3">
        <v>3.91</v>
      </c>
      <c r="J664" s="3" t="s">
        <v>91</v>
      </c>
      <c r="K664" s="3" t="s">
        <v>1092</v>
      </c>
      <c r="L664" s="3" t="s">
        <v>24</v>
      </c>
      <c r="M664" s="3">
        <v>1</v>
      </c>
      <c r="N664" s="6"/>
      <c r="O664" s="3">
        <v>1</v>
      </c>
      <c r="P664" s="3">
        <v>1</v>
      </c>
      <c r="Q664" s="3">
        <v>1</v>
      </c>
      <c r="R664" s="3">
        <v>0</v>
      </c>
      <c r="S664" s="3">
        <v>0</v>
      </c>
      <c r="T664" s="3">
        <v>0</v>
      </c>
      <c r="U664" s="3">
        <v>0</v>
      </c>
      <c r="V664" s="3">
        <f t="shared" si="152"/>
        <v>1</v>
      </c>
      <c r="W664" s="3">
        <v>1</v>
      </c>
      <c r="X664" s="3">
        <v>0</v>
      </c>
      <c r="Y664" s="3">
        <v>0</v>
      </c>
      <c r="Z664" s="3">
        <v>0</v>
      </c>
      <c r="AA664" s="3">
        <v>0</v>
      </c>
      <c r="AB664" s="3">
        <f t="shared" si="153"/>
        <v>1</v>
      </c>
      <c r="AC664" s="6">
        <f t="shared" si="161"/>
        <v>0</v>
      </c>
      <c r="AD664" s="6">
        <f t="shared" si="162"/>
        <v>0</v>
      </c>
      <c r="AE664" s="6">
        <f t="shared" si="163"/>
        <v>0</v>
      </c>
      <c r="AF664" s="6">
        <f t="shared" si="164"/>
        <v>0</v>
      </c>
      <c r="AG664" s="6">
        <f t="shared" si="165"/>
        <v>0</v>
      </c>
      <c r="AH664" s="6">
        <f t="shared" si="154"/>
        <v>0</v>
      </c>
      <c r="AI664" s="3"/>
      <c r="AJ664" s="3" t="e">
        <f>_xlfn.XLOOKUP(K664,工作表1!A:A,工作表1!C:C)</f>
        <v>#N/A</v>
      </c>
      <c r="AK664" s="3"/>
      <c r="AL664" s="6">
        <f t="shared" si="155"/>
        <v>1</v>
      </c>
      <c r="AM664" s="6">
        <f t="shared" si="156"/>
        <v>0</v>
      </c>
      <c r="AN664" s="6">
        <f t="shared" si="157"/>
        <v>0</v>
      </c>
      <c r="AO664" s="6">
        <f t="shared" si="158"/>
        <v>0</v>
      </c>
      <c r="AP664" s="6">
        <f t="shared" si="159"/>
        <v>0</v>
      </c>
      <c r="AQ664" s="6">
        <f t="shared" si="160"/>
        <v>1</v>
      </c>
      <c r="AR664" s="6"/>
      <c r="AS664" s="6"/>
      <c r="AT664" s="6">
        <v>1</v>
      </c>
      <c r="AU664" s="6"/>
      <c r="AV664" s="6"/>
      <c r="AW664" s="6"/>
      <c r="AX664" s="6"/>
      <c r="AY664" s="6"/>
      <c r="AZ664" s="6"/>
      <c r="BA664" s="6"/>
      <c r="BB664" s="6"/>
      <c r="BC664" s="6"/>
      <c r="BD664" s="6"/>
      <c r="BE664" s="6"/>
      <c r="BF664" s="6"/>
      <c r="BG664" s="6"/>
      <c r="BH664" s="6"/>
      <c r="BI664" s="6"/>
      <c r="BJ664" s="6"/>
      <c r="BK664" s="6"/>
      <c r="BL664" s="6"/>
      <c r="BM664" s="6"/>
      <c r="BN664" s="6"/>
      <c r="BO664" s="6"/>
      <c r="BP664" s="3">
        <v>1</v>
      </c>
      <c r="BQ664" s="6">
        <f t="shared" si="151"/>
        <v>1</v>
      </c>
      <c r="BU664">
        <v>1</v>
      </c>
    </row>
    <row r="665" spans="1:73" x14ac:dyDescent="0.3">
      <c r="A665" s="3" t="s">
        <v>931</v>
      </c>
      <c r="B665" s="3">
        <v>415</v>
      </c>
      <c r="C665" s="3" t="s">
        <v>1093</v>
      </c>
      <c r="D665" s="3">
        <v>2</v>
      </c>
      <c r="E665" s="3" t="s">
        <v>19</v>
      </c>
      <c r="F665" s="3" t="s">
        <v>41</v>
      </c>
      <c r="G665" s="3" t="s">
        <v>19</v>
      </c>
      <c r="H665" s="3" t="s">
        <v>54</v>
      </c>
      <c r="I665" s="3">
        <v>8.74</v>
      </c>
      <c r="J665" s="3" t="s">
        <v>91</v>
      </c>
      <c r="K665" s="3" t="s">
        <v>1094</v>
      </c>
      <c r="L665" s="3" t="s">
        <v>24</v>
      </c>
      <c r="M665" s="3">
        <v>1</v>
      </c>
      <c r="N665" s="6"/>
      <c r="O665" s="3">
        <v>1</v>
      </c>
      <c r="P665" s="3">
        <v>1</v>
      </c>
      <c r="Q665" s="3">
        <v>1</v>
      </c>
      <c r="R665" s="3">
        <v>0</v>
      </c>
      <c r="S665" s="3">
        <v>0</v>
      </c>
      <c r="T665" s="3">
        <v>0</v>
      </c>
      <c r="U665" s="3">
        <v>0</v>
      </c>
      <c r="V665" s="3">
        <f t="shared" si="152"/>
        <v>1</v>
      </c>
      <c r="W665" s="3">
        <v>1</v>
      </c>
      <c r="X665" s="3">
        <v>0</v>
      </c>
      <c r="Y665" s="3">
        <v>0</v>
      </c>
      <c r="Z665" s="3">
        <v>0</v>
      </c>
      <c r="AA665" s="3">
        <v>0</v>
      </c>
      <c r="AB665" s="3">
        <f t="shared" si="153"/>
        <v>1</v>
      </c>
      <c r="AC665" s="6">
        <f t="shared" si="161"/>
        <v>0</v>
      </c>
      <c r="AD665" s="6">
        <f t="shared" si="162"/>
        <v>0</v>
      </c>
      <c r="AE665" s="6">
        <f t="shared" si="163"/>
        <v>0</v>
      </c>
      <c r="AF665" s="6">
        <f t="shared" si="164"/>
        <v>0</v>
      </c>
      <c r="AG665" s="6">
        <f t="shared" si="165"/>
        <v>0</v>
      </c>
      <c r="AH665" s="6">
        <f t="shared" si="154"/>
        <v>0</v>
      </c>
      <c r="AI665" s="3"/>
      <c r="AJ665" s="3" t="e">
        <f>_xlfn.XLOOKUP(K665,工作表1!A:A,工作表1!C:C)</f>
        <v>#N/A</v>
      </c>
      <c r="AK665" s="3"/>
      <c r="AL665" s="6">
        <f t="shared" si="155"/>
        <v>1</v>
      </c>
      <c r="AM665" s="6">
        <f t="shared" si="156"/>
        <v>0</v>
      </c>
      <c r="AN665" s="6">
        <f t="shared" si="157"/>
        <v>0</v>
      </c>
      <c r="AO665" s="6">
        <f t="shared" si="158"/>
        <v>0</v>
      </c>
      <c r="AP665" s="6">
        <f t="shared" si="159"/>
        <v>0</v>
      </c>
      <c r="AQ665" s="6">
        <f t="shared" si="160"/>
        <v>1</v>
      </c>
      <c r="AR665" s="6"/>
      <c r="AS665" s="6"/>
      <c r="AT665" s="6">
        <v>1</v>
      </c>
      <c r="AU665" s="6"/>
      <c r="AV665" s="6"/>
      <c r="AW665" s="6"/>
      <c r="AX665" s="6"/>
      <c r="AY665" s="6"/>
      <c r="AZ665" s="6"/>
      <c r="BA665" s="6"/>
      <c r="BB665" s="6"/>
      <c r="BC665" s="6"/>
      <c r="BD665" s="6"/>
      <c r="BE665" s="6"/>
      <c r="BF665" s="6"/>
      <c r="BG665" s="6"/>
      <c r="BH665" s="6"/>
      <c r="BI665" s="6"/>
      <c r="BJ665" s="6"/>
      <c r="BK665" s="6"/>
      <c r="BL665" s="6"/>
      <c r="BM665" s="6"/>
      <c r="BN665" s="6"/>
      <c r="BO665" s="6"/>
      <c r="BP665" s="3">
        <v>1</v>
      </c>
      <c r="BQ665" s="6">
        <f t="shared" si="151"/>
        <v>1</v>
      </c>
      <c r="BU665">
        <v>1</v>
      </c>
    </row>
    <row r="666" spans="1:73" x14ac:dyDescent="0.3">
      <c r="A666" s="3" t="s">
        <v>931</v>
      </c>
      <c r="B666" s="3">
        <v>415</v>
      </c>
      <c r="C666" s="3" t="s">
        <v>1093</v>
      </c>
      <c r="D666" s="3">
        <v>1.5</v>
      </c>
      <c r="E666" s="3" t="s">
        <v>19</v>
      </c>
      <c r="F666" s="3" t="s">
        <v>41</v>
      </c>
      <c r="G666" s="3" t="s">
        <v>19</v>
      </c>
      <c r="H666" s="3" t="s">
        <v>57</v>
      </c>
      <c r="I666" s="3">
        <v>7.14</v>
      </c>
      <c r="J666" s="3" t="s">
        <v>91</v>
      </c>
      <c r="K666" s="3" t="s">
        <v>1095</v>
      </c>
      <c r="L666" s="3" t="s">
        <v>24</v>
      </c>
      <c r="M666" s="3">
        <v>2</v>
      </c>
      <c r="N666" s="6"/>
      <c r="O666" s="3">
        <v>2</v>
      </c>
      <c r="P666" s="3">
        <v>2</v>
      </c>
      <c r="Q666" s="3">
        <v>2</v>
      </c>
      <c r="R666" s="3">
        <v>0</v>
      </c>
      <c r="S666" s="3">
        <v>0</v>
      </c>
      <c r="T666" s="3">
        <v>0</v>
      </c>
      <c r="U666" s="3">
        <v>0</v>
      </c>
      <c r="V666" s="3">
        <f t="shared" si="152"/>
        <v>2</v>
      </c>
      <c r="W666" s="3">
        <v>2</v>
      </c>
      <c r="X666" s="3">
        <v>0</v>
      </c>
      <c r="Y666" s="3">
        <v>0</v>
      </c>
      <c r="Z666" s="3">
        <v>0</v>
      </c>
      <c r="AA666" s="3">
        <v>0</v>
      </c>
      <c r="AB666" s="3">
        <f t="shared" si="153"/>
        <v>2</v>
      </c>
      <c r="AC666" s="6">
        <f t="shared" si="161"/>
        <v>0</v>
      </c>
      <c r="AD666" s="6">
        <f t="shared" si="162"/>
        <v>0</v>
      </c>
      <c r="AE666" s="6">
        <f t="shared" si="163"/>
        <v>0</v>
      </c>
      <c r="AF666" s="6">
        <f t="shared" si="164"/>
        <v>0</v>
      </c>
      <c r="AG666" s="6">
        <f t="shared" si="165"/>
        <v>0</v>
      </c>
      <c r="AH666" s="6">
        <f t="shared" si="154"/>
        <v>0</v>
      </c>
      <c r="AI666" s="3"/>
      <c r="AJ666" s="3" t="e">
        <f>_xlfn.XLOOKUP(K666,工作表1!A:A,工作表1!C:C)</f>
        <v>#N/A</v>
      </c>
      <c r="AK666" s="3"/>
      <c r="AL666" s="6">
        <f t="shared" si="155"/>
        <v>2</v>
      </c>
      <c r="AM666" s="6">
        <f t="shared" si="156"/>
        <v>0</v>
      </c>
      <c r="AN666" s="6">
        <f t="shared" si="157"/>
        <v>0</v>
      </c>
      <c r="AO666" s="6">
        <f t="shared" si="158"/>
        <v>0</v>
      </c>
      <c r="AP666" s="6">
        <f t="shared" si="159"/>
        <v>0</v>
      </c>
      <c r="AQ666" s="6">
        <f t="shared" si="160"/>
        <v>2</v>
      </c>
      <c r="AR666" s="6"/>
      <c r="AS666" s="6"/>
      <c r="AT666" s="6">
        <v>2</v>
      </c>
      <c r="AU666" s="6"/>
      <c r="AV666" s="6"/>
      <c r="AW666" s="6"/>
      <c r="AX666" s="6"/>
      <c r="AY666" s="6"/>
      <c r="AZ666" s="6"/>
      <c r="BA666" s="6"/>
      <c r="BB666" s="6"/>
      <c r="BC666" s="6"/>
      <c r="BD666" s="6"/>
      <c r="BE666" s="6"/>
      <c r="BF666" s="6"/>
      <c r="BG666" s="6"/>
      <c r="BH666" s="6"/>
      <c r="BI666" s="6"/>
      <c r="BJ666" s="6"/>
      <c r="BK666" s="6"/>
      <c r="BL666" s="6"/>
      <c r="BM666" s="6"/>
      <c r="BN666" s="6"/>
      <c r="BO666" s="6"/>
      <c r="BP666" s="3">
        <v>2</v>
      </c>
      <c r="BQ666" s="6">
        <f t="shared" si="151"/>
        <v>2</v>
      </c>
      <c r="BU666">
        <v>2</v>
      </c>
    </row>
    <row r="667" spans="1:73" x14ac:dyDescent="0.3">
      <c r="A667" s="3" t="s">
        <v>931</v>
      </c>
      <c r="B667" s="3">
        <v>415</v>
      </c>
      <c r="C667" s="3" t="s">
        <v>1093</v>
      </c>
      <c r="D667" s="3">
        <v>1</v>
      </c>
      <c r="E667" s="3" t="s">
        <v>19</v>
      </c>
      <c r="F667" s="3" t="s">
        <v>41</v>
      </c>
      <c r="G667" s="3" t="s">
        <v>19</v>
      </c>
      <c r="H667" s="3" t="s">
        <v>59</v>
      </c>
      <c r="I667" s="3">
        <v>6.35</v>
      </c>
      <c r="J667" s="3" t="s">
        <v>91</v>
      </c>
      <c r="K667" s="3" t="s">
        <v>1096</v>
      </c>
      <c r="L667" s="3" t="s">
        <v>24</v>
      </c>
      <c r="M667" s="3">
        <v>1</v>
      </c>
      <c r="N667" s="6"/>
      <c r="O667" s="3">
        <v>1</v>
      </c>
      <c r="P667" s="3">
        <v>1</v>
      </c>
      <c r="Q667" s="3">
        <v>1</v>
      </c>
      <c r="R667" s="3">
        <v>0</v>
      </c>
      <c r="S667" s="3">
        <v>0</v>
      </c>
      <c r="T667" s="3">
        <v>0</v>
      </c>
      <c r="U667" s="3">
        <v>0</v>
      </c>
      <c r="V667" s="3">
        <f t="shared" si="152"/>
        <v>1</v>
      </c>
      <c r="W667" s="3">
        <v>1</v>
      </c>
      <c r="X667" s="3">
        <v>0</v>
      </c>
      <c r="Y667" s="3">
        <v>0</v>
      </c>
      <c r="Z667" s="3">
        <v>0</v>
      </c>
      <c r="AA667" s="3">
        <v>0</v>
      </c>
      <c r="AB667" s="3">
        <f t="shared" si="153"/>
        <v>1</v>
      </c>
      <c r="AC667" s="6">
        <f t="shared" si="161"/>
        <v>0</v>
      </c>
      <c r="AD667" s="6">
        <f t="shared" si="162"/>
        <v>0</v>
      </c>
      <c r="AE667" s="6">
        <f t="shared" si="163"/>
        <v>0</v>
      </c>
      <c r="AF667" s="6">
        <f t="shared" si="164"/>
        <v>0</v>
      </c>
      <c r="AG667" s="6">
        <f t="shared" si="165"/>
        <v>0</v>
      </c>
      <c r="AH667" s="6">
        <f t="shared" si="154"/>
        <v>0</v>
      </c>
      <c r="AI667" s="3"/>
      <c r="AJ667" s="3" t="e">
        <f>_xlfn.XLOOKUP(K667,工作表1!A:A,工作表1!C:C)</f>
        <v>#N/A</v>
      </c>
      <c r="AK667" s="3"/>
      <c r="AL667" s="6">
        <f t="shared" si="155"/>
        <v>1</v>
      </c>
      <c r="AM667" s="6">
        <f t="shared" si="156"/>
        <v>0</v>
      </c>
      <c r="AN667" s="6">
        <f t="shared" si="157"/>
        <v>0</v>
      </c>
      <c r="AO667" s="6">
        <f t="shared" si="158"/>
        <v>0</v>
      </c>
      <c r="AP667" s="6">
        <f t="shared" si="159"/>
        <v>0</v>
      </c>
      <c r="AQ667" s="6">
        <f t="shared" si="160"/>
        <v>1</v>
      </c>
      <c r="AR667" s="6"/>
      <c r="AS667" s="6"/>
      <c r="AT667" s="6">
        <v>1</v>
      </c>
      <c r="AU667" s="6"/>
      <c r="AV667" s="6"/>
      <c r="AW667" s="6"/>
      <c r="AX667" s="6"/>
      <c r="AY667" s="6"/>
      <c r="AZ667" s="6"/>
      <c r="BA667" s="6"/>
      <c r="BB667" s="6"/>
      <c r="BC667" s="6"/>
      <c r="BD667" s="6"/>
      <c r="BE667" s="6"/>
      <c r="BF667" s="6"/>
      <c r="BG667" s="6"/>
      <c r="BH667" s="6"/>
      <c r="BI667" s="6"/>
      <c r="BJ667" s="6"/>
      <c r="BK667" s="6"/>
      <c r="BL667" s="6"/>
      <c r="BM667" s="6"/>
      <c r="BN667" s="6"/>
      <c r="BO667" s="6"/>
      <c r="BP667" s="3">
        <v>1</v>
      </c>
      <c r="BQ667" s="6">
        <f t="shared" si="151"/>
        <v>1</v>
      </c>
      <c r="BU667">
        <v>1</v>
      </c>
    </row>
    <row r="668" spans="1:73" x14ac:dyDescent="0.3">
      <c r="A668" s="3" t="s">
        <v>931</v>
      </c>
      <c r="B668" s="3">
        <v>415</v>
      </c>
      <c r="C668" s="3" t="s">
        <v>1097</v>
      </c>
      <c r="D668" s="3">
        <v>14</v>
      </c>
      <c r="E668" s="3" t="s">
        <v>19</v>
      </c>
      <c r="F668" s="3" t="s">
        <v>41</v>
      </c>
      <c r="G668" s="3" t="s">
        <v>19</v>
      </c>
      <c r="H668" s="3" t="s">
        <v>948</v>
      </c>
      <c r="I668" s="3">
        <v>35.71</v>
      </c>
      <c r="J668" s="3" t="s">
        <v>91</v>
      </c>
      <c r="K668" s="3" t="s">
        <v>1098</v>
      </c>
      <c r="L668" s="3" t="s">
        <v>24</v>
      </c>
      <c r="M668" s="3">
        <v>1</v>
      </c>
      <c r="N668" s="6"/>
      <c r="O668" s="3">
        <v>1</v>
      </c>
      <c r="P668" s="3">
        <v>1</v>
      </c>
      <c r="Q668" s="3">
        <v>1</v>
      </c>
      <c r="R668" s="3">
        <v>0</v>
      </c>
      <c r="S668" s="3">
        <v>0</v>
      </c>
      <c r="T668" s="3">
        <v>0</v>
      </c>
      <c r="U668" s="3">
        <v>0</v>
      </c>
      <c r="V668" s="3">
        <f t="shared" si="152"/>
        <v>1</v>
      </c>
      <c r="W668" s="3">
        <v>1</v>
      </c>
      <c r="X668" s="3">
        <v>0</v>
      </c>
      <c r="Y668" s="3">
        <v>0</v>
      </c>
      <c r="Z668" s="3">
        <v>0</v>
      </c>
      <c r="AA668" s="3">
        <v>0</v>
      </c>
      <c r="AB668" s="3">
        <f t="shared" si="153"/>
        <v>1</v>
      </c>
      <c r="AC668" s="6">
        <f t="shared" si="161"/>
        <v>0</v>
      </c>
      <c r="AD668" s="6">
        <f t="shared" si="162"/>
        <v>0</v>
      </c>
      <c r="AE668" s="6">
        <f t="shared" si="163"/>
        <v>0</v>
      </c>
      <c r="AF668" s="6">
        <f t="shared" si="164"/>
        <v>0</v>
      </c>
      <c r="AG668" s="6">
        <f t="shared" si="165"/>
        <v>0</v>
      </c>
      <c r="AH668" s="6">
        <f t="shared" si="154"/>
        <v>0</v>
      </c>
      <c r="AI668" s="3"/>
      <c r="AJ668" s="3" t="e">
        <f>_xlfn.XLOOKUP(K668,工作表1!A:A,工作表1!C:C)</f>
        <v>#N/A</v>
      </c>
      <c r="AK668" s="3"/>
      <c r="AL668" s="6">
        <f t="shared" si="155"/>
        <v>1</v>
      </c>
      <c r="AM668" s="6">
        <f t="shared" si="156"/>
        <v>0</v>
      </c>
      <c r="AN668" s="6">
        <f t="shared" si="157"/>
        <v>0</v>
      </c>
      <c r="AO668" s="6">
        <f t="shared" si="158"/>
        <v>0</v>
      </c>
      <c r="AP668" s="6">
        <f t="shared" si="159"/>
        <v>0</v>
      </c>
      <c r="AQ668" s="6">
        <f t="shared" si="160"/>
        <v>1</v>
      </c>
      <c r="AR668" s="6"/>
      <c r="AS668" s="6"/>
      <c r="AT668" s="6">
        <v>1</v>
      </c>
      <c r="AU668" s="6"/>
      <c r="AV668" s="6"/>
      <c r="AW668" s="6"/>
      <c r="AX668" s="6"/>
      <c r="AY668" s="6"/>
      <c r="AZ668" s="6"/>
      <c r="BA668" s="6"/>
      <c r="BB668" s="6"/>
      <c r="BC668" s="6"/>
      <c r="BD668" s="6"/>
      <c r="BE668" s="6"/>
      <c r="BF668" s="6"/>
      <c r="BG668" s="6"/>
      <c r="BH668" s="6"/>
      <c r="BI668" s="6"/>
      <c r="BJ668" s="6"/>
      <c r="BK668" s="6"/>
      <c r="BL668" s="6"/>
      <c r="BM668" s="6"/>
      <c r="BN668" s="6"/>
      <c r="BO668" s="6"/>
      <c r="BP668" s="3">
        <v>1</v>
      </c>
      <c r="BQ668" s="6">
        <f t="shared" si="151"/>
        <v>1</v>
      </c>
      <c r="BU668">
        <v>1</v>
      </c>
    </row>
    <row r="669" spans="1:73" x14ac:dyDescent="0.3">
      <c r="A669" s="3" t="s">
        <v>931</v>
      </c>
      <c r="B669" s="3">
        <v>415</v>
      </c>
      <c r="C669" s="3" t="s">
        <v>1099</v>
      </c>
      <c r="D669" s="3">
        <v>2</v>
      </c>
      <c r="E669" s="3" t="s">
        <v>19</v>
      </c>
      <c r="F669" s="3" t="s">
        <v>41</v>
      </c>
      <c r="G669" s="3" t="s">
        <v>19</v>
      </c>
      <c r="H669" s="3" t="s">
        <v>54</v>
      </c>
      <c r="I669" s="3">
        <v>8.74</v>
      </c>
      <c r="J669" s="3" t="s">
        <v>91</v>
      </c>
      <c r="K669" s="3" t="s">
        <v>1100</v>
      </c>
      <c r="L669" s="3" t="s">
        <v>24</v>
      </c>
      <c r="M669" s="3">
        <v>6</v>
      </c>
      <c r="N669" s="6"/>
      <c r="O669" s="3">
        <v>5</v>
      </c>
      <c r="P669" s="3">
        <v>5</v>
      </c>
      <c r="Q669" s="3">
        <v>5</v>
      </c>
      <c r="R669" s="3">
        <v>0</v>
      </c>
      <c r="S669" s="3">
        <v>0</v>
      </c>
      <c r="T669" s="3">
        <v>0</v>
      </c>
      <c r="U669" s="3">
        <v>0</v>
      </c>
      <c r="V669" s="3">
        <f t="shared" si="152"/>
        <v>5</v>
      </c>
      <c r="W669" s="3">
        <v>5</v>
      </c>
      <c r="X669" s="3">
        <v>0</v>
      </c>
      <c r="Y669" s="3">
        <v>0</v>
      </c>
      <c r="Z669" s="3">
        <v>0</v>
      </c>
      <c r="AA669" s="3">
        <v>0</v>
      </c>
      <c r="AB669" s="3">
        <f t="shared" si="153"/>
        <v>5</v>
      </c>
      <c r="AC669" s="6">
        <f t="shared" si="161"/>
        <v>0</v>
      </c>
      <c r="AD669" s="6">
        <f t="shared" si="162"/>
        <v>0</v>
      </c>
      <c r="AE669" s="6">
        <f t="shared" si="163"/>
        <v>0</v>
      </c>
      <c r="AF669" s="6">
        <f t="shared" si="164"/>
        <v>0</v>
      </c>
      <c r="AG669" s="6">
        <f t="shared" si="165"/>
        <v>0</v>
      </c>
      <c r="AH669" s="6">
        <f t="shared" si="154"/>
        <v>0</v>
      </c>
      <c r="AI669" s="3"/>
      <c r="AJ669" s="3" t="e">
        <f>_xlfn.XLOOKUP(K669,工作表1!A:A,工作表1!C:C)</f>
        <v>#N/A</v>
      </c>
      <c r="AK669" s="3"/>
      <c r="AL669" s="6">
        <f t="shared" si="155"/>
        <v>5</v>
      </c>
      <c r="AM669" s="6">
        <f t="shared" si="156"/>
        <v>0</v>
      </c>
      <c r="AN669" s="6">
        <f t="shared" si="157"/>
        <v>0</v>
      </c>
      <c r="AO669" s="6">
        <f t="shared" si="158"/>
        <v>0</v>
      </c>
      <c r="AP669" s="6">
        <f t="shared" si="159"/>
        <v>0</v>
      </c>
      <c r="AQ669" s="6">
        <f t="shared" si="160"/>
        <v>5</v>
      </c>
      <c r="AR669" s="6"/>
      <c r="AS669" s="6"/>
      <c r="AT669" s="6">
        <v>5</v>
      </c>
      <c r="AU669" s="6"/>
      <c r="AV669" s="6"/>
      <c r="AW669" s="6"/>
      <c r="AX669" s="6"/>
      <c r="AY669" s="6"/>
      <c r="AZ669" s="6"/>
      <c r="BA669" s="6"/>
      <c r="BB669" s="6"/>
      <c r="BC669" s="6"/>
      <c r="BD669" s="6"/>
      <c r="BE669" s="6"/>
      <c r="BF669" s="6"/>
      <c r="BG669" s="6"/>
      <c r="BH669" s="6"/>
      <c r="BI669" s="6"/>
      <c r="BJ669" s="6"/>
      <c r="BK669" s="6"/>
      <c r="BL669" s="6"/>
      <c r="BM669" s="6"/>
      <c r="BN669" s="6"/>
      <c r="BO669" s="6"/>
      <c r="BP669" s="3">
        <v>5</v>
      </c>
      <c r="BQ669" s="6">
        <f t="shared" si="151"/>
        <v>5</v>
      </c>
      <c r="BU669">
        <v>5</v>
      </c>
    </row>
    <row r="670" spans="1:73" x14ac:dyDescent="0.3">
      <c r="A670" s="3" t="s">
        <v>931</v>
      </c>
      <c r="B670" s="3">
        <v>415</v>
      </c>
      <c r="C670" s="3" t="s">
        <v>1099</v>
      </c>
      <c r="D670" s="3">
        <v>1.5</v>
      </c>
      <c r="E670" s="3" t="s">
        <v>19</v>
      </c>
      <c r="F670" s="3" t="s">
        <v>41</v>
      </c>
      <c r="G670" s="3" t="s">
        <v>19</v>
      </c>
      <c r="H670" s="3" t="s">
        <v>57</v>
      </c>
      <c r="I670" s="3">
        <v>7.14</v>
      </c>
      <c r="J670" s="3" t="s">
        <v>91</v>
      </c>
      <c r="K670" s="3" t="s">
        <v>1101</v>
      </c>
      <c r="L670" s="3" t="s">
        <v>24</v>
      </c>
      <c r="M670" s="3">
        <v>6</v>
      </c>
      <c r="N670" s="6"/>
      <c r="O670" s="3">
        <v>6</v>
      </c>
      <c r="P670" s="3">
        <v>6</v>
      </c>
      <c r="Q670" s="3">
        <v>6</v>
      </c>
      <c r="R670" s="3">
        <v>0</v>
      </c>
      <c r="S670" s="3">
        <v>0</v>
      </c>
      <c r="T670" s="3">
        <v>0</v>
      </c>
      <c r="U670" s="3">
        <v>0</v>
      </c>
      <c r="V670" s="3">
        <f t="shared" si="152"/>
        <v>6</v>
      </c>
      <c r="W670" s="3">
        <v>6</v>
      </c>
      <c r="X670" s="3">
        <v>0</v>
      </c>
      <c r="Y670" s="3">
        <v>0</v>
      </c>
      <c r="Z670" s="3">
        <v>0</v>
      </c>
      <c r="AA670" s="3">
        <v>0</v>
      </c>
      <c r="AB670" s="3">
        <f t="shared" si="153"/>
        <v>6</v>
      </c>
      <c r="AC670" s="6">
        <f t="shared" si="161"/>
        <v>0</v>
      </c>
      <c r="AD670" s="6">
        <f t="shared" si="162"/>
        <v>0</v>
      </c>
      <c r="AE670" s="6">
        <f t="shared" si="163"/>
        <v>0</v>
      </c>
      <c r="AF670" s="6">
        <f t="shared" si="164"/>
        <v>0</v>
      </c>
      <c r="AG670" s="6">
        <f t="shared" si="165"/>
        <v>0</v>
      </c>
      <c r="AH670" s="6">
        <f t="shared" si="154"/>
        <v>0</v>
      </c>
      <c r="AI670" s="3"/>
      <c r="AJ670" s="3" t="e">
        <f>_xlfn.XLOOKUP(K670,工作表1!A:A,工作表1!C:C)</f>
        <v>#N/A</v>
      </c>
      <c r="AK670" s="3"/>
      <c r="AL670" s="6">
        <f t="shared" si="155"/>
        <v>6</v>
      </c>
      <c r="AM670" s="6">
        <f t="shared" si="156"/>
        <v>0</v>
      </c>
      <c r="AN670" s="6">
        <f t="shared" si="157"/>
        <v>0</v>
      </c>
      <c r="AO670" s="6">
        <f t="shared" si="158"/>
        <v>0</v>
      </c>
      <c r="AP670" s="6">
        <f t="shared" si="159"/>
        <v>0</v>
      </c>
      <c r="AQ670" s="6">
        <f t="shared" si="160"/>
        <v>6</v>
      </c>
      <c r="AR670" s="6"/>
      <c r="AS670" s="6"/>
      <c r="AT670" s="6">
        <v>6</v>
      </c>
      <c r="AU670" s="6"/>
      <c r="AV670" s="6"/>
      <c r="AW670" s="6"/>
      <c r="AX670" s="6"/>
      <c r="AY670" s="6"/>
      <c r="AZ670" s="6"/>
      <c r="BA670" s="6"/>
      <c r="BB670" s="6"/>
      <c r="BC670" s="6"/>
      <c r="BD670" s="6"/>
      <c r="BE670" s="6"/>
      <c r="BF670" s="6"/>
      <c r="BG670" s="6"/>
      <c r="BH670" s="6"/>
      <c r="BI670" s="6"/>
      <c r="BJ670" s="6"/>
      <c r="BK670" s="6"/>
      <c r="BL670" s="6"/>
      <c r="BM670" s="6"/>
      <c r="BN670" s="6"/>
      <c r="BO670" s="6"/>
      <c r="BP670" s="3">
        <v>6</v>
      </c>
      <c r="BQ670" s="6">
        <f t="shared" si="151"/>
        <v>6</v>
      </c>
      <c r="BU670">
        <v>6</v>
      </c>
    </row>
    <row r="671" spans="1:73" x14ac:dyDescent="0.3">
      <c r="A671" s="3" t="s">
        <v>931</v>
      </c>
      <c r="B671" s="3">
        <v>415</v>
      </c>
      <c r="C671" s="3" t="s">
        <v>1099</v>
      </c>
      <c r="D671" s="3">
        <v>1</v>
      </c>
      <c r="E671" s="3" t="s">
        <v>19</v>
      </c>
      <c r="F671" s="3" t="s">
        <v>41</v>
      </c>
      <c r="G671" s="3" t="s">
        <v>19</v>
      </c>
      <c r="H671" s="3" t="s">
        <v>59</v>
      </c>
      <c r="I671" s="3">
        <v>6.35</v>
      </c>
      <c r="J671" s="3" t="s">
        <v>91</v>
      </c>
      <c r="K671" s="3" t="s">
        <v>1102</v>
      </c>
      <c r="L671" s="3" t="s">
        <v>24</v>
      </c>
      <c r="M671" s="3">
        <v>33</v>
      </c>
      <c r="N671" s="6"/>
      <c r="O671" s="3">
        <v>32</v>
      </c>
      <c r="P671" s="3">
        <v>32</v>
      </c>
      <c r="Q671" s="3">
        <v>32</v>
      </c>
      <c r="R671" s="3">
        <v>0</v>
      </c>
      <c r="S671" s="3">
        <v>0</v>
      </c>
      <c r="T671" s="3">
        <v>0</v>
      </c>
      <c r="U671" s="3">
        <v>0</v>
      </c>
      <c r="V671" s="3">
        <f t="shared" si="152"/>
        <v>32</v>
      </c>
      <c r="W671" s="3">
        <v>32</v>
      </c>
      <c r="X671" s="3">
        <v>0</v>
      </c>
      <c r="Y671" s="3">
        <v>0</v>
      </c>
      <c r="Z671" s="3">
        <v>0</v>
      </c>
      <c r="AA671" s="3">
        <v>0</v>
      </c>
      <c r="AB671" s="3">
        <f t="shared" si="153"/>
        <v>32</v>
      </c>
      <c r="AC671" s="6">
        <f t="shared" si="161"/>
        <v>0</v>
      </c>
      <c r="AD671" s="6">
        <f t="shared" si="162"/>
        <v>0</v>
      </c>
      <c r="AE671" s="6">
        <f t="shared" si="163"/>
        <v>0</v>
      </c>
      <c r="AF671" s="6">
        <f t="shared" si="164"/>
        <v>0</v>
      </c>
      <c r="AG671" s="6">
        <f t="shared" si="165"/>
        <v>0</v>
      </c>
      <c r="AH671" s="6">
        <f t="shared" si="154"/>
        <v>0</v>
      </c>
      <c r="AI671" s="3"/>
      <c r="AJ671" s="3" t="e">
        <f>_xlfn.XLOOKUP(K671,工作表1!A:A,工作表1!C:C)</f>
        <v>#N/A</v>
      </c>
      <c r="AK671" s="3"/>
      <c r="AL671" s="6">
        <f t="shared" si="155"/>
        <v>32</v>
      </c>
      <c r="AM671" s="6">
        <f t="shared" si="156"/>
        <v>0</v>
      </c>
      <c r="AN671" s="6">
        <f t="shared" si="157"/>
        <v>0</v>
      </c>
      <c r="AO671" s="6">
        <f t="shared" si="158"/>
        <v>0</v>
      </c>
      <c r="AP671" s="6">
        <f t="shared" si="159"/>
        <v>0</v>
      </c>
      <c r="AQ671" s="6">
        <f t="shared" si="160"/>
        <v>32</v>
      </c>
      <c r="AR671" s="6"/>
      <c r="AS671" s="6"/>
      <c r="AT671" s="6">
        <v>32</v>
      </c>
      <c r="AU671" s="6"/>
      <c r="AV671" s="6"/>
      <c r="AW671" s="6"/>
      <c r="AX671" s="6"/>
      <c r="AY671" s="6"/>
      <c r="AZ671" s="6"/>
      <c r="BA671" s="6"/>
      <c r="BB671" s="6"/>
      <c r="BC671" s="6"/>
      <c r="BD671" s="6"/>
      <c r="BE671" s="6"/>
      <c r="BF671" s="6"/>
      <c r="BG671" s="6"/>
      <c r="BH671" s="6"/>
      <c r="BI671" s="6"/>
      <c r="BJ671" s="6"/>
      <c r="BK671" s="6"/>
      <c r="BL671" s="6"/>
      <c r="BM671" s="6"/>
      <c r="BN671" s="6"/>
      <c r="BO671" s="6"/>
      <c r="BP671" s="3">
        <v>32</v>
      </c>
      <c r="BQ671" s="6">
        <f t="shared" si="151"/>
        <v>32</v>
      </c>
      <c r="BU671">
        <v>32</v>
      </c>
    </row>
    <row r="672" spans="1:73" x14ac:dyDescent="0.3">
      <c r="A672" s="3" t="s">
        <v>931</v>
      </c>
      <c r="B672" s="3">
        <v>415</v>
      </c>
      <c r="C672" s="3" t="s">
        <v>1099</v>
      </c>
      <c r="D672" s="3">
        <v>0.75</v>
      </c>
      <c r="E672" s="3" t="s">
        <v>19</v>
      </c>
      <c r="F672" s="3" t="s">
        <v>41</v>
      </c>
      <c r="G672" s="3" t="s">
        <v>19</v>
      </c>
      <c r="H672" s="3" t="s">
        <v>61</v>
      </c>
      <c r="I672" s="3">
        <v>5.56</v>
      </c>
      <c r="J672" s="3" t="s">
        <v>91</v>
      </c>
      <c r="K672" s="3" t="s">
        <v>1103</v>
      </c>
      <c r="L672" s="3" t="s">
        <v>24</v>
      </c>
      <c r="M672" s="3">
        <v>85</v>
      </c>
      <c r="N672" s="6"/>
      <c r="O672" s="3">
        <v>19</v>
      </c>
      <c r="P672" s="3">
        <v>19</v>
      </c>
      <c r="Q672" s="3">
        <v>19</v>
      </c>
      <c r="R672" s="3">
        <v>0</v>
      </c>
      <c r="S672" s="3">
        <v>0</v>
      </c>
      <c r="T672" s="3">
        <v>0</v>
      </c>
      <c r="U672" s="3">
        <v>0</v>
      </c>
      <c r="V672" s="3">
        <f t="shared" si="152"/>
        <v>19</v>
      </c>
      <c r="W672" s="3">
        <v>19</v>
      </c>
      <c r="X672" s="3">
        <v>0</v>
      </c>
      <c r="Y672" s="3">
        <v>0</v>
      </c>
      <c r="Z672" s="3">
        <v>0</v>
      </c>
      <c r="AA672" s="3">
        <v>0</v>
      </c>
      <c r="AB672" s="3">
        <f t="shared" si="153"/>
        <v>19</v>
      </c>
      <c r="AC672" s="6">
        <f t="shared" si="161"/>
        <v>-4</v>
      </c>
      <c r="AD672" s="6">
        <f t="shared" si="162"/>
        <v>0</v>
      </c>
      <c r="AE672" s="6">
        <f t="shared" si="163"/>
        <v>0</v>
      </c>
      <c r="AF672" s="6">
        <f t="shared" si="164"/>
        <v>0</v>
      </c>
      <c r="AG672" s="6">
        <f t="shared" si="165"/>
        <v>0</v>
      </c>
      <c r="AH672" s="6">
        <f t="shared" si="154"/>
        <v>-4</v>
      </c>
      <c r="AI672" s="3"/>
      <c r="AJ672" s="3" t="e">
        <f>_xlfn.XLOOKUP(K672,工作表1!A:A,工作表1!C:C)</f>
        <v>#N/A</v>
      </c>
      <c r="AK672" s="3"/>
      <c r="AL672" s="6">
        <f t="shared" si="155"/>
        <v>15</v>
      </c>
      <c r="AM672" s="6">
        <f t="shared" si="156"/>
        <v>0</v>
      </c>
      <c r="AN672" s="6">
        <f t="shared" si="157"/>
        <v>0</v>
      </c>
      <c r="AO672" s="6">
        <f t="shared" si="158"/>
        <v>0</v>
      </c>
      <c r="AP672" s="6">
        <f t="shared" si="159"/>
        <v>0</v>
      </c>
      <c r="AQ672" s="6">
        <f t="shared" si="160"/>
        <v>15</v>
      </c>
      <c r="AR672" s="6"/>
      <c r="AS672" s="6"/>
      <c r="AT672" s="6">
        <v>15</v>
      </c>
      <c r="AU672" s="6"/>
      <c r="AV672" s="6"/>
      <c r="AW672" s="6"/>
      <c r="AX672" s="6"/>
      <c r="AY672" s="6"/>
      <c r="AZ672" s="6"/>
      <c r="BA672" s="6"/>
      <c r="BB672" s="6"/>
      <c r="BC672" s="6"/>
      <c r="BD672" s="6"/>
      <c r="BE672" s="6"/>
      <c r="BF672" s="6"/>
      <c r="BG672" s="6"/>
      <c r="BH672" s="6"/>
      <c r="BI672" s="6"/>
      <c r="BJ672" s="6"/>
      <c r="BK672" s="6"/>
      <c r="BL672" s="6"/>
      <c r="BM672" s="6"/>
      <c r="BN672" s="6"/>
      <c r="BO672" s="6"/>
      <c r="BP672" s="3">
        <v>19</v>
      </c>
      <c r="BQ672" s="6">
        <f t="shared" si="151"/>
        <v>15</v>
      </c>
      <c r="BU672">
        <v>15</v>
      </c>
    </row>
    <row r="673" spans="1:73" x14ac:dyDescent="0.3">
      <c r="A673" s="3" t="s">
        <v>931</v>
      </c>
      <c r="B673" s="3">
        <v>415</v>
      </c>
      <c r="C673" s="3" t="s">
        <v>1099</v>
      </c>
      <c r="D673" s="3">
        <v>0.5</v>
      </c>
      <c r="E673" s="3" t="s">
        <v>19</v>
      </c>
      <c r="F673" s="3" t="s">
        <v>25</v>
      </c>
      <c r="G673" s="3" t="s">
        <v>19</v>
      </c>
      <c r="H673" s="3" t="s">
        <v>81</v>
      </c>
      <c r="I673" s="3">
        <v>3.73</v>
      </c>
      <c r="J673" s="3" t="s">
        <v>91</v>
      </c>
      <c r="K673" s="3" t="s">
        <v>1104</v>
      </c>
      <c r="L673" s="3" t="s">
        <v>24</v>
      </c>
      <c r="M673" s="3">
        <v>27</v>
      </c>
      <c r="N673" s="6"/>
      <c r="O673" s="3">
        <v>2</v>
      </c>
      <c r="P673" s="3">
        <v>2</v>
      </c>
      <c r="Q673" s="3">
        <v>2</v>
      </c>
      <c r="R673" s="3">
        <v>0</v>
      </c>
      <c r="S673" s="3">
        <v>0</v>
      </c>
      <c r="T673" s="3">
        <v>0</v>
      </c>
      <c r="U673" s="3">
        <v>0</v>
      </c>
      <c r="V673" s="3">
        <f t="shared" si="152"/>
        <v>2</v>
      </c>
      <c r="W673" s="3">
        <v>2</v>
      </c>
      <c r="X673" s="3">
        <v>0</v>
      </c>
      <c r="Y673" s="3">
        <v>0</v>
      </c>
      <c r="Z673" s="3">
        <v>0</v>
      </c>
      <c r="AA673" s="3">
        <v>0</v>
      </c>
      <c r="AB673" s="3">
        <f t="shared" si="153"/>
        <v>2</v>
      </c>
      <c r="AC673" s="6">
        <f t="shared" si="161"/>
        <v>0</v>
      </c>
      <c r="AD673" s="6">
        <f t="shared" si="162"/>
        <v>0</v>
      </c>
      <c r="AE673" s="6">
        <f t="shared" si="163"/>
        <v>0</v>
      </c>
      <c r="AF673" s="6">
        <f t="shared" si="164"/>
        <v>0</v>
      </c>
      <c r="AG673" s="6">
        <f t="shared" si="165"/>
        <v>0</v>
      </c>
      <c r="AH673" s="6">
        <f t="shared" si="154"/>
        <v>0</v>
      </c>
      <c r="AI673" s="3"/>
      <c r="AJ673" s="3" t="e">
        <f>_xlfn.XLOOKUP(K673,工作表1!A:A,工作表1!C:C)</f>
        <v>#N/A</v>
      </c>
      <c r="AK673" s="3"/>
      <c r="AL673" s="6">
        <f t="shared" si="155"/>
        <v>2</v>
      </c>
      <c r="AM673" s="6">
        <f t="shared" si="156"/>
        <v>0</v>
      </c>
      <c r="AN673" s="6">
        <f t="shared" si="157"/>
        <v>0</v>
      </c>
      <c r="AO673" s="6">
        <f t="shared" si="158"/>
        <v>0</v>
      </c>
      <c r="AP673" s="6">
        <f t="shared" si="159"/>
        <v>0</v>
      </c>
      <c r="AQ673" s="6">
        <f t="shared" si="160"/>
        <v>2</v>
      </c>
      <c r="AR673" s="6"/>
      <c r="AS673" s="6"/>
      <c r="AT673" s="6">
        <v>2</v>
      </c>
      <c r="AU673" s="6"/>
      <c r="AV673" s="6"/>
      <c r="AW673" s="6"/>
      <c r="AX673" s="6"/>
      <c r="AY673" s="6"/>
      <c r="AZ673" s="6"/>
      <c r="BA673" s="6"/>
      <c r="BB673" s="6"/>
      <c r="BC673" s="6"/>
      <c r="BD673" s="6"/>
      <c r="BE673" s="6"/>
      <c r="BF673" s="6"/>
      <c r="BG673" s="6"/>
      <c r="BH673" s="6"/>
      <c r="BI673" s="6"/>
      <c r="BJ673" s="6"/>
      <c r="BK673" s="6"/>
      <c r="BL673" s="6"/>
      <c r="BM673" s="6"/>
      <c r="BN673" s="6"/>
      <c r="BO673" s="6"/>
      <c r="BP673" s="3">
        <v>2</v>
      </c>
      <c r="BQ673" s="6">
        <f t="shared" si="151"/>
        <v>2</v>
      </c>
      <c r="BU673">
        <v>2</v>
      </c>
    </row>
    <row r="674" spans="1:73" x14ac:dyDescent="0.3">
      <c r="A674" s="3" t="s">
        <v>931</v>
      </c>
      <c r="B674" s="3">
        <v>415</v>
      </c>
      <c r="C674" s="3" t="s">
        <v>1105</v>
      </c>
      <c r="D674" s="3">
        <v>10</v>
      </c>
      <c r="E674" s="3" t="s">
        <v>19</v>
      </c>
      <c r="F674" s="3" t="s">
        <v>41</v>
      </c>
      <c r="G674" s="3" t="s">
        <v>19</v>
      </c>
      <c r="H674" s="3" t="s">
        <v>950</v>
      </c>
      <c r="I674" s="3">
        <v>28.58</v>
      </c>
      <c r="J674" s="3" t="s">
        <v>91</v>
      </c>
      <c r="K674" s="3" t="s">
        <v>1106</v>
      </c>
      <c r="L674" s="3" t="s">
        <v>24</v>
      </c>
      <c r="M674" s="3">
        <v>2</v>
      </c>
      <c r="N674" s="6"/>
      <c r="O674" s="3">
        <v>2</v>
      </c>
      <c r="P674" s="3">
        <v>2</v>
      </c>
      <c r="Q674" s="3">
        <v>2</v>
      </c>
      <c r="R674" s="3">
        <v>0</v>
      </c>
      <c r="S674" s="3">
        <v>0</v>
      </c>
      <c r="T674" s="3">
        <v>0</v>
      </c>
      <c r="U674" s="3">
        <v>0</v>
      </c>
      <c r="V674" s="3">
        <f t="shared" si="152"/>
        <v>2</v>
      </c>
      <c r="W674" s="3">
        <v>2</v>
      </c>
      <c r="X674" s="3">
        <v>0</v>
      </c>
      <c r="Y674" s="3">
        <v>0</v>
      </c>
      <c r="Z674" s="3">
        <v>0</v>
      </c>
      <c r="AA674" s="3">
        <v>0</v>
      </c>
      <c r="AB674" s="3">
        <f t="shared" si="153"/>
        <v>2</v>
      </c>
      <c r="AC674" s="6">
        <f t="shared" si="161"/>
        <v>0</v>
      </c>
      <c r="AD674" s="6">
        <f t="shared" si="162"/>
        <v>0</v>
      </c>
      <c r="AE674" s="6">
        <f t="shared" si="163"/>
        <v>0</v>
      </c>
      <c r="AF674" s="6">
        <f t="shared" si="164"/>
        <v>0</v>
      </c>
      <c r="AG674" s="6">
        <f t="shared" si="165"/>
        <v>0</v>
      </c>
      <c r="AH674" s="6">
        <f t="shared" si="154"/>
        <v>0</v>
      </c>
      <c r="AI674" s="3"/>
      <c r="AJ674" s="3" t="e">
        <f>_xlfn.XLOOKUP(K674,工作表1!A:A,工作表1!C:C)</f>
        <v>#N/A</v>
      </c>
      <c r="AK674" s="3"/>
      <c r="AL674" s="6">
        <f t="shared" si="155"/>
        <v>2</v>
      </c>
      <c r="AM674" s="6">
        <f t="shared" si="156"/>
        <v>0</v>
      </c>
      <c r="AN674" s="6">
        <f t="shared" si="157"/>
        <v>0</v>
      </c>
      <c r="AO674" s="6">
        <f t="shared" si="158"/>
        <v>0</v>
      </c>
      <c r="AP674" s="6">
        <f t="shared" si="159"/>
        <v>0</v>
      </c>
      <c r="AQ674" s="6">
        <f t="shared" si="160"/>
        <v>2</v>
      </c>
      <c r="AR674" s="6"/>
      <c r="AS674" s="6">
        <v>2</v>
      </c>
      <c r="AT674" s="6"/>
      <c r="AU674" s="6"/>
      <c r="AV674" s="6"/>
      <c r="AW674" s="6"/>
      <c r="AX674" s="6"/>
      <c r="AY674" s="6"/>
      <c r="AZ674" s="6"/>
      <c r="BA674" s="6"/>
      <c r="BB674" s="6"/>
      <c r="BC674" s="6"/>
      <c r="BD674" s="6"/>
      <c r="BE674" s="6"/>
      <c r="BF674" s="6"/>
      <c r="BG674" s="6"/>
      <c r="BH674" s="6"/>
      <c r="BI674" s="6"/>
      <c r="BJ674" s="6"/>
      <c r="BK674" s="6"/>
      <c r="BL674" s="6"/>
      <c r="BM674" s="6"/>
      <c r="BN674" s="6"/>
      <c r="BO674" s="6"/>
      <c r="BP674" s="3">
        <v>2</v>
      </c>
      <c r="BQ674" s="6">
        <f t="shared" si="151"/>
        <v>2</v>
      </c>
      <c r="BS674">
        <v>2</v>
      </c>
    </row>
    <row r="675" spans="1:73" x14ac:dyDescent="0.3">
      <c r="A675" s="3" t="s">
        <v>931</v>
      </c>
      <c r="B675" s="3">
        <v>415</v>
      </c>
      <c r="C675" s="3" t="s">
        <v>1105</v>
      </c>
      <c r="D675" s="3">
        <v>8</v>
      </c>
      <c r="E675" s="3" t="s">
        <v>19</v>
      </c>
      <c r="F675" s="3" t="s">
        <v>41</v>
      </c>
      <c r="G675" s="3" t="s">
        <v>19</v>
      </c>
      <c r="H675" s="3" t="s">
        <v>952</v>
      </c>
      <c r="I675" s="3">
        <v>23.01</v>
      </c>
      <c r="J675" s="3" t="s">
        <v>91</v>
      </c>
      <c r="K675" s="3" t="s">
        <v>1107</v>
      </c>
      <c r="L675" s="3" t="s">
        <v>24</v>
      </c>
      <c r="M675" s="3">
        <v>12</v>
      </c>
      <c r="N675" s="6"/>
      <c r="O675" s="3">
        <v>10</v>
      </c>
      <c r="P675" s="3">
        <v>10</v>
      </c>
      <c r="Q675" s="3">
        <v>10</v>
      </c>
      <c r="R675" s="3">
        <v>0</v>
      </c>
      <c r="S675" s="3">
        <v>0</v>
      </c>
      <c r="T675" s="3">
        <v>0</v>
      </c>
      <c r="U675" s="3">
        <v>0</v>
      </c>
      <c r="V675" s="3">
        <f t="shared" si="152"/>
        <v>10</v>
      </c>
      <c r="W675" s="3">
        <v>10</v>
      </c>
      <c r="X675" s="3">
        <v>0</v>
      </c>
      <c r="Y675" s="3">
        <v>0</v>
      </c>
      <c r="Z675" s="3">
        <v>0</v>
      </c>
      <c r="AA675" s="3">
        <v>0</v>
      </c>
      <c r="AB675" s="3">
        <f t="shared" si="153"/>
        <v>10</v>
      </c>
      <c r="AC675" s="6">
        <f t="shared" si="161"/>
        <v>0</v>
      </c>
      <c r="AD675" s="6">
        <f t="shared" si="162"/>
        <v>0</v>
      </c>
      <c r="AE675" s="6">
        <f t="shared" si="163"/>
        <v>0</v>
      </c>
      <c r="AF675" s="6">
        <f t="shared" si="164"/>
        <v>0</v>
      </c>
      <c r="AG675" s="6">
        <f t="shared" si="165"/>
        <v>0</v>
      </c>
      <c r="AH675" s="6">
        <f t="shared" si="154"/>
        <v>0</v>
      </c>
      <c r="AI675" s="3"/>
      <c r="AJ675" s="3" t="e">
        <f>_xlfn.XLOOKUP(K675,工作表1!A:A,工作表1!C:C)</f>
        <v>#N/A</v>
      </c>
      <c r="AK675" s="3"/>
      <c r="AL675" s="6">
        <f t="shared" si="155"/>
        <v>10</v>
      </c>
      <c r="AM675" s="6">
        <f t="shared" si="156"/>
        <v>0</v>
      </c>
      <c r="AN675" s="6">
        <f t="shared" si="157"/>
        <v>0</v>
      </c>
      <c r="AO675" s="6">
        <f t="shared" si="158"/>
        <v>0</v>
      </c>
      <c r="AP675" s="6">
        <f t="shared" si="159"/>
        <v>0</v>
      </c>
      <c r="AQ675" s="6">
        <f t="shared" si="160"/>
        <v>10</v>
      </c>
      <c r="AR675" s="6"/>
      <c r="AS675" s="6">
        <v>10</v>
      </c>
      <c r="AT675" s="6"/>
      <c r="AU675" s="6"/>
      <c r="AV675" s="6"/>
      <c r="AW675" s="6"/>
      <c r="AX675" s="6"/>
      <c r="AY675" s="6"/>
      <c r="AZ675" s="6"/>
      <c r="BA675" s="6"/>
      <c r="BB675" s="6"/>
      <c r="BC675" s="6"/>
      <c r="BD675" s="6"/>
      <c r="BE675" s="6"/>
      <c r="BF675" s="6"/>
      <c r="BG675" s="6"/>
      <c r="BH675" s="6"/>
      <c r="BI675" s="6"/>
      <c r="BJ675" s="6"/>
      <c r="BK675" s="6"/>
      <c r="BL675" s="6"/>
      <c r="BM675" s="6"/>
      <c r="BN675" s="6"/>
      <c r="BO675" s="6"/>
      <c r="BP675" s="3">
        <v>10</v>
      </c>
      <c r="BQ675" s="6">
        <f t="shared" si="151"/>
        <v>10</v>
      </c>
      <c r="BS675" s="8">
        <v>10</v>
      </c>
    </row>
    <row r="676" spans="1:73" x14ac:dyDescent="0.3">
      <c r="A676" s="3" t="s">
        <v>931</v>
      </c>
      <c r="B676" s="3">
        <v>415</v>
      </c>
      <c r="C676" s="3" t="s">
        <v>1105</v>
      </c>
      <c r="D676" s="3">
        <v>6</v>
      </c>
      <c r="E676" s="3" t="s">
        <v>19</v>
      </c>
      <c r="F676" s="3" t="s">
        <v>41</v>
      </c>
      <c r="G676" s="3" t="s">
        <v>19</v>
      </c>
      <c r="H676" s="3" t="s">
        <v>42</v>
      </c>
      <c r="I676" s="3">
        <v>18.260000000000002</v>
      </c>
      <c r="J676" s="3" t="s">
        <v>91</v>
      </c>
      <c r="K676" s="3" t="s">
        <v>1108</v>
      </c>
      <c r="L676" s="3" t="s">
        <v>24</v>
      </c>
      <c r="M676" s="3">
        <v>8</v>
      </c>
      <c r="N676" s="6"/>
      <c r="O676" s="3">
        <v>2</v>
      </c>
      <c r="P676" s="3">
        <v>2</v>
      </c>
      <c r="Q676" s="3">
        <v>2</v>
      </c>
      <c r="R676" s="3">
        <v>0</v>
      </c>
      <c r="S676" s="3">
        <v>0</v>
      </c>
      <c r="T676" s="3">
        <v>0</v>
      </c>
      <c r="U676" s="3">
        <v>0</v>
      </c>
      <c r="V676" s="3">
        <f t="shared" si="152"/>
        <v>2</v>
      </c>
      <c r="W676" s="3">
        <v>2</v>
      </c>
      <c r="X676" s="3">
        <v>0</v>
      </c>
      <c r="Y676" s="3">
        <v>0</v>
      </c>
      <c r="Z676" s="3">
        <v>0</v>
      </c>
      <c r="AA676" s="3">
        <v>0</v>
      </c>
      <c r="AB676" s="3">
        <f t="shared" si="153"/>
        <v>2</v>
      </c>
      <c r="AC676" s="6">
        <f t="shared" si="161"/>
        <v>0</v>
      </c>
      <c r="AD676" s="6">
        <f t="shared" si="162"/>
        <v>0</v>
      </c>
      <c r="AE676" s="6">
        <f t="shared" si="163"/>
        <v>0</v>
      </c>
      <c r="AF676" s="6">
        <f t="shared" si="164"/>
        <v>0</v>
      </c>
      <c r="AG676" s="6">
        <f t="shared" si="165"/>
        <v>0</v>
      </c>
      <c r="AH676" s="6">
        <f t="shared" si="154"/>
        <v>0</v>
      </c>
      <c r="AI676" s="3"/>
      <c r="AJ676" s="3" t="e">
        <f>_xlfn.XLOOKUP(K676,工作表1!A:A,工作表1!C:C)</f>
        <v>#N/A</v>
      </c>
      <c r="AK676" s="3"/>
      <c r="AL676" s="6">
        <f t="shared" si="155"/>
        <v>2</v>
      </c>
      <c r="AM676" s="6">
        <f t="shared" si="156"/>
        <v>0</v>
      </c>
      <c r="AN676" s="6">
        <f t="shared" si="157"/>
        <v>0</v>
      </c>
      <c r="AO676" s="6">
        <f t="shared" si="158"/>
        <v>0</v>
      </c>
      <c r="AP676" s="6">
        <f t="shared" si="159"/>
        <v>0</v>
      </c>
      <c r="AQ676" s="6">
        <f t="shared" si="160"/>
        <v>2</v>
      </c>
      <c r="AR676" s="6"/>
      <c r="AS676" s="6"/>
      <c r="AT676" s="6">
        <v>2</v>
      </c>
      <c r="AU676" s="6"/>
      <c r="AV676" s="6"/>
      <c r="AW676" s="6"/>
      <c r="AX676" s="6"/>
      <c r="AY676" s="6"/>
      <c r="AZ676" s="6"/>
      <c r="BA676" s="6"/>
      <c r="BB676" s="6"/>
      <c r="BC676" s="6"/>
      <c r="BD676" s="6"/>
      <c r="BE676" s="6"/>
      <c r="BF676" s="6"/>
      <c r="BG676" s="6"/>
      <c r="BH676" s="6"/>
      <c r="BI676" s="6"/>
      <c r="BJ676" s="6"/>
      <c r="BK676" s="6"/>
      <c r="BL676" s="6"/>
      <c r="BM676" s="6"/>
      <c r="BN676" s="6"/>
      <c r="BO676" s="6"/>
      <c r="BP676" s="3">
        <v>2</v>
      </c>
      <c r="BQ676" s="6">
        <f t="shared" si="151"/>
        <v>2</v>
      </c>
      <c r="BU676">
        <v>2</v>
      </c>
    </row>
    <row r="677" spans="1:73" x14ac:dyDescent="0.3">
      <c r="A677" s="3" t="s">
        <v>931</v>
      </c>
      <c r="B677" s="3">
        <v>415</v>
      </c>
      <c r="C677" s="3" t="s">
        <v>1105</v>
      </c>
      <c r="D677" s="3">
        <v>4</v>
      </c>
      <c r="E677" s="3" t="s">
        <v>19</v>
      </c>
      <c r="F677" s="3" t="s">
        <v>41</v>
      </c>
      <c r="G677" s="3" t="s">
        <v>19</v>
      </c>
      <c r="H677" s="3" t="s">
        <v>48</v>
      </c>
      <c r="I677" s="3">
        <v>13.49</v>
      </c>
      <c r="J677" s="3" t="s">
        <v>91</v>
      </c>
      <c r="K677" s="3" t="s">
        <v>1109</v>
      </c>
      <c r="L677" s="3" t="s">
        <v>24</v>
      </c>
      <c r="M677" s="3">
        <v>4</v>
      </c>
      <c r="N677" s="6"/>
      <c r="O677" s="3">
        <v>4</v>
      </c>
      <c r="P677" s="3">
        <v>4</v>
      </c>
      <c r="Q677" s="3">
        <v>4</v>
      </c>
      <c r="R677" s="3">
        <v>0</v>
      </c>
      <c r="S677" s="3">
        <v>0</v>
      </c>
      <c r="T677" s="3">
        <v>0</v>
      </c>
      <c r="U677" s="3">
        <v>0</v>
      </c>
      <c r="V677" s="3">
        <f t="shared" si="152"/>
        <v>4</v>
      </c>
      <c r="W677" s="3">
        <v>4</v>
      </c>
      <c r="X677" s="3">
        <v>0</v>
      </c>
      <c r="Y677" s="3">
        <v>0</v>
      </c>
      <c r="Z677" s="3">
        <v>0</v>
      </c>
      <c r="AA677" s="3">
        <v>0</v>
      </c>
      <c r="AB677" s="3">
        <f t="shared" si="153"/>
        <v>4</v>
      </c>
      <c r="AC677" s="6">
        <f t="shared" si="161"/>
        <v>0</v>
      </c>
      <c r="AD677" s="6">
        <f t="shared" si="162"/>
        <v>0</v>
      </c>
      <c r="AE677" s="6">
        <f t="shared" si="163"/>
        <v>0</v>
      </c>
      <c r="AF677" s="6">
        <f t="shared" si="164"/>
        <v>0</v>
      </c>
      <c r="AG677" s="6">
        <f t="shared" si="165"/>
        <v>0</v>
      </c>
      <c r="AH677" s="6">
        <f t="shared" si="154"/>
        <v>0</v>
      </c>
      <c r="AI677" s="3"/>
      <c r="AJ677" s="3" t="e">
        <f>_xlfn.XLOOKUP(K677,工作表1!A:A,工作表1!C:C)</f>
        <v>#N/A</v>
      </c>
      <c r="AK677" s="3"/>
      <c r="AL677" s="6">
        <f t="shared" si="155"/>
        <v>4</v>
      </c>
      <c r="AM677" s="6">
        <f t="shared" si="156"/>
        <v>0</v>
      </c>
      <c r="AN677" s="6">
        <f t="shared" si="157"/>
        <v>0</v>
      </c>
      <c r="AO677" s="6">
        <f t="shared" si="158"/>
        <v>0</v>
      </c>
      <c r="AP677" s="6">
        <f t="shared" si="159"/>
        <v>0</v>
      </c>
      <c r="AQ677" s="6">
        <f t="shared" si="160"/>
        <v>4</v>
      </c>
      <c r="AR677" s="6"/>
      <c r="AS677" s="6"/>
      <c r="AT677" s="6">
        <v>4</v>
      </c>
      <c r="AU677" s="6"/>
      <c r="AV677" s="6"/>
      <c r="AW677" s="6"/>
      <c r="AX677" s="6"/>
      <c r="AY677" s="6"/>
      <c r="AZ677" s="6"/>
      <c r="BA677" s="6"/>
      <c r="BB677" s="6"/>
      <c r="BC677" s="6"/>
      <c r="BD677" s="6"/>
      <c r="BE677" s="6"/>
      <c r="BF677" s="6"/>
      <c r="BG677" s="6"/>
      <c r="BH677" s="6"/>
      <c r="BI677" s="6"/>
      <c r="BJ677" s="6"/>
      <c r="BK677" s="6"/>
      <c r="BL677" s="6"/>
      <c r="BM677" s="6"/>
      <c r="BN677" s="6"/>
      <c r="BO677" s="6"/>
      <c r="BP677" s="3">
        <v>4</v>
      </c>
      <c r="BQ677" s="6">
        <f t="shared" si="151"/>
        <v>4</v>
      </c>
      <c r="BU677">
        <v>4</v>
      </c>
    </row>
    <row r="678" spans="1:73" x14ac:dyDescent="0.3">
      <c r="A678" s="3" t="s">
        <v>931</v>
      </c>
      <c r="B678" s="3">
        <v>415</v>
      </c>
      <c r="C678" s="3" t="s">
        <v>1105</v>
      </c>
      <c r="D678" s="3">
        <v>3</v>
      </c>
      <c r="E678" s="3" t="s">
        <v>19</v>
      </c>
      <c r="F678" s="3" t="s">
        <v>41</v>
      </c>
      <c r="G678" s="3" t="s">
        <v>19</v>
      </c>
      <c r="H678" s="3" t="s">
        <v>51</v>
      </c>
      <c r="I678" s="3">
        <v>11.13</v>
      </c>
      <c r="J678" s="3" t="s">
        <v>91</v>
      </c>
      <c r="K678" s="3" t="s">
        <v>1110</v>
      </c>
      <c r="L678" s="3" t="s">
        <v>24</v>
      </c>
      <c r="M678" s="3">
        <v>9</v>
      </c>
      <c r="N678" s="6"/>
      <c r="O678" s="3">
        <v>7</v>
      </c>
      <c r="P678" s="3">
        <v>7</v>
      </c>
      <c r="Q678" s="3">
        <v>7</v>
      </c>
      <c r="R678" s="3">
        <v>0</v>
      </c>
      <c r="S678" s="3">
        <v>0</v>
      </c>
      <c r="T678" s="3">
        <v>0</v>
      </c>
      <c r="U678" s="3">
        <v>0</v>
      </c>
      <c r="V678" s="3">
        <f t="shared" si="152"/>
        <v>7</v>
      </c>
      <c r="W678" s="3">
        <v>7</v>
      </c>
      <c r="X678" s="3">
        <v>0</v>
      </c>
      <c r="Y678" s="3">
        <v>0</v>
      </c>
      <c r="Z678" s="3">
        <v>0</v>
      </c>
      <c r="AA678" s="3">
        <v>0</v>
      </c>
      <c r="AB678" s="3">
        <f t="shared" si="153"/>
        <v>7</v>
      </c>
      <c r="AC678" s="6">
        <f t="shared" si="161"/>
        <v>0</v>
      </c>
      <c r="AD678" s="6">
        <f t="shared" si="162"/>
        <v>0</v>
      </c>
      <c r="AE678" s="6">
        <f t="shared" si="163"/>
        <v>0</v>
      </c>
      <c r="AF678" s="6">
        <f t="shared" si="164"/>
        <v>0</v>
      </c>
      <c r="AG678" s="6">
        <f t="shared" si="165"/>
        <v>0</v>
      </c>
      <c r="AH678" s="6">
        <f t="shared" si="154"/>
        <v>0</v>
      </c>
      <c r="AI678" s="3"/>
      <c r="AJ678" s="3" t="e">
        <f>_xlfn.XLOOKUP(K678,工作表1!A:A,工作表1!C:C)</f>
        <v>#N/A</v>
      </c>
      <c r="AK678" s="3"/>
      <c r="AL678" s="6">
        <f t="shared" si="155"/>
        <v>7</v>
      </c>
      <c r="AM678" s="6">
        <f t="shared" si="156"/>
        <v>0</v>
      </c>
      <c r="AN678" s="6">
        <f t="shared" si="157"/>
        <v>0</v>
      </c>
      <c r="AO678" s="6">
        <f t="shared" si="158"/>
        <v>0</v>
      </c>
      <c r="AP678" s="6">
        <f t="shared" si="159"/>
        <v>0</v>
      </c>
      <c r="AQ678" s="6">
        <f t="shared" si="160"/>
        <v>7</v>
      </c>
      <c r="AR678" s="6"/>
      <c r="AS678" s="6"/>
      <c r="AT678" s="6">
        <v>7</v>
      </c>
      <c r="AU678" s="6"/>
      <c r="AV678" s="6"/>
      <c r="AW678" s="6"/>
      <c r="AX678" s="6"/>
      <c r="AY678" s="6"/>
      <c r="AZ678" s="6"/>
      <c r="BA678" s="6"/>
      <c r="BB678" s="6"/>
      <c r="BC678" s="6"/>
      <c r="BD678" s="6"/>
      <c r="BE678" s="6"/>
      <c r="BF678" s="6"/>
      <c r="BG678" s="6"/>
      <c r="BH678" s="6"/>
      <c r="BI678" s="6"/>
      <c r="BJ678" s="6"/>
      <c r="BK678" s="6"/>
      <c r="BL678" s="6"/>
      <c r="BM678" s="6"/>
      <c r="BN678" s="6"/>
      <c r="BO678" s="6"/>
      <c r="BP678" s="3">
        <v>7</v>
      </c>
      <c r="BQ678" s="6">
        <f t="shared" si="151"/>
        <v>7</v>
      </c>
      <c r="BU678">
        <v>7</v>
      </c>
    </row>
    <row r="679" spans="1:73" x14ac:dyDescent="0.3">
      <c r="A679" s="3" t="s">
        <v>931</v>
      </c>
      <c r="B679" s="3">
        <v>415</v>
      </c>
      <c r="C679" s="3" t="s">
        <v>1111</v>
      </c>
      <c r="D679" s="3">
        <v>14</v>
      </c>
      <c r="E679" s="3" t="s">
        <v>19</v>
      </c>
      <c r="F679" s="3" t="s">
        <v>41</v>
      </c>
      <c r="G679" s="3" t="s">
        <v>19</v>
      </c>
      <c r="H679" s="3" t="s">
        <v>948</v>
      </c>
      <c r="I679" s="3">
        <v>35.71</v>
      </c>
      <c r="J679" s="3" t="s">
        <v>91</v>
      </c>
      <c r="K679" s="3" t="s">
        <v>1112</v>
      </c>
      <c r="L679" s="3" t="s">
        <v>24</v>
      </c>
      <c r="M679" s="3">
        <v>5</v>
      </c>
      <c r="N679" s="6"/>
      <c r="O679" s="3">
        <v>5</v>
      </c>
      <c r="P679" s="3">
        <v>5</v>
      </c>
      <c r="Q679" s="3">
        <v>5</v>
      </c>
      <c r="R679" s="3">
        <v>0</v>
      </c>
      <c r="S679" s="3">
        <v>0</v>
      </c>
      <c r="T679" s="3">
        <v>0</v>
      </c>
      <c r="U679" s="3">
        <v>0</v>
      </c>
      <c r="V679" s="3">
        <f t="shared" si="152"/>
        <v>5</v>
      </c>
      <c r="W679" s="3">
        <v>5</v>
      </c>
      <c r="X679" s="3">
        <v>0</v>
      </c>
      <c r="Y679" s="3">
        <v>0</v>
      </c>
      <c r="Z679" s="3">
        <v>0</v>
      </c>
      <c r="AA679" s="3">
        <v>0</v>
      </c>
      <c r="AB679" s="3">
        <f t="shared" si="153"/>
        <v>5</v>
      </c>
      <c r="AC679" s="6">
        <f t="shared" si="161"/>
        <v>0</v>
      </c>
      <c r="AD679" s="6">
        <f t="shared" si="162"/>
        <v>0</v>
      </c>
      <c r="AE679" s="6">
        <f t="shared" si="163"/>
        <v>0</v>
      </c>
      <c r="AF679" s="6">
        <f t="shared" si="164"/>
        <v>0</v>
      </c>
      <c r="AG679" s="6">
        <f t="shared" si="165"/>
        <v>0</v>
      </c>
      <c r="AH679" s="6">
        <f t="shared" si="154"/>
        <v>0</v>
      </c>
      <c r="AI679" s="3"/>
      <c r="AJ679" s="3" t="e">
        <f>_xlfn.XLOOKUP(K679,工作表1!A:A,工作表1!C:C)</f>
        <v>#N/A</v>
      </c>
      <c r="AK679" s="3"/>
      <c r="AL679" s="6">
        <f t="shared" si="155"/>
        <v>5</v>
      </c>
      <c r="AM679" s="6">
        <f t="shared" si="156"/>
        <v>0</v>
      </c>
      <c r="AN679" s="6">
        <f t="shared" si="157"/>
        <v>0</v>
      </c>
      <c r="AO679" s="6">
        <f t="shared" si="158"/>
        <v>0</v>
      </c>
      <c r="AP679" s="6">
        <f t="shared" si="159"/>
        <v>0</v>
      </c>
      <c r="AQ679" s="6">
        <f t="shared" si="160"/>
        <v>5</v>
      </c>
      <c r="AR679" s="6"/>
      <c r="AS679" s="6"/>
      <c r="AT679" s="6">
        <v>5</v>
      </c>
      <c r="AU679" s="6"/>
      <c r="AV679" s="6"/>
      <c r="AW679" s="6"/>
      <c r="AX679" s="6"/>
      <c r="AY679" s="6"/>
      <c r="AZ679" s="6"/>
      <c r="BA679" s="6"/>
      <c r="BB679" s="6"/>
      <c r="BC679" s="6"/>
      <c r="BD679" s="6"/>
      <c r="BE679" s="6"/>
      <c r="BF679" s="6"/>
      <c r="BG679" s="6"/>
      <c r="BH679" s="6"/>
      <c r="BI679" s="6"/>
      <c r="BJ679" s="6"/>
      <c r="BK679" s="6"/>
      <c r="BL679" s="6"/>
      <c r="BM679" s="6"/>
      <c r="BN679" s="6"/>
      <c r="BO679" s="6"/>
      <c r="BP679" s="3">
        <v>5</v>
      </c>
      <c r="BQ679" s="6">
        <f t="shared" si="151"/>
        <v>5</v>
      </c>
      <c r="BU679">
        <v>5</v>
      </c>
    </row>
    <row r="680" spans="1:73" x14ac:dyDescent="0.3">
      <c r="A680" s="3" t="s">
        <v>931</v>
      </c>
      <c r="B680" s="3">
        <v>415</v>
      </c>
      <c r="C680" s="3" t="s">
        <v>1113</v>
      </c>
      <c r="D680" s="3">
        <v>16</v>
      </c>
      <c r="E680" s="3" t="s">
        <v>19</v>
      </c>
      <c r="F680" s="3" t="s">
        <v>41</v>
      </c>
      <c r="G680" s="3" t="s">
        <v>19</v>
      </c>
      <c r="H680" s="3" t="s">
        <v>958</v>
      </c>
      <c r="I680" s="3">
        <v>40.49</v>
      </c>
      <c r="J680" s="3" t="s">
        <v>91</v>
      </c>
      <c r="K680" s="3" t="s">
        <v>1114</v>
      </c>
      <c r="L680" s="3" t="s">
        <v>24</v>
      </c>
      <c r="M680" s="3">
        <v>6</v>
      </c>
      <c r="N680" s="6"/>
      <c r="O680" s="3">
        <v>6</v>
      </c>
      <c r="P680" s="3">
        <v>6</v>
      </c>
      <c r="Q680" s="3">
        <v>6</v>
      </c>
      <c r="R680" s="3">
        <v>0</v>
      </c>
      <c r="S680" s="3">
        <v>0</v>
      </c>
      <c r="T680" s="3">
        <v>0</v>
      </c>
      <c r="U680" s="3">
        <v>0</v>
      </c>
      <c r="V680" s="3">
        <f t="shared" si="152"/>
        <v>6</v>
      </c>
      <c r="W680" s="3">
        <v>6</v>
      </c>
      <c r="X680" s="3">
        <v>0</v>
      </c>
      <c r="Y680" s="3">
        <v>0</v>
      </c>
      <c r="Z680" s="3">
        <v>0</v>
      </c>
      <c r="AA680" s="3">
        <v>0</v>
      </c>
      <c r="AB680" s="3">
        <f t="shared" si="153"/>
        <v>6</v>
      </c>
      <c r="AC680" s="6">
        <f t="shared" si="161"/>
        <v>0</v>
      </c>
      <c r="AD680" s="6">
        <f t="shared" si="162"/>
        <v>0</v>
      </c>
      <c r="AE680" s="6">
        <f t="shared" si="163"/>
        <v>0</v>
      </c>
      <c r="AF680" s="6">
        <f t="shared" si="164"/>
        <v>0</v>
      </c>
      <c r="AG680" s="6">
        <f t="shared" si="165"/>
        <v>0</v>
      </c>
      <c r="AH680" s="6">
        <f t="shared" si="154"/>
        <v>0</v>
      </c>
      <c r="AI680" s="3"/>
      <c r="AJ680" s="3" t="e">
        <f>_xlfn.XLOOKUP(K680,工作表1!A:A,工作表1!C:C)</f>
        <v>#N/A</v>
      </c>
      <c r="AK680" s="3"/>
      <c r="AL680" s="6">
        <f t="shared" si="155"/>
        <v>6</v>
      </c>
      <c r="AM680" s="6">
        <f t="shared" si="156"/>
        <v>0</v>
      </c>
      <c r="AN680" s="6">
        <f t="shared" si="157"/>
        <v>0</v>
      </c>
      <c r="AO680" s="6">
        <f t="shared" si="158"/>
        <v>0</v>
      </c>
      <c r="AP680" s="6">
        <f t="shared" si="159"/>
        <v>0</v>
      </c>
      <c r="AQ680" s="6">
        <f t="shared" si="160"/>
        <v>6</v>
      </c>
      <c r="AR680" s="6"/>
      <c r="AS680" s="6">
        <v>6</v>
      </c>
      <c r="AT680" s="6"/>
      <c r="AU680" s="6"/>
      <c r="AV680" s="6"/>
      <c r="AW680" s="6"/>
      <c r="AX680" s="6"/>
      <c r="AY680" s="6"/>
      <c r="AZ680" s="6"/>
      <c r="BA680" s="6"/>
      <c r="BB680" s="6"/>
      <c r="BC680" s="6"/>
      <c r="BD680" s="6"/>
      <c r="BE680" s="6"/>
      <c r="BF680" s="6"/>
      <c r="BG680" s="6"/>
      <c r="BH680" s="6"/>
      <c r="BI680" s="6"/>
      <c r="BJ680" s="6"/>
      <c r="BK680" s="6"/>
      <c r="BL680" s="6"/>
      <c r="BM680" s="6"/>
      <c r="BN680" s="6"/>
      <c r="BO680" s="6"/>
      <c r="BP680" s="3">
        <v>6</v>
      </c>
      <c r="BQ680" s="6">
        <f t="shared" si="151"/>
        <v>6</v>
      </c>
      <c r="BS680">
        <v>6</v>
      </c>
    </row>
    <row r="681" spans="1:73" x14ac:dyDescent="0.3">
      <c r="A681" s="3" t="s">
        <v>931</v>
      </c>
      <c r="B681" s="3">
        <v>415</v>
      </c>
      <c r="C681" s="3" t="s">
        <v>1115</v>
      </c>
      <c r="D681" s="3">
        <v>6</v>
      </c>
      <c r="E681" s="3" t="s">
        <v>19</v>
      </c>
      <c r="F681" s="3" t="s">
        <v>767</v>
      </c>
      <c r="G681" s="3" t="s">
        <v>19</v>
      </c>
      <c r="H681" s="3" t="s">
        <v>937</v>
      </c>
      <c r="I681" s="3">
        <v>7.11</v>
      </c>
      <c r="J681" s="3" t="s">
        <v>91</v>
      </c>
      <c r="K681" s="3" t="s">
        <v>1116</v>
      </c>
      <c r="L681" s="3" t="s">
        <v>24</v>
      </c>
      <c r="M681" s="3">
        <v>5</v>
      </c>
      <c r="N681" s="6"/>
      <c r="O681" s="3">
        <v>5</v>
      </c>
      <c r="P681" s="3">
        <v>5</v>
      </c>
      <c r="Q681" s="3">
        <v>5</v>
      </c>
      <c r="R681" s="3">
        <v>0</v>
      </c>
      <c r="S681" s="3">
        <v>0</v>
      </c>
      <c r="T681" s="3">
        <v>0</v>
      </c>
      <c r="U681" s="3">
        <v>0</v>
      </c>
      <c r="V681" s="3">
        <f t="shared" si="152"/>
        <v>5</v>
      </c>
      <c r="W681" s="3">
        <v>5</v>
      </c>
      <c r="X681" s="3">
        <v>0</v>
      </c>
      <c r="Y681" s="3">
        <v>0</v>
      </c>
      <c r="Z681" s="3">
        <v>0</v>
      </c>
      <c r="AA681" s="3">
        <v>0</v>
      </c>
      <c r="AB681" s="3">
        <f t="shared" si="153"/>
        <v>5</v>
      </c>
      <c r="AC681" s="6">
        <f t="shared" si="161"/>
        <v>0</v>
      </c>
      <c r="AD681" s="6">
        <f t="shared" si="162"/>
        <v>0</v>
      </c>
      <c r="AE681" s="6">
        <f t="shared" si="163"/>
        <v>0</v>
      </c>
      <c r="AF681" s="6">
        <f t="shared" si="164"/>
        <v>0</v>
      </c>
      <c r="AG681" s="6">
        <f t="shared" si="165"/>
        <v>0</v>
      </c>
      <c r="AH681" s="6">
        <f t="shared" si="154"/>
        <v>0</v>
      </c>
      <c r="AI681" s="3"/>
      <c r="AJ681" s="3" t="e">
        <f>_xlfn.XLOOKUP(K681,工作表1!A:A,工作表1!C:C)</f>
        <v>#N/A</v>
      </c>
      <c r="AK681" s="3"/>
      <c r="AL681" s="6">
        <f t="shared" si="155"/>
        <v>5</v>
      </c>
      <c r="AM681" s="6">
        <f t="shared" si="156"/>
        <v>0</v>
      </c>
      <c r="AN681" s="6">
        <f t="shared" si="157"/>
        <v>0</v>
      </c>
      <c r="AO681" s="6">
        <f t="shared" si="158"/>
        <v>0</v>
      </c>
      <c r="AP681" s="6">
        <f t="shared" si="159"/>
        <v>0</v>
      </c>
      <c r="AQ681" s="6">
        <f t="shared" si="160"/>
        <v>5</v>
      </c>
      <c r="AR681" s="6"/>
      <c r="AS681" s="6"/>
      <c r="AT681" s="6">
        <v>5</v>
      </c>
      <c r="AU681" s="6"/>
      <c r="AV681" s="6"/>
      <c r="AW681" s="6"/>
      <c r="AX681" s="6"/>
      <c r="AY681" s="6"/>
      <c r="AZ681" s="6"/>
      <c r="BA681" s="6"/>
      <c r="BB681" s="6"/>
      <c r="BC681" s="6"/>
      <c r="BD681" s="6"/>
      <c r="BE681" s="6"/>
      <c r="BF681" s="6"/>
      <c r="BG681" s="6"/>
      <c r="BH681" s="6"/>
      <c r="BI681" s="6"/>
      <c r="BJ681" s="6"/>
      <c r="BK681" s="6"/>
      <c r="BL681" s="6"/>
      <c r="BM681" s="6"/>
      <c r="BN681" s="6"/>
      <c r="BO681" s="6"/>
      <c r="BP681" s="3">
        <v>5</v>
      </c>
      <c r="BQ681" s="6">
        <f t="shared" si="151"/>
        <v>5</v>
      </c>
      <c r="BU681">
        <v>5</v>
      </c>
    </row>
    <row r="682" spans="1:73" x14ac:dyDescent="0.3">
      <c r="A682" s="3" t="s">
        <v>931</v>
      </c>
      <c r="B682" s="3">
        <v>415</v>
      </c>
      <c r="C682" s="3" t="s">
        <v>1115</v>
      </c>
      <c r="D682" s="3">
        <v>4</v>
      </c>
      <c r="E682" s="3" t="s">
        <v>19</v>
      </c>
      <c r="F682" s="3" t="s">
        <v>767</v>
      </c>
      <c r="G682" s="3" t="s">
        <v>19</v>
      </c>
      <c r="H682" s="3" t="s">
        <v>785</v>
      </c>
      <c r="I682" s="3">
        <v>6.02</v>
      </c>
      <c r="J682" s="3" t="s">
        <v>91</v>
      </c>
      <c r="K682" s="3" t="s">
        <v>1117</v>
      </c>
      <c r="L682" s="3" t="s">
        <v>24</v>
      </c>
      <c r="M682" s="3">
        <v>7</v>
      </c>
      <c r="N682" s="6"/>
      <c r="O682" s="3">
        <v>7</v>
      </c>
      <c r="P682" s="3">
        <v>7</v>
      </c>
      <c r="Q682" s="3">
        <v>7</v>
      </c>
      <c r="R682" s="3">
        <v>0</v>
      </c>
      <c r="S682" s="3">
        <v>0</v>
      </c>
      <c r="T682" s="3">
        <v>0</v>
      </c>
      <c r="U682" s="3">
        <v>0</v>
      </c>
      <c r="V682" s="3">
        <f t="shared" si="152"/>
        <v>7</v>
      </c>
      <c r="W682" s="3">
        <v>7</v>
      </c>
      <c r="X682" s="3">
        <v>0</v>
      </c>
      <c r="Y682" s="3">
        <v>0</v>
      </c>
      <c r="Z682" s="3">
        <v>0</v>
      </c>
      <c r="AA682" s="3">
        <v>0</v>
      </c>
      <c r="AB682" s="3">
        <f t="shared" si="153"/>
        <v>7</v>
      </c>
      <c r="AC682" s="6">
        <f t="shared" si="161"/>
        <v>0</v>
      </c>
      <c r="AD682" s="6">
        <f t="shared" si="162"/>
        <v>0</v>
      </c>
      <c r="AE682" s="6">
        <f t="shared" si="163"/>
        <v>0</v>
      </c>
      <c r="AF682" s="6">
        <f t="shared" si="164"/>
        <v>0</v>
      </c>
      <c r="AG682" s="6">
        <f t="shared" si="165"/>
        <v>0</v>
      </c>
      <c r="AH682" s="6">
        <f t="shared" si="154"/>
        <v>0</v>
      </c>
      <c r="AI682" s="3"/>
      <c r="AJ682" s="3" t="e">
        <f>_xlfn.XLOOKUP(K682,工作表1!A:A,工作表1!C:C)</f>
        <v>#N/A</v>
      </c>
      <c r="AK682" s="3"/>
      <c r="AL682" s="6">
        <f t="shared" si="155"/>
        <v>7</v>
      </c>
      <c r="AM682" s="6">
        <f t="shared" si="156"/>
        <v>0</v>
      </c>
      <c r="AN682" s="6">
        <f t="shared" si="157"/>
        <v>0</v>
      </c>
      <c r="AO682" s="6">
        <f t="shared" si="158"/>
        <v>0</v>
      </c>
      <c r="AP682" s="6">
        <f t="shared" si="159"/>
        <v>0</v>
      </c>
      <c r="AQ682" s="6">
        <f t="shared" si="160"/>
        <v>7</v>
      </c>
      <c r="AR682" s="6"/>
      <c r="AS682" s="6"/>
      <c r="AT682" s="6">
        <v>7</v>
      </c>
      <c r="AU682" s="6"/>
      <c r="AV682" s="6"/>
      <c r="AW682" s="6"/>
      <c r="AX682" s="6"/>
      <c r="AY682" s="6"/>
      <c r="AZ682" s="6"/>
      <c r="BA682" s="6"/>
      <c r="BB682" s="6"/>
      <c r="BC682" s="6"/>
      <c r="BD682" s="6"/>
      <c r="BE682" s="6"/>
      <c r="BF682" s="6"/>
      <c r="BG682" s="6"/>
      <c r="BH682" s="6"/>
      <c r="BI682" s="6"/>
      <c r="BJ682" s="6"/>
      <c r="BK682" s="6"/>
      <c r="BL682" s="6"/>
      <c r="BM682" s="6"/>
      <c r="BN682" s="6"/>
      <c r="BO682" s="6"/>
      <c r="BP682" s="3">
        <v>7</v>
      </c>
      <c r="BQ682" s="6">
        <f t="shared" si="151"/>
        <v>7</v>
      </c>
      <c r="BU682">
        <v>7</v>
      </c>
    </row>
    <row r="683" spans="1:73" x14ac:dyDescent="0.3">
      <c r="A683" s="3" t="s">
        <v>931</v>
      </c>
      <c r="B683" s="3">
        <v>415</v>
      </c>
      <c r="C683" s="3" t="s">
        <v>1118</v>
      </c>
      <c r="D683" s="3">
        <v>6</v>
      </c>
      <c r="E683" s="3" t="s">
        <v>19</v>
      </c>
      <c r="F683" s="3" t="s">
        <v>767</v>
      </c>
      <c r="G683" s="3" t="s">
        <v>19</v>
      </c>
      <c r="H683" s="3" t="s">
        <v>937</v>
      </c>
      <c r="I683" s="3">
        <v>7.11</v>
      </c>
      <c r="J683" s="3" t="s">
        <v>91</v>
      </c>
      <c r="K683" s="3" t="s">
        <v>1119</v>
      </c>
      <c r="L683" s="3" t="s">
        <v>24</v>
      </c>
      <c r="M683" s="3">
        <v>2</v>
      </c>
      <c r="N683" s="6"/>
      <c r="O683" s="3">
        <v>2</v>
      </c>
      <c r="P683" s="3">
        <v>2</v>
      </c>
      <c r="Q683" s="3">
        <v>2</v>
      </c>
      <c r="R683" s="3">
        <v>0</v>
      </c>
      <c r="S683" s="3">
        <v>0</v>
      </c>
      <c r="T683" s="3">
        <v>0</v>
      </c>
      <c r="U683" s="3">
        <v>0</v>
      </c>
      <c r="V683" s="3">
        <f t="shared" si="152"/>
        <v>2</v>
      </c>
      <c r="W683" s="3">
        <v>2</v>
      </c>
      <c r="X683" s="3">
        <v>0</v>
      </c>
      <c r="Y683" s="3">
        <v>0</v>
      </c>
      <c r="Z683" s="3">
        <v>0</v>
      </c>
      <c r="AA683" s="3">
        <v>0</v>
      </c>
      <c r="AB683" s="3">
        <f t="shared" si="153"/>
        <v>2</v>
      </c>
      <c r="AC683" s="6">
        <f t="shared" si="161"/>
        <v>0</v>
      </c>
      <c r="AD683" s="6">
        <f t="shared" si="162"/>
        <v>0</v>
      </c>
      <c r="AE683" s="6">
        <f t="shared" si="163"/>
        <v>0</v>
      </c>
      <c r="AF683" s="6">
        <f t="shared" si="164"/>
        <v>0</v>
      </c>
      <c r="AG683" s="6">
        <f t="shared" si="165"/>
        <v>0</v>
      </c>
      <c r="AH683" s="6">
        <f t="shared" si="154"/>
        <v>0</v>
      </c>
      <c r="AI683" s="3"/>
      <c r="AJ683" s="3" t="e">
        <f>_xlfn.XLOOKUP(K683,工作表1!A:A,工作表1!C:C)</f>
        <v>#N/A</v>
      </c>
      <c r="AK683" s="3"/>
      <c r="AL683" s="6">
        <f t="shared" si="155"/>
        <v>2</v>
      </c>
      <c r="AM683" s="6">
        <f t="shared" si="156"/>
        <v>0</v>
      </c>
      <c r="AN683" s="6">
        <f t="shared" si="157"/>
        <v>0</v>
      </c>
      <c r="AO683" s="6">
        <f t="shared" si="158"/>
        <v>0</v>
      </c>
      <c r="AP683" s="6">
        <f t="shared" si="159"/>
        <v>0</v>
      </c>
      <c r="AQ683" s="6">
        <f t="shared" si="160"/>
        <v>2</v>
      </c>
      <c r="AR683" s="6"/>
      <c r="AS683" s="6"/>
      <c r="AT683" s="6">
        <v>2</v>
      </c>
      <c r="AU683" s="6"/>
      <c r="AV683" s="6"/>
      <c r="AW683" s="6"/>
      <c r="AX683" s="6"/>
      <c r="AY683" s="6"/>
      <c r="AZ683" s="6"/>
      <c r="BA683" s="6"/>
      <c r="BB683" s="6"/>
      <c r="BC683" s="6"/>
      <c r="BD683" s="6"/>
      <c r="BE683" s="6"/>
      <c r="BF683" s="6"/>
      <c r="BG683" s="6"/>
      <c r="BH683" s="6"/>
      <c r="BI683" s="6"/>
      <c r="BJ683" s="6"/>
      <c r="BK683" s="6"/>
      <c r="BL683" s="6"/>
      <c r="BM683" s="6"/>
      <c r="BN683" s="6"/>
      <c r="BO683" s="6"/>
      <c r="BP683" s="3">
        <v>2</v>
      </c>
      <c r="BQ683" s="6">
        <f t="shared" si="151"/>
        <v>2</v>
      </c>
      <c r="BU683">
        <v>2</v>
      </c>
    </row>
    <row r="684" spans="1:73" x14ac:dyDescent="0.3">
      <c r="A684" s="3" t="s">
        <v>931</v>
      </c>
      <c r="B684" s="3">
        <v>433</v>
      </c>
      <c r="C684" s="3" t="s">
        <v>1120</v>
      </c>
      <c r="D684" s="3">
        <v>20</v>
      </c>
      <c r="E684" s="3">
        <v>16</v>
      </c>
      <c r="F684" s="3" t="s">
        <v>41</v>
      </c>
      <c r="G684" s="3" t="s">
        <v>19</v>
      </c>
      <c r="H684" s="3" t="s">
        <v>1121</v>
      </c>
      <c r="I684" s="3"/>
      <c r="J684" s="3" t="s">
        <v>91</v>
      </c>
      <c r="K684" s="3" t="s">
        <v>1122</v>
      </c>
      <c r="L684" s="3" t="s">
        <v>24</v>
      </c>
      <c r="M684" s="3">
        <v>1</v>
      </c>
      <c r="N684" s="6"/>
      <c r="O684" s="3">
        <v>1</v>
      </c>
      <c r="P684" s="3">
        <v>1</v>
      </c>
      <c r="Q684" s="3">
        <v>1</v>
      </c>
      <c r="R684" s="3">
        <v>0</v>
      </c>
      <c r="S684" s="3">
        <v>0</v>
      </c>
      <c r="T684" s="3">
        <v>0</v>
      </c>
      <c r="U684" s="3">
        <v>0</v>
      </c>
      <c r="V684" s="3">
        <f t="shared" si="152"/>
        <v>1</v>
      </c>
      <c r="W684" s="3">
        <v>1</v>
      </c>
      <c r="X684" s="3">
        <v>0</v>
      </c>
      <c r="Y684" s="3">
        <v>0</v>
      </c>
      <c r="Z684" s="3">
        <v>0</v>
      </c>
      <c r="AA684" s="3">
        <v>0</v>
      </c>
      <c r="AB684" s="3">
        <f t="shared" si="153"/>
        <v>1</v>
      </c>
      <c r="AC684" s="6">
        <f t="shared" si="161"/>
        <v>0</v>
      </c>
      <c r="AD684" s="6">
        <f t="shared" si="162"/>
        <v>0</v>
      </c>
      <c r="AE684" s="6">
        <f t="shared" si="163"/>
        <v>0</v>
      </c>
      <c r="AF684" s="6">
        <f t="shared" si="164"/>
        <v>0</v>
      </c>
      <c r="AG684" s="6">
        <f t="shared" si="165"/>
        <v>0</v>
      </c>
      <c r="AH684" s="6">
        <f t="shared" si="154"/>
        <v>0</v>
      </c>
      <c r="AI684" s="3"/>
      <c r="AJ684" s="3" t="e">
        <f>_xlfn.XLOOKUP(K684,工作表1!A:A,工作表1!C:C)</f>
        <v>#N/A</v>
      </c>
      <c r="AK684" s="3"/>
      <c r="AL684" s="6">
        <f t="shared" si="155"/>
        <v>1</v>
      </c>
      <c r="AM684" s="6">
        <f t="shared" si="156"/>
        <v>0</v>
      </c>
      <c r="AN684" s="6">
        <f t="shared" si="157"/>
        <v>0</v>
      </c>
      <c r="AO684" s="6">
        <f t="shared" si="158"/>
        <v>0</v>
      </c>
      <c r="AP684" s="6">
        <f t="shared" si="159"/>
        <v>0</v>
      </c>
      <c r="AQ684" s="6">
        <f t="shared" si="160"/>
        <v>1</v>
      </c>
      <c r="AR684" s="6"/>
      <c r="AS684" s="6"/>
      <c r="AT684" s="6">
        <v>1</v>
      </c>
      <c r="AU684" s="6"/>
      <c r="AV684" s="6"/>
      <c r="AW684" s="6"/>
      <c r="AX684" s="6"/>
      <c r="AY684" s="6"/>
      <c r="AZ684" s="6"/>
      <c r="BA684" s="6"/>
      <c r="BB684" s="6"/>
      <c r="BC684" s="6"/>
      <c r="BD684" s="6"/>
      <c r="BE684" s="6"/>
      <c r="BF684" s="6"/>
      <c r="BG684" s="6"/>
      <c r="BH684" s="6"/>
      <c r="BI684" s="6"/>
      <c r="BJ684" s="6"/>
      <c r="BK684" s="6"/>
      <c r="BL684" s="6"/>
      <c r="BM684" s="6"/>
      <c r="BN684" s="6"/>
      <c r="BO684" s="6"/>
      <c r="BP684" s="3">
        <v>1</v>
      </c>
      <c r="BQ684" s="6">
        <f t="shared" si="151"/>
        <v>1</v>
      </c>
      <c r="BU684">
        <v>1</v>
      </c>
    </row>
    <row r="685" spans="1:73" x14ac:dyDescent="0.3">
      <c r="A685" s="3" t="s">
        <v>931</v>
      </c>
      <c r="B685" s="3">
        <v>453</v>
      </c>
      <c r="C685" s="3" t="s">
        <v>1123</v>
      </c>
      <c r="D685" s="3">
        <v>8</v>
      </c>
      <c r="E685" s="3" t="s">
        <v>19</v>
      </c>
      <c r="F685" s="3" t="s">
        <v>41</v>
      </c>
      <c r="G685" s="3" t="s">
        <v>19</v>
      </c>
      <c r="H685" s="3" t="s">
        <v>952</v>
      </c>
      <c r="I685" s="3">
        <v>23.01</v>
      </c>
      <c r="J685" s="3" t="s">
        <v>413</v>
      </c>
      <c r="K685" s="3" t="s">
        <v>1124</v>
      </c>
      <c r="L685" s="3" t="s">
        <v>24</v>
      </c>
      <c r="M685" s="3">
        <v>1</v>
      </c>
      <c r="N685" s="6"/>
      <c r="O685" s="3">
        <v>1</v>
      </c>
      <c r="P685" s="3">
        <v>1</v>
      </c>
      <c r="Q685" s="3">
        <v>1</v>
      </c>
      <c r="R685" s="3">
        <v>0</v>
      </c>
      <c r="S685" s="3">
        <v>0</v>
      </c>
      <c r="T685" s="3">
        <v>0</v>
      </c>
      <c r="U685" s="3">
        <v>0</v>
      </c>
      <c r="V685" s="3">
        <f t="shared" si="152"/>
        <v>1</v>
      </c>
      <c r="W685" s="3">
        <v>1</v>
      </c>
      <c r="X685" s="3">
        <v>0</v>
      </c>
      <c r="Y685" s="3">
        <v>0</v>
      </c>
      <c r="Z685" s="3">
        <v>0</v>
      </c>
      <c r="AA685" s="3">
        <v>0</v>
      </c>
      <c r="AB685" s="3">
        <f t="shared" si="153"/>
        <v>1</v>
      </c>
      <c r="AC685" s="6">
        <f t="shared" si="161"/>
        <v>0</v>
      </c>
      <c r="AD685" s="6">
        <f t="shared" si="162"/>
        <v>0</v>
      </c>
      <c r="AE685" s="6">
        <f t="shared" si="163"/>
        <v>0</v>
      </c>
      <c r="AF685" s="6">
        <f t="shared" si="164"/>
        <v>0</v>
      </c>
      <c r="AG685" s="6">
        <f t="shared" si="165"/>
        <v>0</v>
      </c>
      <c r="AH685" s="6">
        <f t="shared" si="154"/>
        <v>0</v>
      </c>
      <c r="AI685" s="3"/>
      <c r="AJ685" s="3" t="e">
        <f>_xlfn.XLOOKUP(K685,工作表1!A:A,工作表1!C:C)</f>
        <v>#N/A</v>
      </c>
      <c r="AK685" s="3"/>
      <c r="AL685" s="6">
        <f t="shared" si="155"/>
        <v>1</v>
      </c>
      <c r="AM685" s="6">
        <f t="shared" si="156"/>
        <v>0</v>
      </c>
      <c r="AN685" s="6">
        <f t="shared" si="157"/>
        <v>0</v>
      </c>
      <c r="AO685" s="6">
        <f t="shared" si="158"/>
        <v>0</v>
      </c>
      <c r="AP685" s="6">
        <f t="shared" si="159"/>
        <v>0</v>
      </c>
      <c r="AQ685" s="6">
        <f t="shared" si="160"/>
        <v>1</v>
      </c>
      <c r="AR685" s="6"/>
      <c r="AS685" s="6"/>
      <c r="AT685" s="6">
        <v>1</v>
      </c>
      <c r="AU685" s="6"/>
      <c r="AV685" s="6"/>
      <c r="AW685" s="6"/>
      <c r="AX685" s="6"/>
      <c r="AY685" s="6"/>
      <c r="AZ685" s="6"/>
      <c r="BA685" s="6"/>
      <c r="BB685" s="6"/>
      <c r="BC685" s="6"/>
      <c r="BD685" s="6"/>
      <c r="BE685" s="6"/>
      <c r="BF685" s="6"/>
      <c r="BG685" s="6"/>
      <c r="BH685" s="6"/>
      <c r="BI685" s="6"/>
      <c r="BJ685" s="6"/>
      <c r="BK685" s="6"/>
      <c r="BL685" s="6"/>
      <c r="BM685" s="6"/>
      <c r="BN685" s="6"/>
      <c r="BO685" s="6"/>
      <c r="BP685" s="3">
        <v>1</v>
      </c>
      <c r="BQ685" s="6">
        <f t="shared" si="151"/>
        <v>1</v>
      </c>
      <c r="BU685">
        <v>1</v>
      </c>
    </row>
    <row r="686" spans="1:73" x14ac:dyDescent="0.3">
      <c r="A686" s="3" t="s">
        <v>931</v>
      </c>
      <c r="B686" s="3">
        <v>462</v>
      </c>
      <c r="C686" s="3" t="s">
        <v>1125</v>
      </c>
      <c r="D686" s="3">
        <v>4</v>
      </c>
      <c r="E686" s="3" t="s">
        <v>19</v>
      </c>
      <c r="F686" s="3" t="s">
        <v>19</v>
      </c>
      <c r="G686" s="3" t="s">
        <v>19</v>
      </c>
      <c r="H686" s="3" t="s">
        <v>336</v>
      </c>
      <c r="I686" s="3"/>
      <c r="J686" s="3" t="s">
        <v>91</v>
      </c>
      <c r="K686" s="3" t="s">
        <v>1126</v>
      </c>
      <c r="L686" s="3" t="s">
        <v>335</v>
      </c>
      <c r="M686" s="3">
        <v>2</v>
      </c>
      <c r="N686" s="6"/>
      <c r="O686" s="3">
        <v>2</v>
      </c>
      <c r="P686" s="3">
        <v>2</v>
      </c>
      <c r="Q686" s="3">
        <v>2</v>
      </c>
      <c r="R686" s="3">
        <v>0</v>
      </c>
      <c r="S686" s="3">
        <v>0</v>
      </c>
      <c r="T686" s="3">
        <v>0</v>
      </c>
      <c r="U686" s="3">
        <v>0</v>
      </c>
      <c r="V686" s="3">
        <f t="shared" si="152"/>
        <v>2</v>
      </c>
      <c r="W686" s="3">
        <v>2</v>
      </c>
      <c r="X686" s="3">
        <v>0</v>
      </c>
      <c r="Y686" s="3">
        <v>0</v>
      </c>
      <c r="Z686" s="3">
        <v>0</v>
      </c>
      <c r="AA686" s="3">
        <v>0</v>
      </c>
      <c r="AB686" s="3">
        <f t="shared" si="153"/>
        <v>2</v>
      </c>
      <c r="AC686" s="6">
        <f t="shared" si="161"/>
        <v>-2</v>
      </c>
      <c r="AD686" s="6">
        <f t="shared" si="162"/>
        <v>0</v>
      </c>
      <c r="AE686" s="6">
        <f t="shared" si="163"/>
        <v>0</v>
      </c>
      <c r="AF686" s="6">
        <f t="shared" si="164"/>
        <v>0</v>
      </c>
      <c r="AG686" s="6">
        <f t="shared" si="165"/>
        <v>0</v>
      </c>
      <c r="AH686" s="6">
        <f t="shared" si="154"/>
        <v>-2</v>
      </c>
      <c r="AI686" s="3"/>
      <c r="AJ686" s="3" t="e">
        <f>_xlfn.XLOOKUP(K686,工作表1!A:A,工作表1!C:C)</f>
        <v>#N/A</v>
      </c>
      <c r="AK686" s="3"/>
      <c r="AL686" s="6">
        <f t="shared" si="155"/>
        <v>0</v>
      </c>
      <c r="AM686" s="6">
        <f t="shared" si="156"/>
        <v>0</v>
      </c>
      <c r="AN686" s="6">
        <f t="shared" si="157"/>
        <v>0</v>
      </c>
      <c r="AO686" s="6">
        <f t="shared" si="158"/>
        <v>0</v>
      </c>
      <c r="AP686" s="6">
        <f t="shared" si="159"/>
        <v>0</v>
      </c>
      <c r="AQ686" s="6">
        <f t="shared" si="160"/>
        <v>0</v>
      </c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  <c r="BC686" s="6"/>
      <c r="BD686" s="6"/>
      <c r="BE686" s="6"/>
      <c r="BF686" s="6"/>
      <c r="BG686" s="6"/>
      <c r="BH686" s="6"/>
      <c r="BI686" s="6"/>
      <c r="BJ686" s="6"/>
      <c r="BK686" s="6"/>
      <c r="BL686" s="6"/>
      <c r="BM686" s="6"/>
      <c r="BN686" s="6"/>
      <c r="BO686" s="6"/>
      <c r="BP686" s="3">
        <v>2</v>
      </c>
      <c r="BQ686" s="6">
        <f t="shared" si="151"/>
        <v>0</v>
      </c>
    </row>
    <row r="687" spans="1:73" x14ac:dyDescent="0.3">
      <c r="A687" s="3" t="s">
        <v>931</v>
      </c>
      <c r="B687" s="3">
        <v>462</v>
      </c>
      <c r="C687" s="3" t="s">
        <v>1125</v>
      </c>
      <c r="D687" s="3">
        <v>3</v>
      </c>
      <c r="E687" s="3" t="s">
        <v>19</v>
      </c>
      <c r="F687" s="3" t="s">
        <v>19</v>
      </c>
      <c r="G687" s="3" t="s">
        <v>19</v>
      </c>
      <c r="H687" s="3" t="s">
        <v>338</v>
      </c>
      <c r="I687" s="3"/>
      <c r="J687" s="3" t="s">
        <v>91</v>
      </c>
      <c r="K687" s="3" t="s">
        <v>1127</v>
      </c>
      <c r="L687" s="3" t="s">
        <v>335</v>
      </c>
      <c r="M687" s="3">
        <v>2</v>
      </c>
      <c r="N687" s="6"/>
      <c r="O687" s="3">
        <v>2</v>
      </c>
      <c r="P687" s="3">
        <v>2</v>
      </c>
      <c r="Q687" s="3">
        <v>2</v>
      </c>
      <c r="R687" s="3">
        <v>0</v>
      </c>
      <c r="S687" s="3">
        <v>0</v>
      </c>
      <c r="T687" s="3">
        <v>0</v>
      </c>
      <c r="U687" s="3">
        <v>0</v>
      </c>
      <c r="V687" s="3">
        <f t="shared" si="152"/>
        <v>2</v>
      </c>
      <c r="W687" s="3">
        <v>2</v>
      </c>
      <c r="X687" s="3">
        <v>0</v>
      </c>
      <c r="Y687" s="3">
        <v>0</v>
      </c>
      <c r="Z687" s="3">
        <v>0</v>
      </c>
      <c r="AA687" s="3">
        <v>0</v>
      </c>
      <c r="AB687" s="3">
        <f t="shared" si="153"/>
        <v>2</v>
      </c>
      <c r="AC687" s="6">
        <f t="shared" si="161"/>
        <v>-2</v>
      </c>
      <c r="AD687" s="6">
        <f t="shared" si="162"/>
        <v>0</v>
      </c>
      <c r="AE687" s="6">
        <f t="shared" si="163"/>
        <v>0</v>
      </c>
      <c r="AF687" s="6">
        <f t="shared" si="164"/>
        <v>0</v>
      </c>
      <c r="AG687" s="6">
        <f t="shared" si="165"/>
        <v>0</v>
      </c>
      <c r="AH687" s="6">
        <f t="shared" si="154"/>
        <v>-2</v>
      </c>
      <c r="AI687" s="3"/>
      <c r="AJ687" s="3" t="e">
        <f>_xlfn.XLOOKUP(K687,工作表1!A:A,工作表1!C:C)</f>
        <v>#N/A</v>
      </c>
      <c r="AK687" s="3"/>
      <c r="AL687" s="6">
        <f t="shared" si="155"/>
        <v>0</v>
      </c>
      <c r="AM687" s="6">
        <f t="shared" si="156"/>
        <v>0</v>
      </c>
      <c r="AN687" s="6">
        <f t="shared" si="157"/>
        <v>0</v>
      </c>
      <c r="AO687" s="6">
        <f t="shared" si="158"/>
        <v>0</v>
      </c>
      <c r="AP687" s="6">
        <f t="shared" si="159"/>
        <v>0</v>
      </c>
      <c r="AQ687" s="6">
        <f t="shared" si="160"/>
        <v>0</v>
      </c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  <c r="BC687" s="6"/>
      <c r="BD687" s="6"/>
      <c r="BE687" s="6"/>
      <c r="BF687" s="6"/>
      <c r="BG687" s="6"/>
      <c r="BH687" s="6"/>
      <c r="BI687" s="6"/>
      <c r="BJ687" s="6"/>
      <c r="BK687" s="6"/>
      <c r="BL687" s="6"/>
      <c r="BM687" s="6"/>
      <c r="BN687" s="6"/>
      <c r="BO687" s="6"/>
      <c r="BP687" s="3">
        <v>2</v>
      </c>
      <c r="BQ687" s="6">
        <f t="shared" si="151"/>
        <v>0</v>
      </c>
    </row>
    <row r="688" spans="1:73" x14ac:dyDescent="0.3">
      <c r="A688" s="3" t="s">
        <v>931</v>
      </c>
      <c r="B688" s="3">
        <v>462</v>
      </c>
      <c r="C688" s="3" t="s">
        <v>1125</v>
      </c>
      <c r="D688" s="3">
        <v>1</v>
      </c>
      <c r="E688" s="3" t="s">
        <v>19</v>
      </c>
      <c r="F688" s="3" t="s">
        <v>19</v>
      </c>
      <c r="G688" s="3" t="s">
        <v>19</v>
      </c>
      <c r="H688" s="3" t="s">
        <v>101</v>
      </c>
      <c r="I688" s="3"/>
      <c r="J688" s="3" t="s">
        <v>91</v>
      </c>
      <c r="K688" s="3" t="s">
        <v>1128</v>
      </c>
      <c r="L688" s="3" t="s">
        <v>335</v>
      </c>
      <c r="M688" s="3">
        <v>5</v>
      </c>
      <c r="N688" s="6"/>
      <c r="O688" s="3">
        <v>5</v>
      </c>
      <c r="P688" s="3">
        <v>5</v>
      </c>
      <c r="Q688" s="3">
        <v>5</v>
      </c>
      <c r="R688" s="3">
        <v>0</v>
      </c>
      <c r="S688" s="3">
        <v>0</v>
      </c>
      <c r="T688" s="3">
        <v>0</v>
      </c>
      <c r="U688" s="3">
        <v>0</v>
      </c>
      <c r="V688" s="3">
        <f t="shared" si="152"/>
        <v>5</v>
      </c>
      <c r="W688" s="3">
        <v>5</v>
      </c>
      <c r="X688" s="3">
        <v>0</v>
      </c>
      <c r="Y688" s="3">
        <v>0</v>
      </c>
      <c r="Z688" s="3">
        <v>0</v>
      </c>
      <c r="AA688" s="3">
        <v>0</v>
      </c>
      <c r="AB688" s="3">
        <f t="shared" si="153"/>
        <v>5</v>
      </c>
      <c r="AC688" s="6">
        <f t="shared" si="161"/>
        <v>-5</v>
      </c>
      <c r="AD688" s="6">
        <f t="shared" si="162"/>
        <v>0</v>
      </c>
      <c r="AE688" s="6">
        <f t="shared" si="163"/>
        <v>0</v>
      </c>
      <c r="AF688" s="6">
        <f t="shared" si="164"/>
        <v>0</v>
      </c>
      <c r="AG688" s="6">
        <f t="shared" si="165"/>
        <v>0</v>
      </c>
      <c r="AH688" s="6">
        <f t="shared" si="154"/>
        <v>-5</v>
      </c>
      <c r="AI688" s="3"/>
      <c r="AJ688" s="3" t="e">
        <f>_xlfn.XLOOKUP(K688,工作表1!A:A,工作表1!C:C)</f>
        <v>#N/A</v>
      </c>
      <c r="AK688" s="3"/>
      <c r="AL688" s="6">
        <f t="shared" si="155"/>
        <v>0</v>
      </c>
      <c r="AM688" s="6">
        <f t="shared" si="156"/>
        <v>0</v>
      </c>
      <c r="AN688" s="6">
        <f t="shared" si="157"/>
        <v>0</v>
      </c>
      <c r="AO688" s="6">
        <f t="shared" si="158"/>
        <v>0</v>
      </c>
      <c r="AP688" s="6">
        <f t="shared" si="159"/>
        <v>0</v>
      </c>
      <c r="AQ688" s="6">
        <f t="shared" si="160"/>
        <v>0</v>
      </c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  <c r="BC688" s="6"/>
      <c r="BD688" s="6"/>
      <c r="BE688" s="6"/>
      <c r="BF688" s="6"/>
      <c r="BG688" s="6"/>
      <c r="BH688" s="6"/>
      <c r="BI688" s="6"/>
      <c r="BJ688" s="6"/>
      <c r="BK688" s="6"/>
      <c r="BL688" s="6"/>
      <c r="BM688" s="6"/>
      <c r="BN688" s="6"/>
      <c r="BO688" s="6"/>
      <c r="BP688" s="3">
        <v>5</v>
      </c>
      <c r="BQ688" s="6">
        <f t="shared" si="151"/>
        <v>0</v>
      </c>
    </row>
    <row r="689" spans="1:69" x14ac:dyDescent="0.3">
      <c r="A689" s="3" t="s">
        <v>931</v>
      </c>
      <c r="B689" s="3">
        <v>462</v>
      </c>
      <c r="C689" s="3" t="s">
        <v>1125</v>
      </c>
      <c r="D689" s="3">
        <v>0.75</v>
      </c>
      <c r="E689" s="3" t="s">
        <v>19</v>
      </c>
      <c r="F689" s="3" t="s">
        <v>19</v>
      </c>
      <c r="G689" s="3" t="s">
        <v>19</v>
      </c>
      <c r="H689" s="3" t="s">
        <v>103</v>
      </c>
      <c r="I689" s="3"/>
      <c r="J689" s="3" t="s">
        <v>91</v>
      </c>
      <c r="K689" s="3" t="s">
        <v>1129</v>
      </c>
      <c r="L689" s="3" t="s">
        <v>335</v>
      </c>
      <c r="M689" s="3">
        <v>4</v>
      </c>
      <c r="N689" s="6"/>
      <c r="O689" s="3">
        <v>4</v>
      </c>
      <c r="P689" s="3">
        <v>4</v>
      </c>
      <c r="Q689" s="3">
        <v>4</v>
      </c>
      <c r="R689" s="3">
        <v>0</v>
      </c>
      <c r="S689" s="3">
        <v>0</v>
      </c>
      <c r="T689" s="3">
        <v>0</v>
      </c>
      <c r="U689" s="3">
        <v>0</v>
      </c>
      <c r="V689" s="3">
        <f t="shared" si="152"/>
        <v>4</v>
      </c>
      <c r="W689" s="3">
        <v>4</v>
      </c>
      <c r="X689" s="3">
        <v>0</v>
      </c>
      <c r="Y689" s="3">
        <v>0</v>
      </c>
      <c r="Z689" s="3">
        <v>0</v>
      </c>
      <c r="AA689" s="3">
        <v>0</v>
      </c>
      <c r="AB689" s="3">
        <f t="shared" si="153"/>
        <v>4</v>
      </c>
      <c r="AC689" s="6">
        <f t="shared" si="161"/>
        <v>-4</v>
      </c>
      <c r="AD689" s="6">
        <f t="shared" si="162"/>
        <v>0</v>
      </c>
      <c r="AE689" s="6">
        <f t="shared" si="163"/>
        <v>0</v>
      </c>
      <c r="AF689" s="6">
        <f t="shared" si="164"/>
        <v>0</v>
      </c>
      <c r="AG689" s="6">
        <f t="shared" si="165"/>
        <v>0</v>
      </c>
      <c r="AH689" s="6">
        <f t="shared" si="154"/>
        <v>-4</v>
      </c>
      <c r="AI689" s="3"/>
      <c r="AJ689" s="3" t="e">
        <f>_xlfn.XLOOKUP(K689,工作表1!A:A,工作表1!C:C)</f>
        <v>#N/A</v>
      </c>
      <c r="AK689" s="3"/>
      <c r="AL689" s="6">
        <f t="shared" si="155"/>
        <v>0</v>
      </c>
      <c r="AM689" s="6">
        <f t="shared" si="156"/>
        <v>0</v>
      </c>
      <c r="AN689" s="6">
        <f t="shared" si="157"/>
        <v>0</v>
      </c>
      <c r="AO689" s="6">
        <f t="shared" si="158"/>
        <v>0</v>
      </c>
      <c r="AP689" s="6">
        <f t="shared" si="159"/>
        <v>0</v>
      </c>
      <c r="AQ689" s="6">
        <f t="shared" si="160"/>
        <v>0</v>
      </c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  <c r="BC689" s="6"/>
      <c r="BD689" s="6"/>
      <c r="BE689" s="6"/>
      <c r="BF689" s="6"/>
      <c r="BG689" s="6"/>
      <c r="BH689" s="6"/>
      <c r="BI689" s="6"/>
      <c r="BJ689" s="6"/>
      <c r="BK689" s="6"/>
      <c r="BL689" s="6"/>
      <c r="BM689" s="6"/>
      <c r="BN689" s="6"/>
      <c r="BO689" s="6"/>
      <c r="BP689" s="3">
        <v>4</v>
      </c>
      <c r="BQ689" s="6">
        <f t="shared" si="151"/>
        <v>0</v>
      </c>
    </row>
    <row r="690" spans="1:69" x14ac:dyDescent="0.3">
      <c r="A690" s="3" t="s">
        <v>931</v>
      </c>
      <c r="B690" s="3">
        <v>462</v>
      </c>
      <c r="C690" s="3" t="s">
        <v>1130</v>
      </c>
      <c r="D690" s="3">
        <v>6</v>
      </c>
      <c r="E690" s="3" t="s">
        <v>19</v>
      </c>
      <c r="F690" s="3" t="s">
        <v>19</v>
      </c>
      <c r="G690" s="3" t="s">
        <v>19</v>
      </c>
      <c r="H690" s="3" t="s">
        <v>443</v>
      </c>
      <c r="I690" s="3"/>
      <c r="J690" s="3" t="s">
        <v>91</v>
      </c>
      <c r="K690" s="3" t="s">
        <v>1131</v>
      </c>
      <c r="L690" s="3" t="s">
        <v>335</v>
      </c>
      <c r="M690" s="3">
        <v>1</v>
      </c>
      <c r="N690" s="6"/>
      <c r="O690" s="3">
        <v>1</v>
      </c>
      <c r="P690" s="3">
        <v>1</v>
      </c>
      <c r="Q690" s="3">
        <v>1</v>
      </c>
      <c r="R690" s="3">
        <v>0</v>
      </c>
      <c r="S690" s="3">
        <v>0</v>
      </c>
      <c r="T690" s="3">
        <v>0</v>
      </c>
      <c r="U690" s="3">
        <v>0</v>
      </c>
      <c r="V690" s="3">
        <f t="shared" si="152"/>
        <v>1</v>
      </c>
      <c r="W690" s="3">
        <v>1</v>
      </c>
      <c r="X690" s="3">
        <v>0</v>
      </c>
      <c r="Y690" s="3">
        <v>0</v>
      </c>
      <c r="Z690" s="3">
        <v>0</v>
      </c>
      <c r="AA690" s="3">
        <v>0</v>
      </c>
      <c r="AB690" s="3">
        <f t="shared" si="153"/>
        <v>1</v>
      </c>
      <c r="AC690" s="6">
        <f t="shared" si="161"/>
        <v>-1</v>
      </c>
      <c r="AD690" s="6">
        <f t="shared" si="162"/>
        <v>0</v>
      </c>
      <c r="AE690" s="6">
        <f t="shared" si="163"/>
        <v>0</v>
      </c>
      <c r="AF690" s="6">
        <f t="shared" si="164"/>
        <v>0</v>
      </c>
      <c r="AG690" s="6">
        <f t="shared" si="165"/>
        <v>0</v>
      </c>
      <c r="AH690" s="6">
        <f t="shared" si="154"/>
        <v>-1</v>
      </c>
      <c r="AI690" s="3"/>
      <c r="AJ690" s="3" t="e">
        <f>_xlfn.XLOOKUP(K690,工作表1!A:A,工作表1!C:C)</f>
        <v>#N/A</v>
      </c>
      <c r="AK690" s="3"/>
      <c r="AL690" s="6">
        <f t="shared" si="155"/>
        <v>0</v>
      </c>
      <c r="AM690" s="6">
        <f t="shared" si="156"/>
        <v>0</v>
      </c>
      <c r="AN690" s="6">
        <f t="shared" si="157"/>
        <v>0</v>
      </c>
      <c r="AO690" s="6">
        <f t="shared" si="158"/>
        <v>0</v>
      </c>
      <c r="AP690" s="6">
        <f t="shared" si="159"/>
        <v>0</v>
      </c>
      <c r="AQ690" s="6">
        <f t="shared" si="160"/>
        <v>0</v>
      </c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  <c r="BC690" s="6"/>
      <c r="BD690" s="6"/>
      <c r="BE690" s="6"/>
      <c r="BF690" s="6"/>
      <c r="BG690" s="6"/>
      <c r="BH690" s="6"/>
      <c r="BI690" s="6"/>
      <c r="BJ690" s="6"/>
      <c r="BK690" s="6"/>
      <c r="BL690" s="6"/>
      <c r="BM690" s="6"/>
      <c r="BN690" s="6"/>
      <c r="BO690" s="6"/>
      <c r="BP690" s="3">
        <v>1</v>
      </c>
      <c r="BQ690" s="6">
        <f t="shared" si="151"/>
        <v>0</v>
      </c>
    </row>
    <row r="691" spans="1:69" x14ac:dyDescent="0.3">
      <c r="A691" s="3" t="s">
        <v>931</v>
      </c>
      <c r="B691" s="3">
        <v>462</v>
      </c>
      <c r="C691" s="3" t="s">
        <v>1130</v>
      </c>
      <c r="D691" s="3">
        <v>4</v>
      </c>
      <c r="E691" s="3" t="s">
        <v>19</v>
      </c>
      <c r="F691" s="3" t="s">
        <v>19</v>
      </c>
      <c r="G691" s="3" t="s">
        <v>19</v>
      </c>
      <c r="H691" s="3" t="s">
        <v>336</v>
      </c>
      <c r="I691" s="3"/>
      <c r="J691" s="3" t="s">
        <v>91</v>
      </c>
      <c r="K691" s="3" t="s">
        <v>1132</v>
      </c>
      <c r="L691" s="3" t="s">
        <v>335</v>
      </c>
      <c r="M691" s="3">
        <v>2</v>
      </c>
      <c r="N691" s="6"/>
      <c r="O691" s="3">
        <v>1</v>
      </c>
      <c r="P691" s="3">
        <v>1</v>
      </c>
      <c r="Q691" s="3">
        <v>1</v>
      </c>
      <c r="R691" s="3">
        <v>0</v>
      </c>
      <c r="S691" s="3">
        <v>0</v>
      </c>
      <c r="T691" s="3">
        <v>0</v>
      </c>
      <c r="U691" s="3">
        <v>0</v>
      </c>
      <c r="V691" s="3">
        <f t="shared" si="152"/>
        <v>1</v>
      </c>
      <c r="W691" s="3">
        <v>1</v>
      </c>
      <c r="X691" s="3">
        <v>0</v>
      </c>
      <c r="Y691" s="3">
        <v>0</v>
      </c>
      <c r="Z691" s="3">
        <v>0</v>
      </c>
      <c r="AA691" s="3">
        <v>0</v>
      </c>
      <c r="AB691" s="3">
        <f t="shared" si="153"/>
        <v>1</v>
      </c>
      <c r="AC691" s="6">
        <f t="shared" si="161"/>
        <v>-1</v>
      </c>
      <c r="AD691" s="6">
        <f t="shared" si="162"/>
        <v>0</v>
      </c>
      <c r="AE691" s="6">
        <f t="shared" si="163"/>
        <v>0</v>
      </c>
      <c r="AF691" s="6">
        <f t="shared" si="164"/>
        <v>0</v>
      </c>
      <c r="AG691" s="6">
        <f t="shared" si="165"/>
        <v>0</v>
      </c>
      <c r="AH691" s="6">
        <f t="shared" si="154"/>
        <v>-1</v>
      </c>
      <c r="AI691" s="3"/>
      <c r="AJ691" s="3" t="e">
        <f>_xlfn.XLOOKUP(K691,工作表1!A:A,工作表1!C:C)</f>
        <v>#N/A</v>
      </c>
      <c r="AK691" s="3"/>
      <c r="AL691" s="6">
        <f t="shared" si="155"/>
        <v>0</v>
      </c>
      <c r="AM691" s="6">
        <f t="shared" si="156"/>
        <v>0</v>
      </c>
      <c r="AN691" s="6">
        <f t="shared" si="157"/>
        <v>0</v>
      </c>
      <c r="AO691" s="6">
        <f t="shared" si="158"/>
        <v>0</v>
      </c>
      <c r="AP691" s="6">
        <f t="shared" si="159"/>
        <v>0</v>
      </c>
      <c r="AQ691" s="6">
        <f t="shared" si="160"/>
        <v>0</v>
      </c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  <c r="BC691" s="6"/>
      <c r="BD691" s="6"/>
      <c r="BE691" s="6"/>
      <c r="BF691" s="6"/>
      <c r="BG691" s="6"/>
      <c r="BH691" s="6"/>
      <c r="BI691" s="6"/>
      <c r="BJ691" s="6"/>
      <c r="BK691" s="6"/>
      <c r="BL691" s="6"/>
      <c r="BM691" s="6"/>
      <c r="BN691" s="6"/>
      <c r="BO691" s="6"/>
      <c r="BP691" s="3">
        <v>1</v>
      </c>
      <c r="BQ691" s="6">
        <f t="shared" si="151"/>
        <v>0</v>
      </c>
    </row>
    <row r="692" spans="1:69" x14ac:dyDescent="0.3">
      <c r="A692" s="5" t="s">
        <v>931</v>
      </c>
      <c r="B692" s="3">
        <v>462</v>
      </c>
      <c r="C692" s="3" t="s">
        <v>1499</v>
      </c>
      <c r="D692" s="3">
        <v>0.75</v>
      </c>
      <c r="E692" s="3" t="s">
        <v>19</v>
      </c>
      <c r="F692" s="3" t="s">
        <v>19</v>
      </c>
      <c r="G692" s="3" t="s">
        <v>19</v>
      </c>
      <c r="H692" s="3" t="s">
        <v>1486</v>
      </c>
      <c r="I692" s="3"/>
      <c r="J692" s="3" t="s">
        <v>91</v>
      </c>
      <c r="K692" s="3" t="s">
        <v>1500</v>
      </c>
      <c r="L692" s="3" t="s">
        <v>335</v>
      </c>
      <c r="M692" s="3">
        <v>2</v>
      </c>
      <c r="N692" s="6"/>
      <c r="O692" s="3">
        <v>0</v>
      </c>
      <c r="P692" s="3">
        <v>2</v>
      </c>
      <c r="Q692" s="3">
        <v>2</v>
      </c>
      <c r="R692" s="3">
        <v>0</v>
      </c>
      <c r="S692" s="3">
        <v>0</v>
      </c>
      <c r="T692" s="3">
        <v>0</v>
      </c>
      <c r="U692" s="3">
        <v>0</v>
      </c>
      <c r="V692" s="3">
        <f t="shared" si="152"/>
        <v>2</v>
      </c>
      <c r="W692" s="3">
        <v>2</v>
      </c>
      <c r="X692" s="3">
        <v>0</v>
      </c>
      <c r="Y692" s="3">
        <v>0</v>
      </c>
      <c r="Z692" s="3">
        <v>0</v>
      </c>
      <c r="AA692" s="3">
        <v>0</v>
      </c>
      <c r="AB692" s="3">
        <f t="shared" si="153"/>
        <v>2</v>
      </c>
      <c r="AC692" s="6">
        <f t="shared" si="161"/>
        <v>-2</v>
      </c>
      <c r="AD692" s="6">
        <f t="shared" si="162"/>
        <v>0</v>
      </c>
      <c r="AE692" s="6">
        <f t="shared" si="163"/>
        <v>0</v>
      </c>
      <c r="AF692" s="6">
        <f t="shared" si="164"/>
        <v>0</v>
      </c>
      <c r="AG692" s="6">
        <f t="shared" si="165"/>
        <v>0</v>
      </c>
      <c r="AH692" s="6">
        <f t="shared" si="154"/>
        <v>-2</v>
      </c>
      <c r="AI692" s="3"/>
      <c r="AJ692" s="3" t="e">
        <f>_xlfn.XLOOKUP(K692,工作表1!A:A,工作表1!C:C)</f>
        <v>#N/A</v>
      </c>
      <c r="AK692" s="3"/>
      <c r="AL692" s="6">
        <f t="shared" si="155"/>
        <v>0</v>
      </c>
      <c r="AM692" s="6">
        <f t="shared" si="156"/>
        <v>0</v>
      </c>
      <c r="AN692" s="6">
        <f t="shared" si="157"/>
        <v>0</v>
      </c>
      <c r="AO692" s="6">
        <f t="shared" si="158"/>
        <v>0</v>
      </c>
      <c r="AP692" s="6">
        <f t="shared" si="159"/>
        <v>0</v>
      </c>
      <c r="AQ692" s="6">
        <f t="shared" si="160"/>
        <v>0</v>
      </c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  <c r="BC692" s="6"/>
      <c r="BD692" s="6"/>
      <c r="BE692" s="6"/>
      <c r="BF692" s="6"/>
      <c r="BG692" s="6"/>
      <c r="BH692" s="6"/>
      <c r="BI692" s="6"/>
      <c r="BJ692" s="6"/>
      <c r="BK692" s="6"/>
      <c r="BL692" s="6"/>
      <c r="BM692" s="6"/>
      <c r="BN692" s="6"/>
      <c r="BO692" s="6"/>
      <c r="BP692" s="3">
        <v>2</v>
      </c>
      <c r="BQ692" s="6">
        <f t="shared" si="151"/>
        <v>0</v>
      </c>
    </row>
    <row r="693" spans="1:69" x14ac:dyDescent="0.3">
      <c r="A693" s="3" t="s">
        <v>931</v>
      </c>
      <c r="B693" s="3">
        <v>462</v>
      </c>
      <c r="C693" s="3" t="s">
        <v>1130</v>
      </c>
      <c r="D693" s="3">
        <v>0.75</v>
      </c>
      <c r="E693" s="3" t="s">
        <v>19</v>
      </c>
      <c r="F693" s="3" t="s">
        <v>19</v>
      </c>
      <c r="G693" s="3" t="s">
        <v>19</v>
      </c>
      <c r="H693" s="3" t="s">
        <v>103</v>
      </c>
      <c r="I693" s="3"/>
      <c r="J693" s="3" t="s">
        <v>91</v>
      </c>
      <c r="K693" s="3" t="s">
        <v>1133</v>
      </c>
      <c r="L693" s="3" t="s">
        <v>335</v>
      </c>
      <c r="M693" s="3">
        <v>1</v>
      </c>
      <c r="N693" s="6"/>
      <c r="O693" s="3">
        <v>1</v>
      </c>
      <c r="P693" s="3">
        <v>1</v>
      </c>
      <c r="Q693" s="3">
        <v>1</v>
      </c>
      <c r="R693" s="3">
        <v>0</v>
      </c>
      <c r="S693" s="3">
        <v>0</v>
      </c>
      <c r="T693" s="3">
        <v>0</v>
      </c>
      <c r="U693" s="3">
        <v>0</v>
      </c>
      <c r="V693" s="3">
        <f t="shared" si="152"/>
        <v>1</v>
      </c>
      <c r="W693" s="3">
        <v>1</v>
      </c>
      <c r="X693" s="3">
        <v>0</v>
      </c>
      <c r="Y693" s="3">
        <v>0</v>
      </c>
      <c r="Z693" s="3">
        <v>0</v>
      </c>
      <c r="AA693" s="3">
        <v>0</v>
      </c>
      <c r="AB693" s="3">
        <f t="shared" si="153"/>
        <v>1</v>
      </c>
      <c r="AC693" s="6">
        <f t="shared" si="161"/>
        <v>-1</v>
      </c>
      <c r="AD693" s="6">
        <f t="shared" si="162"/>
        <v>0</v>
      </c>
      <c r="AE693" s="6">
        <f t="shared" si="163"/>
        <v>0</v>
      </c>
      <c r="AF693" s="6">
        <f t="shared" si="164"/>
        <v>0</v>
      </c>
      <c r="AG693" s="6">
        <f t="shared" si="165"/>
        <v>0</v>
      </c>
      <c r="AH693" s="6">
        <f t="shared" si="154"/>
        <v>-1</v>
      </c>
      <c r="AI693" s="3"/>
      <c r="AJ693" s="3" t="e">
        <f>_xlfn.XLOOKUP(K693,工作表1!A:A,工作表1!C:C)</f>
        <v>#N/A</v>
      </c>
      <c r="AK693" s="3"/>
      <c r="AL693" s="6">
        <f t="shared" si="155"/>
        <v>0</v>
      </c>
      <c r="AM693" s="6">
        <f t="shared" si="156"/>
        <v>0</v>
      </c>
      <c r="AN693" s="6">
        <f t="shared" si="157"/>
        <v>0</v>
      </c>
      <c r="AO693" s="6">
        <f t="shared" si="158"/>
        <v>0</v>
      </c>
      <c r="AP693" s="6">
        <f t="shared" si="159"/>
        <v>0</v>
      </c>
      <c r="AQ693" s="6">
        <f t="shared" si="160"/>
        <v>0</v>
      </c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  <c r="BC693" s="6"/>
      <c r="BD693" s="6"/>
      <c r="BE693" s="6"/>
      <c r="BF693" s="6"/>
      <c r="BG693" s="6"/>
      <c r="BH693" s="6"/>
      <c r="BI693" s="6"/>
      <c r="BJ693" s="6"/>
      <c r="BK693" s="6"/>
      <c r="BL693" s="6"/>
      <c r="BM693" s="6"/>
      <c r="BN693" s="6"/>
      <c r="BO693" s="6"/>
      <c r="BP693" s="3">
        <v>1</v>
      </c>
      <c r="BQ693" s="6">
        <f t="shared" si="151"/>
        <v>0</v>
      </c>
    </row>
    <row r="694" spans="1:69" x14ac:dyDescent="0.3">
      <c r="A694" s="3" t="s">
        <v>931</v>
      </c>
      <c r="B694" s="3">
        <v>463</v>
      </c>
      <c r="C694" s="3" t="s">
        <v>1134</v>
      </c>
      <c r="D694" s="3">
        <v>14</v>
      </c>
      <c r="E694" s="3" t="s">
        <v>19</v>
      </c>
      <c r="F694" s="3" t="s">
        <v>19</v>
      </c>
      <c r="G694" s="3" t="s">
        <v>19</v>
      </c>
      <c r="H694" s="3" t="s">
        <v>1135</v>
      </c>
      <c r="I694" s="3"/>
      <c r="J694" s="3" t="s">
        <v>413</v>
      </c>
      <c r="K694" s="3" t="s">
        <v>1136</v>
      </c>
      <c r="L694" s="3" t="s">
        <v>335</v>
      </c>
      <c r="M694" s="3">
        <v>1</v>
      </c>
      <c r="N694" s="6"/>
      <c r="O694" s="3">
        <v>1</v>
      </c>
      <c r="P694" s="3">
        <v>1</v>
      </c>
      <c r="Q694" s="3">
        <v>1</v>
      </c>
      <c r="R694" s="3">
        <v>0</v>
      </c>
      <c r="S694" s="3">
        <v>0</v>
      </c>
      <c r="T694" s="3">
        <v>0</v>
      </c>
      <c r="U694" s="3">
        <v>0</v>
      </c>
      <c r="V694" s="3">
        <f t="shared" si="152"/>
        <v>1</v>
      </c>
      <c r="W694" s="3">
        <v>1</v>
      </c>
      <c r="X694" s="3">
        <v>0</v>
      </c>
      <c r="Y694" s="3">
        <v>0</v>
      </c>
      <c r="Z694" s="3">
        <v>0</v>
      </c>
      <c r="AA694" s="3">
        <v>0</v>
      </c>
      <c r="AB694" s="3">
        <f t="shared" si="153"/>
        <v>1</v>
      </c>
      <c r="AC694" s="6">
        <f t="shared" si="161"/>
        <v>-1</v>
      </c>
      <c r="AD694" s="6">
        <f t="shared" si="162"/>
        <v>0</v>
      </c>
      <c r="AE694" s="6">
        <f t="shared" si="163"/>
        <v>0</v>
      </c>
      <c r="AF694" s="6">
        <f t="shared" si="164"/>
        <v>0</v>
      </c>
      <c r="AG694" s="6">
        <f t="shared" si="165"/>
        <v>0</v>
      </c>
      <c r="AH694" s="6">
        <f t="shared" si="154"/>
        <v>-1</v>
      </c>
      <c r="AI694" s="3">
        <v>1</v>
      </c>
      <c r="AJ694" s="3" t="e">
        <f>_xlfn.XLOOKUP(K694,工作表1!A:A,工作表1!C:C)</f>
        <v>#N/A</v>
      </c>
      <c r="AK694" s="3"/>
      <c r="AL694" s="6">
        <f t="shared" si="155"/>
        <v>0</v>
      </c>
      <c r="AM694" s="6">
        <f t="shared" si="156"/>
        <v>0</v>
      </c>
      <c r="AN694" s="6">
        <f t="shared" si="157"/>
        <v>0</v>
      </c>
      <c r="AO694" s="6">
        <f t="shared" si="158"/>
        <v>0</v>
      </c>
      <c r="AP694" s="6">
        <f t="shared" si="159"/>
        <v>0</v>
      </c>
      <c r="AQ694" s="6">
        <f t="shared" si="160"/>
        <v>0</v>
      </c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  <c r="BC694" s="6"/>
      <c r="BD694" s="6"/>
      <c r="BE694" s="6"/>
      <c r="BF694" s="6"/>
      <c r="BG694" s="6"/>
      <c r="BH694" s="6"/>
      <c r="BI694" s="6"/>
      <c r="BJ694" s="6"/>
      <c r="BK694" s="6"/>
      <c r="BL694" s="6"/>
      <c r="BM694" s="6"/>
      <c r="BN694" s="6"/>
      <c r="BO694" s="6"/>
      <c r="BP694" s="3">
        <v>1</v>
      </c>
      <c r="BQ694" s="6">
        <f t="shared" si="151"/>
        <v>0</v>
      </c>
    </row>
    <row r="695" spans="1:69" x14ac:dyDescent="0.3">
      <c r="A695" s="3" t="s">
        <v>931</v>
      </c>
      <c r="B695" s="3">
        <v>463</v>
      </c>
      <c r="C695" s="3" t="s">
        <v>1137</v>
      </c>
      <c r="D695" s="3">
        <v>20</v>
      </c>
      <c r="E695" s="3" t="s">
        <v>19</v>
      </c>
      <c r="F695" s="3" t="s">
        <v>19</v>
      </c>
      <c r="G695" s="3" t="s">
        <v>19</v>
      </c>
      <c r="H695" s="3" t="s">
        <v>1138</v>
      </c>
      <c r="I695" s="3"/>
      <c r="J695" s="3" t="s">
        <v>413</v>
      </c>
      <c r="K695" s="3" t="s">
        <v>1139</v>
      </c>
      <c r="L695" s="3" t="s">
        <v>335</v>
      </c>
      <c r="M695" s="3">
        <v>1</v>
      </c>
      <c r="N695" s="6"/>
      <c r="O695" s="3">
        <v>1</v>
      </c>
      <c r="P695" s="3">
        <v>1</v>
      </c>
      <c r="Q695" s="3">
        <v>1</v>
      </c>
      <c r="R695" s="3">
        <v>0</v>
      </c>
      <c r="S695" s="3">
        <v>0</v>
      </c>
      <c r="T695" s="3">
        <v>0</v>
      </c>
      <c r="U695" s="3">
        <v>0</v>
      </c>
      <c r="V695" s="3">
        <f t="shared" si="152"/>
        <v>1</v>
      </c>
      <c r="W695" s="3">
        <v>1</v>
      </c>
      <c r="X695" s="3">
        <v>0</v>
      </c>
      <c r="Y695" s="3">
        <v>0</v>
      </c>
      <c r="Z695" s="3">
        <v>0</v>
      </c>
      <c r="AA695" s="3">
        <v>0</v>
      </c>
      <c r="AB695" s="3">
        <f t="shared" si="153"/>
        <v>1</v>
      </c>
      <c r="AC695" s="6">
        <f t="shared" si="161"/>
        <v>-1</v>
      </c>
      <c r="AD695" s="6">
        <f t="shared" si="162"/>
        <v>0</v>
      </c>
      <c r="AE695" s="6">
        <f t="shared" si="163"/>
        <v>0</v>
      </c>
      <c r="AF695" s="6">
        <f t="shared" si="164"/>
        <v>0</v>
      </c>
      <c r="AG695" s="6">
        <f t="shared" si="165"/>
        <v>0</v>
      </c>
      <c r="AH695" s="6">
        <f t="shared" si="154"/>
        <v>-1</v>
      </c>
      <c r="AI695" s="3">
        <v>1</v>
      </c>
      <c r="AJ695" s="3" t="e">
        <f>_xlfn.XLOOKUP(K695,工作表1!A:A,工作表1!C:C)</f>
        <v>#N/A</v>
      </c>
      <c r="AK695" s="3"/>
      <c r="AL695" s="6">
        <f t="shared" si="155"/>
        <v>0</v>
      </c>
      <c r="AM695" s="6">
        <f t="shared" si="156"/>
        <v>0</v>
      </c>
      <c r="AN695" s="6">
        <f t="shared" si="157"/>
        <v>0</v>
      </c>
      <c r="AO695" s="6">
        <f t="shared" si="158"/>
        <v>0</v>
      </c>
      <c r="AP695" s="6">
        <f t="shared" si="159"/>
        <v>0</v>
      </c>
      <c r="AQ695" s="6">
        <f t="shared" si="160"/>
        <v>0</v>
      </c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  <c r="BC695" s="6"/>
      <c r="BD695" s="6"/>
      <c r="BE695" s="6"/>
      <c r="BF695" s="6"/>
      <c r="BG695" s="6"/>
      <c r="BH695" s="6"/>
      <c r="BI695" s="6"/>
      <c r="BJ695" s="6"/>
      <c r="BK695" s="6"/>
      <c r="BL695" s="6"/>
      <c r="BM695" s="6"/>
      <c r="BN695" s="6"/>
      <c r="BO695" s="6"/>
      <c r="BP695" s="3">
        <v>1</v>
      </c>
      <c r="BQ695" s="6">
        <f t="shared" si="151"/>
        <v>0</v>
      </c>
    </row>
    <row r="696" spans="1:69" x14ac:dyDescent="0.3">
      <c r="A696" s="3" t="s">
        <v>931</v>
      </c>
      <c r="B696" s="3">
        <v>463</v>
      </c>
      <c r="C696" s="3" t="s">
        <v>1137</v>
      </c>
      <c r="D696" s="3">
        <v>16</v>
      </c>
      <c r="E696" s="3" t="s">
        <v>19</v>
      </c>
      <c r="F696" s="3" t="s">
        <v>19</v>
      </c>
      <c r="G696" s="3" t="s">
        <v>19</v>
      </c>
      <c r="H696" s="3" t="s">
        <v>1140</v>
      </c>
      <c r="I696" s="3"/>
      <c r="J696" s="3" t="s">
        <v>413</v>
      </c>
      <c r="K696" s="3" t="s">
        <v>1141</v>
      </c>
      <c r="L696" s="3" t="s">
        <v>335</v>
      </c>
      <c r="M696" s="3">
        <v>4</v>
      </c>
      <c r="N696" s="6"/>
      <c r="O696" s="3">
        <v>4</v>
      </c>
      <c r="P696" s="3">
        <v>4</v>
      </c>
      <c r="Q696" s="3">
        <v>4</v>
      </c>
      <c r="R696" s="3">
        <v>0</v>
      </c>
      <c r="S696" s="3">
        <v>0</v>
      </c>
      <c r="T696" s="3">
        <v>0</v>
      </c>
      <c r="U696" s="3">
        <v>0</v>
      </c>
      <c r="V696" s="3">
        <f t="shared" si="152"/>
        <v>4</v>
      </c>
      <c r="W696" s="3">
        <v>4</v>
      </c>
      <c r="X696" s="3">
        <v>0</v>
      </c>
      <c r="Y696" s="3">
        <v>0</v>
      </c>
      <c r="Z696" s="3">
        <v>0</v>
      </c>
      <c r="AA696" s="3">
        <v>0</v>
      </c>
      <c r="AB696" s="3">
        <f t="shared" si="153"/>
        <v>4</v>
      </c>
      <c r="AC696" s="6">
        <f t="shared" si="161"/>
        <v>-4</v>
      </c>
      <c r="AD696" s="6">
        <f t="shared" si="162"/>
        <v>0</v>
      </c>
      <c r="AE696" s="6">
        <f t="shared" si="163"/>
        <v>0</v>
      </c>
      <c r="AF696" s="6">
        <f t="shared" si="164"/>
        <v>0</v>
      </c>
      <c r="AG696" s="6">
        <f t="shared" si="165"/>
        <v>0</v>
      </c>
      <c r="AH696" s="6">
        <f t="shared" si="154"/>
        <v>-4</v>
      </c>
      <c r="AI696" s="3">
        <v>4</v>
      </c>
      <c r="AJ696" s="3" t="e">
        <f>_xlfn.XLOOKUP(K696,工作表1!A:A,工作表1!C:C)</f>
        <v>#N/A</v>
      </c>
      <c r="AK696" s="3"/>
      <c r="AL696" s="6">
        <f t="shared" si="155"/>
        <v>0</v>
      </c>
      <c r="AM696" s="6">
        <f t="shared" si="156"/>
        <v>0</v>
      </c>
      <c r="AN696" s="6">
        <f t="shared" si="157"/>
        <v>0</v>
      </c>
      <c r="AO696" s="6">
        <f t="shared" si="158"/>
        <v>0</v>
      </c>
      <c r="AP696" s="6">
        <f t="shared" si="159"/>
        <v>0</v>
      </c>
      <c r="AQ696" s="6">
        <f t="shared" si="160"/>
        <v>0</v>
      </c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  <c r="BC696" s="6"/>
      <c r="BD696" s="6"/>
      <c r="BE696" s="6"/>
      <c r="BF696" s="6"/>
      <c r="BG696" s="6"/>
      <c r="BH696" s="6"/>
      <c r="BI696" s="6"/>
      <c r="BJ696" s="6"/>
      <c r="BK696" s="6"/>
      <c r="BL696" s="6"/>
      <c r="BM696" s="6"/>
      <c r="BN696" s="6"/>
      <c r="BO696" s="6"/>
      <c r="BP696" s="3">
        <v>4</v>
      </c>
      <c r="BQ696" s="6">
        <f t="shared" si="151"/>
        <v>0</v>
      </c>
    </row>
    <row r="697" spans="1:69" x14ac:dyDescent="0.3">
      <c r="A697" s="3" t="s">
        <v>931</v>
      </c>
      <c r="B697" s="3">
        <v>463</v>
      </c>
      <c r="C697" s="3" t="s">
        <v>1137</v>
      </c>
      <c r="D697" s="3">
        <v>14</v>
      </c>
      <c r="E697" s="3" t="s">
        <v>19</v>
      </c>
      <c r="F697" s="3" t="s">
        <v>19</v>
      </c>
      <c r="G697" s="3" t="s">
        <v>19</v>
      </c>
      <c r="H697" s="3" t="s">
        <v>1135</v>
      </c>
      <c r="I697" s="3"/>
      <c r="J697" s="3" t="s">
        <v>413</v>
      </c>
      <c r="K697" s="3" t="s">
        <v>1142</v>
      </c>
      <c r="L697" s="3" t="s">
        <v>335</v>
      </c>
      <c r="M697" s="3">
        <v>4</v>
      </c>
      <c r="N697" s="6"/>
      <c r="O697" s="3">
        <v>4</v>
      </c>
      <c r="P697" s="3">
        <v>4</v>
      </c>
      <c r="Q697" s="3">
        <v>4</v>
      </c>
      <c r="R697" s="3">
        <v>0</v>
      </c>
      <c r="S697" s="3">
        <v>0</v>
      </c>
      <c r="T697" s="3">
        <v>0</v>
      </c>
      <c r="U697" s="3">
        <v>0</v>
      </c>
      <c r="V697" s="3">
        <f t="shared" si="152"/>
        <v>4</v>
      </c>
      <c r="W697" s="3">
        <v>4</v>
      </c>
      <c r="X697" s="3">
        <v>0</v>
      </c>
      <c r="Y697" s="3">
        <v>0</v>
      </c>
      <c r="Z697" s="3">
        <v>0</v>
      </c>
      <c r="AA697" s="3">
        <v>0</v>
      </c>
      <c r="AB697" s="3">
        <f t="shared" si="153"/>
        <v>4</v>
      </c>
      <c r="AC697" s="6">
        <f t="shared" si="161"/>
        <v>-4</v>
      </c>
      <c r="AD697" s="6">
        <f t="shared" si="162"/>
        <v>0</v>
      </c>
      <c r="AE697" s="6">
        <f t="shared" si="163"/>
        <v>0</v>
      </c>
      <c r="AF697" s="6">
        <f t="shared" si="164"/>
        <v>0</v>
      </c>
      <c r="AG697" s="6">
        <f t="shared" si="165"/>
        <v>0</v>
      </c>
      <c r="AH697" s="6">
        <f t="shared" si="154"/>
        <v>-4</v>
      </c>
      <c r="AI697" s="3"/>
      <c r="AJ697" s="3" t="e">
        <f>_xlfn.XLOOKUP(K697,工作表1!A:A,工作表1!C:C)</f>
        <v>#N/A</v>
      </c>
      <c r="AK697" s="3"/>
      <c r="AL697" s="6">
        <f t="shared" si="155"/>
        <v>0</v>
      </c>
      <c r="AM697" s="6">
        <f t="shared" si="156"/>
        <v>0</v>
      </c>
      <c r="AN697" s="6">
        <f t="shared" si="157"/>
        <v>0</v>
      </c>
      <c r="AO697" s="6">
        <f t="shared" si="158"/>
        <v>0</v>
      </c>
      <c r="AP697" s="6">
        <f t="shared" si="159"/>
        <v>0</v>
      </c>
      <c r="AQ697" s="6">
        <f t="shared" si="160"/>
        <v>0</v>
      </c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  <c r="BC697" s="6"/>
      <c r="BD697" s="6"/>
      <c r="BE697" s="6"/>
      <c r="BF697" s="6"/>
      <c r="BG697" s="6"/>
      <c r="BH697" s="6"/>
      <c r="BI697" s="6"/>
      <c r="BJ697" s="6"/>
      <c r="BK697" s="6"/>
      <c r="BL697" s="6"/>
      <c r="BM697" s="6"/>
      <c r="BN697" s="6"/>
      <c r="BO697" s="6"/>
      <c r="BP697" s="3">
        <v>4</v>
      </c>
      <c r="BQ697" s="6">
        <f t="shared" si="151"/>
        <v>0</v>
      </c>
    </row>
    <row r="698" spans="1:69" x14ac:dyDescent="0.3">
      <c r="A698" s="3" t="s">
        <v>931</v>
      </c>
      <c r="B698" s="3">
        <v>463</v>
      </c>
      <c r="C698" s="3" t="s">
        <v>1137</v>
      </c>
      <c r="D698" s="3">
        <v>8</v>
      </c>
      <c r="E698" s="3" t="s">
        <v>19</v>
      </c>
      <c r="F698" s="3" t="s">
        <v>19</v>
      </c>
      <c r="G698" s="3" t="s">
        <v>19</v>
      </c>
      <c r="H698" s="3" t="s">
        <v>348</v>
      </c>
      <c r="I698" s="3"/>
      <c r="J698" s="3" t="s">
        <v>413</v>
      </c>
      <c r="K698" s="3" t="s">
        <v>1143</v>
      </c>
      <c r="L698" s="3" t="s">
        <v>335</v>
      </c>
      <c r="M698" s="3">
        <v>3</v>
      </c>
      <c r="N698" s="6"/>
      <c r="O698" s="3">
        <v>3</v>
      </c>
      <c r="P698" s="3">
        <v>3</v>
      </c>
      <c r="Q698" s="3">
        <v>3</v>
      </c>
      <c r="R698" s="3">
        <v>0</v>
      </c>
      <c r="S698" s="3">
        <v>0</v>
      </c>
      <c r="T698" s="3">
        <v>0</v>
      </c>
      <c r="U698" s="3">
        <v>0</v>
      </c>
      <c r="V698" s="3">
        <f t="shared" si="152"/>
        <v>3</v>
      </c>
      <c r="W698" s="3">
        <v>3</v>
      </c>
      <c r="X698" s="3">
        <v>0</v>
      </c>
      <c r="Y698" s="3">
        <v>0</v>
      </c>
      <c r="Z698" s="3">
        <v>0</v>
      </c>
      <c r="AA698" s="3">
        <v>0</v>
      </c>
      <c r="AB698" s="3">
        <f t="shared" si="153"/>
        <v>3</v>
      </c>
      <c r="AC698" s="6">
        <f t="shared" si="161"/>
        <v>-3</v>
      </c>
      <c r="AD698" s="6">
        <f t="shared" si="162"/>
        <v>0</v>
      </c>
      <c r="AE698" s="6">
        <f t="shared" si="163"/>
        <v>0</v>
      </c>
      <c r="AF698" s="6">
        <f t="shared" si="164"/>
        <v>0</v>
      </c>
      <c r="AG698" s="6">
        <f t="shared" si="165"/>
        <v>0</v>
      </c>
      <c r="AH698" s="6">
        <f t="shared" si="154"/>
        <v>-3</v>
      </c>
      <c r="AI698" s="3">
        <v>3</v>
      </c>
      <c r="AJ698" s="3" t="e">
        <f>_xlfn.XLOOKUP(K698,工作表1!A:A,工作表1!C:C)</f>
        <v>#N/A</v>
      </c>
      <c r="AK698" s="3"/>
      <c r="AL698" s="6">
        <f t="shared" si="155"/>
        <v>0</v>
      </c>
      <c r="AM698" s="6">
        <f t="shared" si="156"/>
        <v>0</v>
      </c>
      <c r="AN698" s="6">
        <f t="shared" si="157"/>
        <v>0</v>
      </c>
      <c r="AO698" s="6">
        <f t="shared" si="158"/>
        <v>0</v>
      </c>
      <c r="AP698" s="6">
        <f t="shared" si="159"/>
        <v>0</v>
      </c>
      <c r="AQ698" s="6">
        <f t="shared" si="160"/>
        <v>0</v>
      </c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  <c r="BC698" s="6"/>
      <c r="BD698" s="6"/>
      <c r="BE698" s="6"/>
      <c r="BF698" s="6"/>
      <c r="BG698" s="6"/>
      <c r="BH698" s="6"/>
      <c r="BI698" s="6"/>
      <c r="BJ698" s="6"/>
      <c r="BK698" s="6"/>
      <c r="BL698" s="6"/>
      <c r="BM698" s="6"/>
      <c r="BN698" s="6"/>
      <c r="BO698" s="6"/>
      <c r="BP698" s="3">
        <v>3</v>
      </c>
      <c r="BQ698" s="6">
        <f t="shared" si="151"/>
        <v>0</v>
      </c>
    </row>
    <row r="699" spans="1:69" x14ac:dyDescent="0.3">
      <c r="A699" s="3" t="s">
        <v>931</v>
      </c>
      <c r="B699" s="3">
        <v>471</v>
      </c>
      <c r="C699" s="3" t="s">
        <v>1144</v>
      </c>
      <c r="D699" s="3">
        <v>2</v>
      </c>
      <c r="E699" s="3" t="s">
        <v>19</v>
      </c>
      <c r="F699" s="3" t="s">
        <v>19</v>
      </c>
      <c r="G699" s="3" t="s">
        <v>19</v>
      </c>
      <c r="H699" s="3" t="s">
        <v>340</v>
      </c>
      <c r="I699" s="3"/>
      <c r="J699" s="3" t="s">
        <v>91</v>
      </c>
      <c r="K699" s="3" t="s">
        <v>1145</v>
      </c>
      <c r="L699" s="3" t="s">
        <v>335</v>
      </c>
      <c r="M699" s="3">
        <v>2</v>
      </c>
      <c r="N699" s="6"/>
      <c r="O699" s="3">
        <v>1</v>
      </c>
      <c r="P699" s="3">
        <v>1</v>
      </c>
      <c r="Q699" s="3">
        <v>1</v>
      </c>
      <c r="R699" s="3">
        <v>0</v>
      </c>
      <c r="S699" s="3">
        <v>0</v>
      </c>
      <c r="T699" s="3">
        <v>0</v>
      </c>
      <c r="U699" s="3">
        <v>0</v>
      </c>
      <c r="V699" s="3">
        <f t="shared" si="152"/>
        <v>1</v>
      </c>
      <c r="W699" s="3">
        <v>1</v>
      </c>
      <c r="X699" s="3">
        <v>0</v>
      </c>
      <c r="Y699" s="3">
        <v>0</v>
      </c>
      <c r="Z699" s="3">
        <v>0</v>
      </c>
      <c r="AA699" s="3">
        <v>0</v>
      </c>
      <c r="AB699" s="3">
        <f t="shared" si="153"/>
        <v>1</v>
      </c>
      <c r="AC699" s="6">
        <f t="shared" si="161"/>
        <v>-1</v>
      </c>
      <c r="AD699" s="6">
        <f t="shared" si="162"/>
        <v>0</v>
      </c>
      <c r="AE699" s="6">
        <f t="shared" si="163"/>
        <v>0</v>
      </c>
      <c r="AF699" s="6">
        <f t="shared" si="164"/>
        <v>0</v>
      </c>
      <c r="AG699" s="6">
        <f t="shared" si="165"/>
        <v>0</v>
      </c>
      <c r="AH699" s="6">
        <f t="shared" si="154"/>
        <v>-1</v>
      </c>
      <c r="AI699" s="3"/>
      <c r="AJ699" s="3" t="e">
        <f>_xlfn.XLOOKUP(K699,工作表1!A:A,工作表1!C:C)</f>
        <v>#N/A</v>
      </c>
      <c r="AK699" s="3"/>
      <c r="AL699" s="6">
        <f t="shared" si="155"/>
        <v>0</v>
      </c>
      <c r="AM699" s="6">
        <f t="shared" si="156"/>
        <v>0</v>
      </c>
      <c r="AN699" s="6">
        <f t="shared" si="157"/>
        <v>0</v>
      </c>
      <c r="AO699" s="6">
        <f t="shared" si="158"/>
        <v>0</v>
      </c>
      <c r="AP699" s="6">
        <f t="shared" si="159"/>
        <v>0</v>
      </c>
      <c r="AQ699" s="6">
        <f t="shared" si="160"/>
        <v>0</v>
      </c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  <c r="BC699" s="6"/>
      <c r="BD699" s="6"/>
      <c r="BE699" s="6"/>
      <c r="BF699" s="6"/>
      <c r="BG699" s="6"/>
      <c r="BH699" s="6"/>
      <c r="BI699" s="6"/>
      <c r="BJ699" s="6"/>
      <c r="BK699" s="6"/>
      <c r="BL699" s="6"/>
      <c r="BM699" s="6"/>
      <c r="BN699" s="6"/>
      <c r="BO699" s="6"/>
      <c r="BP699" s="3">
        <v>1</v>
      </c>
      <c r="BQ699" s="6">
        <f t="shared" si="151"/>
        <v>0</v>
      </c>
    </row>
    <row r="700" spans="1:69" x14ac:dyDescent="0.3">
      <c r="A700" s="3" t="s">
        <v>931</v>
      </c>
      <c r="B700" s="3">
        <v>471</v>
      </c>
      <c r="C700" s="3" t="s">
        <v>1144</v>
      </c>
      <c r="D700" s="3">
        <v>1</v>
      </c>
      <c r="E700" s="3" t="s">
        <v>19</v>
      </c>
      <c r="F700" s="3" t="s">
        <v>19</v>
      </c>
      <c r="G700" s="3" t="s">
        <v>19</v>
      </c>
      <c r="H700" s="3" t="s">
        <v>101</v>
      </c>
      <c r="I700" s="3"/>
      <c r="J700" s="3" t="s">
        <v>91</v>
      </c>
      <c r="K700" s="3" t="s">
        <v>1146</v>
      </c>
      <c r="L700" s="3" t="s">
        <v>335</v>
      </c>
      <c r="M700" s="3">
        <v>2</v>
      </c>
      <c r="N700" s="6"/>
      <c r="O700" s="3">
        <v>1</v>
      </c>
      <c r="P700" s="3">
        <v>1</v>
      </c>
      <c r="Q700" s="3">
        <v>1</v>
      </c>
      <c r="R700" s="3">
        <v>0</v>
      </c>
      <c r="S700" s="3">
        <v>0</v>
      </c>
      <c r="T700" s="3">
        <v>0</v>
      </c>
      <c r="U700" s="3">
        <v>0</v>
      </c>
      <c r="V700" s="3">
        <f t="shared" si="152"/>
        <v>1</v>
      </c>
      <c r="W700" s="3">
        <v>1</v>
      </c>
      <c r="X700" s="3">
        <v>0</v>
      </c>
      <c r="Y700" s="3">
        <v>0</v>
      </c>
      <c r="Z700" s="3">
        <v>0</v>
      </c>
      <c r="AA700" s="3">
        <v>0</v>
      </c>
      <c r="AB700" s="3">
        <f t="shared" si="153"/>
        <v>1</v>
      </c>
      <c r="AC700" s="6">
        <f t="shared" si="161"/>
        <v>-1</v>
      </c>
      <c r="AD700" s="6">
        <f t="shared" si="162"/>
        <v>0</v>
      </c>
      <c r="AE700" s="6">
        <f t="shared" si="163"/>
        <v>0</v>
      </c>
      <c r="AF700" s="6">
        <f t="shared" si="164"/>
        <v>0</v>
      </c>
      <c r="AG700" s="6">
        <f t="shared" si="165"/>
        <v>0</v>
      </c>
      <c r="AH700" s="6">
        <f t="shared" si="154"/>
        <v>-1</v>
      </c>
      <c r="AI700" s="3"/>
      <c r="AJ700" s="3" t="e">
        <f>_xlfn.XLOOKUP(K700,工作表1!A:A,工作表1!C:C)</f>
        <v>#N/A</v>
      </c>
      <c r="AK700" s="3"/>
      <c r="AL700" s="6">
        <f t="shared" si="155"/>
        <v>0</v>
      </c>
      <c r="AM700" s="6">
        <f t="shared" si="156"/>
        <v>0</v>
      </c>
      <c r="AN700" s="6">
        <f t="shared" si="157"/>
        <v>0</v>
      </c>
      <c r="AO700" s="6">
        <f t="shared" si="158"/>
        <v>0</v>
      </c>
      <c r="AP700" s="6">
        <f t="shared" si="159"/>
        <v>0</v>
      </c>
      <c r="AQ700" s="6">
        <f t="shared" si="160"/>
        <v>0</v>
      </c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  <c r="BC700" s="6"/>
      <c r="BD700" s="6"/>
      <c r="BE700" s="6"/>
      <c r="BF700" s="6"/>
      <c r="BG700" s="6"/>
      <c r="BH700" s="6"/>
      <c r="BI700" s="6"/>
      <c r="BJ700" s="6"/>
      <c r="BK700" s="6"/>
      <c r="BL700" s="6"/>
      <c r="BM700" s="6"/>
      <c r="BN700" s="6"/>
      <c r="BO700" s="6"/>
      <c r="BP700" s="3">
        <v>1</v>
      </c>
      <c r="BQ700" s="6">
        <f t="shared" si="151"/>
        <v>0</v>
      </c>
    </row>
    <row r="701" spans="1:69" x14ac:dyDescent="0.3">
      <c r="A701" s="3" t="s">
        <v>931</v>
      </c>
      <c r="B701" s="3">
        <v>471</v>
      </c>
      <c r="C701" s="3" t="s">
        <v>1147</v>
      </c>
      <c r="D701" s="3">
        <v>14</v>
      </c>
      <c r="E701" s="3" t="s">
        <v>19</v>
      </c>
      <c r="F701" s="3" t="s">
        <v>19</v>
      </c>
      <c r="G701" s="3" t="s">
        <v>19</v>
      </c>
      <c r="H701" s="3" t="s">
        <v>1135</v>
      </c>
      <c r="I701" s="3"/>
      <c r="J701" s="3" t="s">
        <v>91</v>
      </c>
      <c r="K701" s="3" t="s">
        <v>1148</v>
      </c>
      <c r="L701" s="3" t="s">
        <v>335</v>
      </c>
      <c r="M701" s="3">
        <v>4</v>
      </c>
      <c r="N701" s="6"/>
      <c r="O701" s="3">
        <v>1</v>
      </c>
      <c r="P701" s="3">
        <v>1</v>
      </c>
      <c r="Q701" s="3">
        <v>1</v>
      </c>
      <c r="R701" s="3">
        <v>0</v>
      </c>
      <c r="S701" s="3">
        <v>0</v>
      </c>
      <c r="T701" s="3">
        <v>0</v>
      </c>
      <c r="U701" s="3">
        <v>0</v>
      </c>
      <c r="V701" s="3">
        <f t="shared" si="152"/>
        <v>1</v>
      </c>
      <c r="W701" s="3">
        <v>1</v>
      </c>
      <c r="X701" s="3">
        <v>0</v>
      </c>
      <c r="Y701" s="3">
        <v>0</v>
      </c>
      <c r="Z701" s="3">
        <v>0</v>
      </c>
      <c r="AA701" s="3">
        <v>0</v>
      </c>
      <c r="AB701" s="3">
        <f t="shared" si="153"/>
        <v>1</v>
      </c>
      <c r="AC701" s="6">
        <f t="shared" si="161"/>
        <v>-1</v>
      </c>
      <c r="AD701" s="6">
        <f t="shared" si="162"/>
        <v>0</v>
      </c>
      <c r="AE701" s="6">
        <f t="shared" si="163"/>
        <v>0</v>
      </c>
      <c r="AF701" s="6">
        <f t="shared" si="164"/>
        <v>0</v>
      </c>
      <c r="AG701" s="6">
        <f t="shared" si="165"/>
        <v>0</v>
      </c>
      <c r="AH701" s="6">
        <f t="shared" si="154"/>
        <v>-1</v>
      </c>
      <c r="AI701" s="3"/>
      <c r="AJ701" s="3" t="e">
        <f>_xlfn.XLOOKUP(K701,工作表1!A:A,工作表1!C:C)</f>
        <v>#N/A</v>
      </c>
      <c r="AK701" s="3"/>
      <c r="AL701" s="6">
        <f t="shared" si="155"/>
        <v>0</v>
      </c>
      <c r="AM701" s="6">
        <f t="shared" si="156"/>
        <v>0</v>
      </c>
      <c r="AN701" s="6">
        <f t="shared" si="157"/>
        <v>0</v>
      </c>
      <c r="AO701" s="6">
        <f t="shared" si="158"/>
        <v>0</v>
      </c>
      <c r="AP701" s="6">
        <f t="shared" si="159"/>
        <v>0</v>
      </c>
      <c r="AQ701" s="6">
        <f t="shared" si="160"/>
        <v>0</v>
      </c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  <c r="BC701" s="6"/>
      <c r="BD701" s="6"/>
      <c r="BE701" s="6"/>
      <c r="BF701" s="6"/>
      <c r="BG701" s="6"/>
      <c r="BH701" s="6"/>
      <c r="BI701" s="6"/>
      <c r="BJ701" s="6"/>
      <c r="BK701" s="6"/>
      <c r="BL701" s="6"/>
      <c r="BM701" s="6"/>
      <c r="BN701" s="6"/>
      <c r="BO701" s="6"/>
      <c r="BP701" s="3">
        <v>1</v>
      </c>
      <c r="BQ701" s="6">
        <f t="shared" si="151"/>
        <v>0</v>
      </c>
    </row>
    <row r="702" spans="1:69" x14ac:dyDescent="0.3">
      <c r="A702" s="3" t="s">
        <v>931</v>
      </c>
      <c r="B702" s="3">
        <v>471</v>
      </c>
      <c r="C702" s="3" t="s">
        <v>1149</v>
      </c>
      <c r="D702" s="3">
        <v>10</v>
      </c>
      <c r="E702" s="3" t="s">
        <v>19</v>
      </c>
      <c r="F702" s="3" t="s">
        <v>19</v>
      </c>
      <c r="G702" s="3" t="s">
        <v>19</v>
      </c>
      <c r="H702" s="3" t="s">
        <v>333</v>
      </c>
      <c r="I702" s="3"/>
      <c r="J702" s="3" t="s">
        <v>91</v>
      </c>
      <c r="K702" s="3" t="s">
        <v>1150</v>
      </c>
      <c r="L702" s="3" t="s">
        <v>335</v>
      </c>
      <c r="M702" s="3">
        <v>4</v>
      </c>
      <c r="N702" s="6"/>
      <c r="O702" s="3">
        <v>2</v>
      </c>
      <c r="P702" s="3">
        <v>2</v>
      </c>
      <c r="Q702" s="3">
        <v>2</v>
      </c>
      <c r="R702" s="3">
        <v>0</v>
      </c>
      <c r="S702" s="3">
        <v>0</v>
      </c>
      <c r="T702" s="3">
        <v>0</v>
      </c>
      <c r="U702" s="3">
        <v>0</v>
      </c>
      <c r="V702" s="3">
        <f t="shared" si="152"/>
        <v>2</v>
      </c>
      <c r="W702" s="3">
        <v>2</v>
      </c>
      <c r="X702" s="3">
        <v>0</v>
      </c>
      <c r="Y702" s="3">
        <v>0</v>
      </c>
      <c r="Z702" s="3">
        <v>0</v>
      </c>
      <c r="AA702" s="3">
        <v>0</v>
      </c>
      <c r="AB702" s="3">
        <f t="shared" si="153"/>
        <v>2</v>
      </c>
      <c r="AC702" s="6">
        <f t="shared" si="161"/>
        <v>-2</v>
      </c>
      <c r="AD702" s="6">
        <f t="shared" si="162"/>
        <v>0</v>
      </c>
      <c r="AE702" s="6">
        <f t="shared" si="163"/>
        <v>0</v>
      </c>
      <c r="AF702" s="6">
        <f t="shared" si="164"/>
        <v>0</v>
      </c>
      <c r="AG702" s="6">
        <f t="shared" si="165"/>
        <v>0</v>
      </c>
      <c r="AH702" s="6">
        <f t="shared" si="154"/>
        <v>-2</v>
      </c>
      <c r="AI702" s="3"/>
      <c r="AJ702" s="3" t="e">
        <f>_xlfn.XLOOKUP(K702,工作表1!A:A,工作表1!C:C)</f>
        <v>#N/A</v>
      </c>
      <c r="AK702" s="3"/>
      <c r="AL702" s="6">
        <f t="shared" si="155"/>
        <v>0</v>
      </c>
      <c r="AM702" s="6">
        <f t="shared" si="156"/>
        <v>0</v>
      </c>
      <c r="AN702" s="6">
        <f t="shared" si="157"/>
        <v>0</v>
      </c>
      <c r="AO702" s="6">
        <f t="shared" si="158"/>
        <v>0</v>
      </c>
      <c r="AP702" s="6">
        <f t="shared" si="159"/>
        <v>0</v>
      </c>
      <c r="AQ702" s="6">
        <f t="shared" si="160"/>
        <v>0</v>
      </c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  <c r="BC702" s="6"/>
      <c r="BD702" s="6"/>
      <c r="BE702" s="6"/>
      <c r="BF702" s="6"/>
      <c r="BG702" s="6"/>
      <c r="BH702" s="6"/>
      <c r="BI702" s="6"/>
      <c r="BJ702" s="6"/>
      <c r="BK702" s="6"/>
      <c r="BL702" s="6"/>
      <c r="BM702" s="6"/>
      <c r="BN702" s="6"/>
      <c r="BO702" s="6"/>
      <c r="BP702" s="3">
        <v>2</v>
      </c>
      <c r="BQ702" s="6">
        <f t="shared" si="151"/>
        <v>0</v>
      </c>
    </row>
    <row r="703" spans="1:69" x14ac:dyDescent="0.3">
      <c r="A703" s="3" t="s">
        <v>931</v>
      </c>
      <c r="B703" s="3">
        <v>471</v>
      </c>
      <c r="C703" s="3" t="s">
        <v>1149</v>
      </c>
      <c r="D703" s="3">
        <v>8</v>
      </c>
      <c r="E703" s="3" t="s">
        <v>19</v>
      </c>
      <c r="F703" s="3" t="s">
        <v>19</v>
      </c>
      <c r="G703" s="3" t="s">
        <v>19</v>
      </c>
      <c r="H703" s="3" t="s">
        <v>348</v>
      </c>
      <c r="I703" s="3"/>
      <c r="J703" s="3" t="s">
        <v>91</v>
      </c>
      <c r="K703" s="3" t="s">
        <v>1151</v>
      </c>
      <c r="L703" s="3" t="s">
        <v>335</v>
      </c>
      <c r="M703" s="3">
        <v>36</v>
      </c>
      <c r="N703" s="6"/>
      <c r="O703" s="3">
        <v>15</v>
      </c>
      <c r="P703" s="3">
        <v>15</v>
      </c>
      <c r="Q703" s="3">
        <v>15</v>
      </c>
      <c r="R703" s="3">
        <v>0</v>
      </c>
      <c r="S703" s="3">
        <v>0</v>
      </c>
      <c r="T703" s="3">
        <v>0</v>
      </c>
      <c r="U703" s="3">
        <v>0</v>
      </c>
      <c r="V703" s="3">
        <f t="shared" si="152"/>
        <v>15</v>
      </c>
      <c r="W703" s="3">
        <v>15</v>
      </c>
      <c r="X703" s="3">
        <v>0</v>
      </c>
      <c r="Y703" s="3">
        <v>0</v>
      </c>
      <c r="Z703" s="3">
        <v>0</v>
      </c>
      <c r="AA703" s="3">
        <v>0</v>
      </c>
      <c r="AB703" s="3">
        <f t="shared" si="153"/>
        <v>15</v>
      </c>
      <c r="AC703" s="6">
        <f t="shared" si="161"/>
        <v>-15</v>
      </c>
      <c r="AD703" s="6">
        <f t="shared" si="162"/>
        <v>0</v>
      </c>
      <c r="AE703" s="6">
        <f t="shared" si="163"/>
        <v>0</v>
      </c>
      <c r="AF703" s="6">
        <f t="shared" si="164"/>
        <v>0</v>
      </c>
      <c r="AG703" s="6">
        <f t="shared" si="165"/>
        <v>0</v>
      </c>
      <c r="AH703" s="6">
        <f t="shared" si="154"/>
        <v>-15</v>
      </c>
      <c r="AI703" s="3"/>
      <c r="AJ703" s="3" t="e">
        <f>_xlfn.XLOOKUP(K703,工作表1!A:A,工作表1!C:C)</f>
        <v>#N/A</v>
      </c>
      <c r="AK703" s="3"/>
      <c r="AL703" s="6">
        <f t="shared" si="155"/>
        <v>0</v>
      </c>
      <c r="AM703" s="6">
        <f t="shared" si="156"/>
        <v>0</v>
      </c>
      <c r="AN703" s="6">
        <f t="shared" si="157"/>
        <v>0</v>
      </c>
      <c r="AO703" s="6">
        <f t="shared" si="158"/>
        <v>0</v>
      </c>
      <c r="AP703" s="6">
        <f t="shared" si="159"/>
        <v>0</v>
      </c>
      <c r="AQ703" s="6">
        <f t="shared" si="160"/>
        <v>0</v>
      </c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  <c r="BC703" s="6"/>
      <c r="BD703" s="6"/>
      <c r="BE703" s="6"/>
      <c r="BF703" s="6"/>
      <c r="BG703" s="6"/>
      <c r="BH703" s="6"/>
      <c r="BI703" s="6"/>
      <c r="BJ703" s="6"/>
      <c r="BK703" s="6"/>
      <c r="BL703" s="6"/>
      <c r="BM703" s="6"/>
      <c r="BN703" s="6"/>
      <c r="BO703" s="6"/>
      <c r="BP703" s="3">
        <v>15</v>
      </c>
      <c r="BQ703" s="6">
        <f t="shared" si="151"/>
        <v>0</v>
      </c>
    </row>
    <row r="704" spans="1:69" x14ac:dyDescent="0.3">
      <c r="A704" s="3" t="s">
        <v>931</v>
      </c>
      <c r="B704" s="3">
        <v>471</v>
      </c>
      <c r="C704" s="3" t="s">
        <v>1149</v>
      </c>
      <c r="D704" s="3">
        <v>6</v>
      </c>
      <c r="E704" s="3" t="s">
        <v>19</v>
      </c>
      <c r="F704" s="3" t="s">
        <v>19</v>
      </c>
      <c r="G704" s="3" t="s">
        <v>19</v>
      </c>
      <c r="H704" s="3" t="s">
        <v>443</v>
      </c>
      <c r="I704" s="3"/>
      <c r="J704" s="3" t="s">
        <v>91</v>
      </c>
      <c r="K704" s="3" t="s">
        <v>1152</v>
      </c>
      <c r="L704" s="3" t="s">
        <v>335</v>
      </c>
      <c r="M704" s="3">
        <v>28</v>
      </c>
      <c r="N704" s="6"/>
      <c r="O704" s="3">
        <v>12</v>
      </c>
      <c r="P704" s="3">
        <v>8</v>
      </c>
      <c r="Q704" s="3">
        <v>8</v>
      </c>
      <c r="R704" s="3">
        <v>0</v>
      </c>
      <c r="S704" s="3">
        <v>0</v>
      </c>
      <c r="T704" s="3">
        <v>0</v>
      </c>
      <c r="U704" s="3">
        <v>0</v>
      </c>
      <c r="V704" s="3">
        <f t="shared" si="152"/>
        <v>8</v>
      </c>
      <c r="W704" s="3">
        <v>8</v>
      </c>
      <c r="X704" s="3">
        <v>0</v>
      </c>
      <c r="Y704" s="3">
        <v>0</v>
      </c>
      <c r="Z704" s="3">
        <v>0</v>
      </c>
      <c r="AA704" s="3">
        <v>0</v>
      </c>
      <c r="AB704" s="3">
        <f t="shared" si="153"/>
        <v>8</v>
      </c>
      <c r="AC704" s="6">
        <f t="shared" si="161"/>
        <v>-8</v>
      </c>
      <c r="AD704" s="6">
        <f t="shared" si="162"/>
        <v>0</v>
      </c>
      <c r="AE704" s="6">
        <f t="shared" si="163"/>
        <v>0</v>
      </c>
      <c r="AF704" s="6">
        <f t="shared" si="164"/>
        <v>0</v>
      </c>
      <c r="AG704" s="6">
        <f t="shared" si="165"/>
        <v>0</v>
      </c>
      <c r="AH704" s="6">
        <f t="shared" si="154"/>
        <v>-8</v>
      </c>
      <c r="AI704" s="3"/>
      <c r="AJ704" s="3" t="e">
        <f>_xlfn.XLOOKUP(K704,工作表1!A:A,工作表1!C:C)</f>
        <v>#N/A</v>
      </c>
      <c r="AK704" s="3"/>
      <c r="AL704" s="6">
        <f t="shared" si="155"/>
        <v>0</v>
      </c>
      <c r="AM704" s="6">
        <f t="shared" si="156"/>
        <v>0</v>
      </c>
      <c r="AN704" s="6">
        <f t="shared" si="157"/>
        <v>0</v>
      </c>
      <c r="AO704" s="6">
        <f t="shared" si="158"/>
        <v>0</v>
      </c>
      <c r="AP704" s="6">
        <f t="shared" si="159"/>
        <v>0</v>
      </c>
      <c r="AQ704" s="6">
        <f t="shared" si="160"/>
        <v>0</v>
      </c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  <c r="BC704" s="6"/>
      <c r="BD704" s="6"/>
      <c r="BE704" s="6"/>
      <c r="BF704" s="6"/>
      <c r="BG704" s="6"/>
      <c r="BH704" s="6"/>
      <c r="BI704" s="6"/>
      <c r="BJ704" s="6"/>
      <c r="BK704" s="6"/>
      <c r="BL704" s="6"/>
      <c r="BM704" s="6"/>
      <c r="BN704" s="6"/>
      <c r="BO704" s="6"/>
      <c r="BP704" s="3">
        <v>8</v>
      </c>
      <c r="BQ704" s="6">
        <f t="shared" si="151"/>
        <v>0</v>
      </c>
    </row>
    <row r="705" spans="1:69" x14ac:dyDescent="0.3">
      <c r="A705" s="3" t="s">
        <v>931</v>
      </c>
      <c r="B705" s="3">
        <v>471</v>
      </c>
      <c r="C705" s="3" t="s">
        <v>1149</v>
      </c>
      <c r="D705" s="3">
        <v>4</v>
      </c>
      <c r="E705" s="3" t="s">
        <v>19</v>
      </c>
      <c r="F705" s="3" t="s">
        <v>19</v>
      </c>
      <c r="G705" s="3" t="s">
        <v>19</v>
      </c>
      <c r="H705" s="3" t="s">
        <v>336</v>
      </c>
      <c r="I705" s="3"/>
      <c r="J705" s="3" t="s">
        <v>91</v>
      </c>
      <c r="K705" s="3" t="s">
        <v>1153</v>
      </c>
      <c r="L705" s="3" t="s">
        <v>335</v>
      </c>
      <c r="M705" s="3">
        <v>8</v>
      </c>
      <c r="N705" s="6"/>
      <c r="O705" s="3">
        <v>4</v>
      </c>
      <c r="P705" s="3">
        <v>4</v>
      </c>
      <c r="Q705" s="3">
        <v>4</v>
      </c>
      <c r="R705" s="3">
        <v>0</v>
      </c>
      <c r="S705" s="3">
        <v>0</v>
      </c>
      <c r="T705" s="3">
        <v>0</v>
      </c>
      <c r="U705" s="3">
        <v>0</v>
      </c>
      <c r="V705" s="3">
        <f t="shared" si="152"/>
        <v>4</v>
      </c>
      <c r="W705" s="3">
        <v>4</v>
      </c>
      <c r="X705" s="3">
        <v>0</v>
      </c>
      <c r="Y705" s="3">
        <v>0</v>
      </c>
      <c r="Z705" s="3">
        <v>0</v>
      </c>
      <c r="AA705" s="3">
        <v>0</v>
      </c>
      <c r="AB705" s="3">
        <f t="shared" si="153"/>
        <v>4</v>
      </c>
      <c r="AC705" s="6">
        <f t="shared" si="161"/>
        <v>-4</v>
      </c>
      <c r="AD705" s="6">
        <f t="shared" si="162"/>
        <v>0</v>
      </c>
      <c r="AE705" s="6">
        <f t="shared" si="163"/>
        <v>0</v>
      </c>
      <c r="AF705" s="6">
        <f t="shared" si="164"/>
        <v>0</v>
      </c>
      <c r="AG705" s="6">
        <f t="shared" si="165"/>
        <v>0</v>
      </c>
      <c r="AH705" s="6">
        <f t="shared" si="154"/>
        <v>-4</v>
      </c>
      <c r="AI705" s="3"/>
      <c r="AJ705" s="3" t="e">
        <f>_xlfn.XLOOKUP(K705,工作表1!A:A,工作表1!C:C)</f>
        <v>#N/A</v>
      </c>
      <c r="AK705" s="3"/>
      <c r="AL705" s="6">
        <f t="shared" si="155"/>
        <v>0</v>
      </c>
      <c r="AM705" s="6">
        <f t="shared" si="156"/>
        <v>0</v>
      </c>
      <c r="AN705" s="6">
        <f t="shared" si="157"/>
        <v>0</v>
      </c>
      <c r="AO705" s="6">
        <f t="shared" si="158"/>
        <v>0</v>
      </c>
      <c r="AP705" s="6">
        <f t="shared" si="159"/>
        <v>0</v>
      </c>
      <c r="AQ705" s="6">
        <f t="shared" si="160"/>
        <v>0</v>
      </c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  <c r="BC705" s="6"/>
      <c r="BD705" s="6"/>
      <c r="BE705" s="6"/>
      <c r="BF705" s="6"/>
      <c r="BG705" s="6"/>
      <c r="BH705" s="6"/>
      <c r="BI705" s="6"/>
      <c r="BJ705" s="6"/>
      <c r="BK705" s="6"/>
      <c r="BL705" s="6"/>
      <c r="BM705" s="6"/>
      <c r="BN705" s="6"/>
      <c r="BO705" s="6"/>
      <c r="BP705" s="3">
        <v>4</v>
      </c>
      <c r="BQ705" s="6">
        <f t="shared" si="151"/>
        <v>0</v>
      </c>
    </row>
    <row r="706" spans="1:69" x14ac:dyDescent="0.3">
      <c r="A706" s="3" t="s">
        <v>931</v>
      </c>
      <c r="B706" s="3">
        <v>471</v>
      </c>
      <c r="C706" s="3" t="s">
        <v>1149</v>
      </c>
      <c r="D706" s="3">
        <v>3</v>
      </c>
      <c r="E706" s="3" t="s">
        <v>19</v>
      </c>
      <c r="F706" s="3" t="s">
        <v>19</v>
      </c>
      <c r="G706" s="3" t="s">
        <v>19</v>
      </c>
      <c r="H706" s="3" t="s">
        <v>338</v>
      </c>
      <c r="I706" s="3"/>
      <c r="J706" s="3" t="s">
        <v>91</v>
      </c>
      <c r="K706" s="3" t="s">
        <v>1154</v>
      </c>
      <c r="L706" s="3" t="s">
        <v>335</v>
      </c>
      <c r="M706" s="3">
        <v>24</v>
      </c>
      <c r="N706" s="6"/>
      <c r="O706" s="3">
        <v>12</v>
      </c>
      <c r="P706" s="3">
        <v>12</v>
      </c>
      <c r="Q706" s="3">
        <v>12</v>
      </c>
      <c r="R706" s="3">
        <v>0</v>
      </c>
      <c r="S706" s="3">
        <v>0</v>
      </c>
      <c r="T706" s="3">
        <v>0</v>
      </c>
      <c r="U706" s="3">
        <v>0</v>
      </c>
      <c r="V706" s="3">
        <f t="shared" si="152"/>
        <v>12</v>
      </c>
      <c r="W706" s="3">
        <v>12</v>
      </c>
      <c r="X706" s="3">
        <v>0</v>
      </c>
      <c r="Y706" s="3">
        <v>0</v>
      </c>
      <c r="Z706" s="3">
        <v>0</v>
      </c>
      <c r="AA706" s="3">
        <v>0</v>
      </c>
      <c r="AB706" s="3">
        <f t="shared" si="153"/>
        <v>12</v>
      </c>
      <c r="AC706" s="6">
        <f t="shared" si="161"/>
        <v>-12</v>
      </c>
      <c r="AD706" s="6">
        <f t="shared" si="162"/>
        <v>0</v>
      </c>
      <c r="AE706" s="6">
        <f t="shared" si="163"/>
        <v>0</v>
      </c>
      <c r="AF706" s="6">
        <f t="shared" si="164"/>
        <v>0</v>
      </c>
      <c r="AG706" s="6">
        <f t="shared" si="165"/>
        <v>0</v>
      </c>
      <c r="AH706" s="6">
        <f t="shared" si="154"/>
        <v>-12</v>
      </c>
      <c r="AI706" s="3"/>
      <c r="AJ706" s="3" t="e">
        <f>_xlfn.XLOOKUP(K706,工作表1!A:A,工作表1!C:C)</f>
        <v>#N/A</v>
      </c>
      <c r="AK706" s="3"/>
      <c r="AL706" s="6">
        <f t="shared" si="155"/>
        <v>0</v>
      </c>
      <c r="AM706" s="6">
        <f t="shared" si="156"/>
        <v>0</v>
      </c>
      <c r="AN706" s="6">
        <f t="shared" si="157"/>
        <v>0</v>
      </c>
      <c r="AO706" s="6">
        <f t="shared" si="158"/>
        <v>0</v>
      </c>
      <c r="AP706" s="6">
        <f t="shared" si="159"/>
        <v>0</v>
      </c>
      <c r="AQ706" s="6">
        <f t="shared" si="160"/>
        <v>0</v>
      </c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  <c r="BC706" s="6"/>
      <c r="BD706" s="6"/>
      <c r="BE706" s="6"/>
      <c r="BF706" s="6"/>
      <c r="BG706" s="6"/>
      <c r="BH706" s="6"/>
      <c r="BI706" s="6"/>
      <c r="BJ706" s="6"/>
      <c r="BK706" s="6"/>
      <c r="BL706" s="6"/>
      <c r="BM706" s="6"/>
      <c r="BN706" s="6"/>
      <c r="BO706" s="6"/>
      <c r="BP706" s="3">
        <v>12</v>
      </c>
      <c r="BQ706" s="6">
        <f t="shared" si="151"/>
        <v>0</v>
      </c>
    </row>
    <row r="707" spans="1:69" x14ac:dyDescent="0.3">
      <c r="A707" s="3" t="s">
        <v>931</v>
      </c>
      <c r="B707" s="3">
        <v>471</v>
      </c>
      <c r="C707" s="3" t="s">
        <v>1149</v>
      </c>
      <c r="D707" s="3">
        <v>2</v>
      </c>
      <c r="E707" s="3" t="s">
        <v>19</v>
      </c>
      <c r="F707" s="3" t="s">
        <v>19</v>
      </c>
      <c r="G707" s="3" t="s">
        <v>19</v>
      </c>
      <c r="H707" s="3" t="s">
        <v>340</v>
      </c>
      <c r="I707" s="3"/>
      <c r="J707" s="3" t="s">
        <v>91</v>
      </c>
      <c r="K707" s="3" t="s">
        <v>1155</v>
      </c>
      <c r="L707" s="3" t="s">
        <v>335</v>
      </c>
      <c r="M707" s="3">
        <v>87</v>
      </c>
      <c r="N707" s="6"/>
      <c r="O707" s="3">
        <v>8</v>
      </c>
      <c r="P707" s="3">
        <v>8</v>
      </c>
      <c r="Q707" s="3">
        <v>8</v>
      </c>
      <c r="R707" s="3">
        <v>0</v>
      </c>
      <c r="S707" s="3">
        <v>0</v>
      </c>
      <c r="T707" s="3">
        <v>0</v>
      </c>
      <c r="U707" s="3">
        <v>0</v>
      </c>
      <c r="V707" s="3">
        <f t="shared" si="152"/>
        <v>8</v>
      </c>
      <c r="W707" s="3">
        <v>8</v>
      </c>
      <c r="X707" s="3">
        <v>0</v>
      </c>
      <c r="Y707" s="3">
        <v>0</v>
      </c>
      <c r="Z707" s="3">
        <v>0</v>
      </c>
      <c r="AA707" s="3">
        <v>0</v>
      </c>
      <c r="AB707" s="3">
        <f t="shared" si="153"/>
        <v>8</v>
      </c>
      <c r="AC707" s="6">
        <f t="shared" si="161"/>
        <v>-8</v>
      </c>
      <c r="AD707" s="6">
        <f t="shared" si="162"/>
        <v>0</v>
      </c>
      <c r="AE707" s="6">
        <f t="shared" si="163"/>
        <v>0</v>
      </c>
      <c r="AF707" s="6">
        <f t="shared" si="164"/>
        <v>0</v>
      </c>
      <c r="AG707" s="6">
        <f t="shared" si="165"/>
        <v>0</v>
      </c>
      <c r="AH707" s="6">
        <f t="shared" si="154"/>
        <v>-8</v>
      </c>
      <c r="AI707" s="3"/>
      <c r="AJ707" s="3" t="e">
        <f>_xlfn.XLOOKUP(K707,工作表1!A:A,工作表1!C:C)</f>
        <v>#N/A</v>
      </c>
      <c r="AK707" s="3"/>
      <c r="AL707" s="6">
        <f t="shared" si="155"/>
        <v>0</v>
      </c>
      <c r="AM707" s="6">
        <f t="shared" si="156"/>
        <v>0</v>
      </c>
      <c r="AN707" s="6">
        <f t="shared" si="157"/>
        <v>0</v>
      </c>
      <c r="AO707" s="6">
        <f t="shared" si="158"/>
        <v>0</v>
      </c>
      <c r="AP707" s="6">
        <f t="shared" si="159"/>
        <v>0</v>
      </c>
      <c r="AQ707" s="6">
        <f t="shared" si="160"/>
        <v>0</v>
      </c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  <c r="BC707" s="6"/>
      <c r="BD707" s="6"/>
      <c r="BE707" s="6"/>
      <c r="BF707" s="6"/>
      <c r="BG707" s="6"/>
      <c r="BH707" s="6"/>
      <c r="BI707" s="6"/>
      <c r="BJ707" s="6"/>
      <c r="BK707" s="6"/>
      <c r="BL707" s="6"/>
      <c r="BM707" s="6"/>
      <c r="BN707" s="6"/>
      <c r="BO707" s="6"/>
      <c r="BP707" s="3">
        <v>8</v>
      </c>
      <c r="BQ707" s="6">
        <f t="shared" si="151"/>
        <v>0</v>
      </c>
    </row>
    <row r="708" spans="1:69" x14ac:dyDescent="0.3">
      <c r="A708" s="3" t="s">
        <v>931</v>
      </c>
      <c r="B708" s="3">
        <v>471</v>
      </c>
      <c r="C708" s="3" t="s">
        <v>1149</v>
      </c>
      <c r="D708" s="3">
        <v>1</v>
      </c>
      <c r="E708" s="3" t="s">
        <v>19</v>
      </c>
      <c r="F708" s="3" t="s">
        <v>19</v>
      </c>
      <c r="G708" s="3" t="s">
        <v>19</v>
      </c>
      <c r="H708" s="3" t="s">
        <v>101</v>
      </c>
      <c r="I708" s="3"/>
      <c r="J708" s="3" t="s">
        <v>91</v>
      </c>
      <c r="K708" s="3" t="s">
        <v>1156</v>
      </c>
      <c r="L708" s="3" t="s">
        <v>335</v>
      </c>
      <c r="M708" s="3">
        <v>81</v>
      </c>
      <c r="N708" s="6"/>
      <c r="O708" s="3">
        <v>35</v>
      </c>
      <c r="P708" s="3">
        <v>35</v>
      </c>
      <c r="Q708" s="3">
        <v>35</v>
      </c>
      <c r="R708" s="3">
        <v>0</v>
      </c>
      <c r="S708" s="3">
        <v>0</v>
      </c>
      <c r="T708" s="3">
        <v>0</v>
      </c>
      <c r="U708" s="3">
        <v>0</v>
      </c>
      <c r="V708" s="3">
        <f t="shared" si="152"/>
        <v>35</v>
      </c>
      <c r="W708" s="3">
        <v>35</v>
      </c>
      <c r="X708" s="3">
        <v>0</v>
      </c>
      <c r="Y708" s="3">
        <v>0</v>
      </c>
      <c r="Z708" s="3">
        <v>0</v>
      </c>
      <c r="AA708" s="3">
        <v>0</v>
      </c>
      <c r="AB708" s="3">
        <f t="shared" si="153"/>
        <v>35</v>
      </c>
      <c r="AC708" s="6">
        <f t="shared" si="161"/>
        <v>-35</v>
      </c>
      <c r="AD708" s="6">
        <f t="shared" si="162"/>
        <v>0</v>
      </c>
      <c r="AE708" s="6">
        <f t="shared" si="163"/>
        <v>0</v>
      </c>
      <c r="AF708" s="6">
        <f t="shared" si="164"/>
        <v>0</v>
      </c>
      <c r="AG708" s="6">
        <f t="shared" si="165"/>
        <v>0</v>
      </c>
      <c r="AH708" s="6">
        <f t="shared" si="154"/>
        <v>-35</v>
      </c>
      <c r="AI708" s="3"/>
      <c r="AJ708" s="3" t="e">
        <f>_xlfn.XLOOKUP(K708,工作表1!A:A,工作表1!C:C)</f>
        <v>#N/A</v>
      </c>
      <c r="AK708" s="3"/>
      <c r="AL708" s="6">
        <f t="shared" si="155"/>
        <v>0</v>
      </c>
      <c r="AM708" s="6">
        <f t="shared" si="156"/>
        <v>0</v>
      </c>
      <c r="AN708" s="6">
        <f t="shared" si="157"/>
        <v>0</v>
      </c>
      <c r="AO708" s="6">
        <f t="shared" si="158"/>
        <v>0</v>
      </c>
      <c r="AP708" s="6">
        <f t="shared" si="159"/>
        <v>0</v>
      </c>
      <c r="AQ708" s="6">
        <f t="shared" si="160"/>
        <v>0</v>
      </c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  <c r="BC708" s="6"/>
      <c r="BD708" s="6"/>
      <c r="BE708" s="6"/>
      <c r="BF708" s="6"/>
      <c r="BG708" s="6"/>
      <c r="BH708" s="6"/>
      <c r="BI708" s="6"/>
      <c r="BJ708" s="6"/>
      <c r="BK708" s="6"/>
      <c r="BL708" s="6"/>
      <c r="BM708" s="6"/>
      <c r="BN708" s="6"/>
      <c r="BO708" s="6"/>
      <c r="BP708" s="3">
        <v>35</v>
      </c>
      <c r="BQ708" s="6">
        <f t="shared" si="151"/>
        <v>0</v>
      </c>
    </row>
    <row r="709" spans="1:69" x14ac:dyDescent="0.3">
      <c r="A709" s="3" t="s">
        <v>931</v>
      </c>
      <c r="B709" s="3">
        <v>471</v>
      </c>
      <c r="C709" s="3" t="s">
        <v>1149</v>
      </c>
      <c r="D709" s="3">
        <v>0.75</v>
      </c>
      <c r="E709" s="3" t="s">
        <v>19</v>
      </c>
      <c r="F709" s="3" t="s">
        <v>19</v>
      </c>
      <c r="G709" s="3" t="s">
        <v>19</v>
      </c>
      <c r="H709" s="3" t="s">
        <v>103</v>
      </c>
      <c r="I709" s="3"/>
      <c r="J709" s="3" t="s">
        <v>91</v>
      </c>
      <c r="K709" s="3" t="s">
        <v>1157</v>
      </c>
      <c r="L709" s="3" t="s">
        <v>335</v>
      </c>
      <c r="M709" s="3">
        <v>168</v>
      </c>
      <c r="N709" s="6"/>
      <c r="O709" s="3">
        <v>20</v>
      </c>
      <c r="P709" s="3">
        <v>20</v>
      </c>
      <c r="Q709" s="3">
        <v>20</v>
      </c>
      <c r="R709" s="3">
        <v>0</v>
      </c>
      <c r="S709" s="3">
        <v>0</v>
      </c>
      <c r="T709" s="3">
        <v>0</v>
      </c>
      <c r="U709" s="3">
        <v>0</v>
      </c>
      <c r="V709" s="3">
        <f t="shared" si="152"/>
        <v>20</v>
      </c>
      <c r="W709" s="3">
        <v>20</v>
      </c>
      <c r="X709" s="3">
        <v>0</v>
      </c>
      <c r="Y709" s="3">
        <v>0</v>
      </c>
      <c r="Z709" s="3">
        <v>0</v>
      </c>
      <c r="AA709" s="3">
        <v>0</v>
      </c>
      <c r="AB709" s="3">
        <f t="shared" si="153"/>
        <v>20</v>
      </c>
      <c r="AC709" s="6">
        <f t="shared" si="161"/>
        <v>-20</v>
      </c>
      <c r="AD709" s="6">
        <f t="shared" si="162"/>
        <v>0</v>
      </c>
      <c r="AE709" s="6">
        <f t="shared" si="163"/>
        <v>0</v>
      </c>
      <c r="AF709" s="6">
        <f t="shared" si="164"/>
        <v>0</v>
      </c>
      <c r="AG709" s="6">
        <f t="shared" si="165"/>
        <v>0</v>
      </c>
      <c r="AH709" s="6">
        <f t="shared" si="154"/>
        <v>-20</v>
      </c>
      <c r="AI709" s="3"/>
      <c r="AJ709" s="3" t="e">
        <f>_xlfn.XLOOKUP(K709,工作表1!A:A,工作表1!C:C)</f>
        <v>#N/A</v>
      </c>
      <c r="AK709" s="3"/>
      <c r="AL709" s="6">
        <f t="shared" si="155"/>
        <v>0</v>
      </c>
      <c r="AM709" s="6">
        <f t="shared" si="156"/>
        <v>0</v>
      </c>
      <c r="AN709" s="6">
        <f t="shared" si="157"/>
        <v>0</v>
      </c>
      <c r="AO709" s="6">
        <f t="shared" si="158"/>
        <v>0</v>
      </c>
      <c r="AP709" s="6">
        <f t="shared" si="159"/>
        <v>0</v>
      </c>
      <c r="AQ709" s="6">
        <f t="shared" si="160"/>
        <v>0</v>
      </c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  <c r="BC709" s="6"/>
      <c r="BD709" s="6"/>
      <c r="BE709" s="6"/>
      <c r="BF709" s="6"/>
      <c r="BG709" s="6"/>
      <c r="BH709" s="6"/>
      <c r="BI709" s="6"/>
      <c r="BJ709" s="6"/>
      <c r="BK709" s="6"/>
      <c r="BL709" s="6"/>
      <c r="BM709" s="6"/>
      <c r="BN709" s="6"/>
      <c r="BO709" s="6"/>
      <c r="BP709" s="3">
        <v>20</v>
      </c>
      <c r="BQ709" s="6">
        <f t="shared" si="151"/>
        <v>0</v>
      </c>
    </row>
    <row r="710" spans="1:69" x14ac:dyDescent="0.3">
      <c r="A710" s="3" t="s">
        <v>931</v>
      </c>
      <c r="B710" s="3">
        <v>471</v>
      </c>
      <c r="C710" s="3" t="s">
        <v>1158</v>
      </c>
      <c r="D710" s="3">
        <v>20</v>
      </c>
      <c r="E710" s="3" t="s">
        <v>19</v>
      </c>
      <c r="F710" s="3" t="s">
        <v>19</v>
      </c>
      <c r="G710" s="3" t="s">
        <v>19</v>
      </c>
      <c r="H710" s="3" t="s">
        <v>1138</v>
      </c>
      <c r="I710" s="3"/>
      <c r="J710" s="3" t="s">
        <v>91</v>
      </c>
      <c r="K710" s="3" t="s">
        <v>1159</v>
      </c>
      <c r="L710" s="3" t="s">
        <v>335</v>
      </c>
      <c r="M710" s="3">
        <v>4</v>
      </c>
      <c r="N710" s="6"/>
      <c r="O710" s="3">
        <v>2</v>
      </c>
      <c r="P710" s="3">
        <v>2</v>
      </c>
      <c r="Q710" s="3">
        <v>2</v>
      </c>
      <c r="R710" s="3">
        <v>0</v>
      </c>
      <c r="S710" s="3">
        <v>0</v>
      </c>
      <c r="T710" s="3">
        <v>0</v>
      </c>
      <c r="U710" s="3">
        <v>0</v>
      </c>
      <c r="V710" s="3">
        <f t="shared" si="152"/>
        <v>2</v>
      </c>
      <c r="W710" s="3">
        <v>2</v>
      </c>
      <c r="X710" s="3">
        <v>0</v>
      </c>
      <c r="Y710" s="3">
        <v>0</v>
      </c>
      <c r="Z710" s="3">
        <v>0</v>
      </c>
      <c r="AA710" s="3">
        <v>0</v>
      </c>
      <c r="AB710" s="3">
        <f t="shared" si="153"/>
        <v>2</v>
      </c>
      <c r="AC710" s="6">
        <f t="shared" si="161"/>
        <v>-2</v>
      </c>
      <c r="AD710" s="6">
        <f t="shared" si="162"/>
        <v>0</v>
      </c>
      <c r="AE710" s="6">
        <f t="shared" si="163"/>
        <v>0</v>
      </c>
      <c r="AF710" s="6">
        <f t="shared" si="164"/>
        <v>0</v>
      </c>
      <c r="AG710" s="6">
        <f t="shared" si="165"/>
        <v>0</v>
      </c>
      <c r="AH710" s="6">
        <f t="shared" si="154"/>
        <v>-2</v>
      </c>
      <c r="AI710" s="3"/>
      <c r="AJ710" s="3" t="e">
        <f>_xlfn.XLOOKUP(K710,工作表1!A:A,工作表1!C:C)</f>
        <v>#N/A</v>
      </c>
      <c r="AK710" s="3"/>
      <c r="AL710" s="6">
        <f t="shared" si="155"/>
        <v>0</v>
      </c>
      <c r="AM710" s="6">
        <f t="shared" si="156"/>
        <v>0</v>
      </c>
      <c r="AN710" s="6">
        <f t="shared" si="157"/>
        <v>0</v>
      </c>
      <c r="AO710" s="6">
        <f t="shared" si="158"/>
        <v>0</v>
      </c>
      <c r="AP710" s="6">
        <f t="shared" si="159"/>
        <v>0</v>
      </c>
      <c r="AQ710" s="6">
        <f t="shared" si="160"/>
        <v>0</v>
      </c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  <c r="BC710" s="6"/>
      <c r="BD710" s="6"/>
      <c r="BE710" s="6"/>
      <c r="BF710" s="6"/>
      <c r="BG710" s="6"/>
      <c r="BH710" s="6"/>
      <c r="BI710" s="6"/>
      <c r="BJ710" s="6"/>
      <c r="BK710" s="6"/>
      <c r="BL710" s="6"/>
      <c r="BM710" s="6"/>
      <c r="BN710" s="6"/>
      <c r="BO710" s="6"/>
      <c r="BP710" s="3">
        <v>2</v>
      </c>
      <c r="BQ710" s="6">
        <f t="shared" si="151"/>
        <v>0</v>
      </c>
    </row>
    <row r="711" spans="1:69" x14ac:dyDescent="0.3">
      <c r="A711" s="3" t="s">
        <v>931</v>
      </c>
      <c r="B711" s="3">
        <v>471</v>
      </c>
      <c r="C711" s="3" t="s">
        <v>1158</v>
      </c>
      <c r="D711" s="3">
        <v>16</v>
      </c>
      <c r="E711" s="3" t="s">
        <v>19</v>
      </c>
      <c r="F711" s="3" t="s">
        <v>19</v>
      </c>
      <c r="G711" s="3" t="s">
        <v>19</v>
      </c>
      <c r="H711" s="3" t="s">
        <v>1140</v>
      </c>
      <c r="I711" s="3"/>
      <c r="J711" s="3" t="s">
        <v>91</v>
      </c>
      <c r="K711" s="3" t="s">
        <v>1160</v>
      </c>
      <c r="L711" s="3" t="s">
        <v>335</v>
      </c>
      <c r="M711" s="3">
        <v>16</v>
      </c>
      <c r="N711" s="6"/>
      <c r="O711" s="3">
        <v>8</v>
      </c>
      <c r="P711" s="3">
        <v>8</v>
      </c>
      <c r="Q711" s="3">
        <v>8</v>
      </c>
      <c r="R711" s="3">
        <v>0</v>
      </c>
      <c r="S711" s="3">
        <v>0</v>
      </c>
      <c r="T711" s="3">
        <v>0</v>
      </c>
      <c r="U711" s="3">
        <v>0</v>
      </c>
      <c r="V711" s="3">
        <f t="shared" si="152"/>
        <v>8</v>
      </c>
      <c r="W711" s="3">
        <v>8</v>
      </c>
      <c r="X711" s="3">
        <v>0</v>
      </c>
      <c r="Y711" s="3">
        <v>0</v>
      </c>
      <c r="Z711" s="3">
        <v>0</v>
      </c>
      <c r="AA711" s="3">
        <v>0</v>
      </c>
      <c r="AB711" s="3">
        <f t="shared" si="153"/>
        <v>8</v>
      </c>
      <c r="AC711" s="6">
        <f t="shared" si="161"/>
        <v>-8</v>
      </c>
      <c r="AD711" s="6">
        <f t="shared" si="162"/>
        <v>0</v>
      </c>
      <c r="AE711" s="6">
        <f t="shared" si="163"/>
        <v>0</v>
      </c>
      <c r="AF711" s="6">
        <f t="shared" si="164"/>
        <v>0</v>
      </c>
      <c r="AG711" s="6">
        <f t="shared" si="165"/>
        <v>0</v>
      </c>
      <c r="AH711" s="6">
        <f t="shared" si="154"/>
        <v>-8</v>
      </c>
      <c r="AI711" s="3"/>
      <c r="AJ711" s="3" t="e">
        <f>_xlfn.XLOOKUP(K711,工作表1!A:A,工作表1!C:C)</f>
        <v>#N/A</v>
      </c>
      <c r="AK711" s="3"/>
      <c r="AL711" s="6">
        <f t="shared" si="155"/>
        <v>0</v>
      </c>
      <c r="AM711" s="6">
        <f t="shared" si="156"/>
        <v>0</v>
      </c>
      <c r="AN711" s="6">
        <f t="shared" si="157"/>
        <v>0</v>
      </c>
      <c r="AO711" s="6">
        <f t="shared" si="158"/>
        <v>0</v>
      </c>
      <c r="AP711" s="6">
        <f t="shared" si="159"/>
        <v>0</v>
      </c>
      <c r="AQ711" s="6">
        <f t="shared" si="160"/>
        <v>0</v>
      </c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  <c r="BC711" s="6"/>
      <c r="BD711" s="6"/>
      <c r="BE711" s="6"/>
      <c r="BF711" s="6"/>
      <c r="BG711" s="6"/>
      <c r="BH711" s="6"/>
      <c r="BI711" s="6"/>
      <c r="BJ711" s="6"/>
      <c r="BK711" s="6"/>
      <c r="BL711" s="6"/>
      <c r="BM711" s="6"/>
      <c r="BN711" s="6"/>
      <c r="BO711" s="6"/>
      <c r="BP711" s="3">
        <v>8</v>
      </c>
      <c r="BQ711" s="6">
        <f t="shared" ref="BQ711:BQ774" si="166">SUM(BR711:FN711)</f>
        <v>0</v>
      </c>
    </row>
    <row r="712" spans="1:69" x14ac:dyDescent="0.3">
      <c r="A712" s="3" t="s">
        <v>931</v>
      </c>
      <c r="B712" s="3">
        <v>471</v>
      </c>
      <c r="C712" s="3" t="s">
        <v>1158</v>
      </c>
      <c r="D712" s="3">
        <v>14</v>
      </c>
      <c r="E712" s="3" t="s">
        <v>19</v>
      </c>
      <c r="F712" s="3" t="s">
        <v>19</v>
      </c>
      <c r="G712" s="3" t="s">
        <v>19</v>
      </c>
      <c r="H712" s="3" t="s">
        <v>1135</v>
      </c>
      <c r="I712" s="3"/>
      <c r="J712" s="3" t="s">
        <v>91</v>
      </c>
      <c r="K712" s="3" t="s">
        <v>1161</v>
      </c>
      <c r="L712" s="3" t="s">
        <v>335</v>
      </c>
      <c r="M712" s="3">
        <v>16</v>
      </c>
      <c r="N712" s="6"/>
      <c r="O712" s="3">
        <v>8</v>
      </c>
      <c r="P712" s="3">
        <v>8</v>
      </c>
      <c r="Q712" s="3">
        <v>8</v>
      </c>
      <c r="R712" s="3">
        <v>0</v>
      </c>
      <c r="S712" s="3">
        <v>0</v>
      </c>
      <c r="T712" s="3">
        <v>0</v>
      </c>
      <c r="U712" s="3">
        <v>0</v>
      </c>
      <c r="V712" s="3">
        <f t="shared" ref="V712:V775" si="167">SUM(Q712:U712)</f>
        <v>8</v>
      </c>
      <c r="W712" s="3">
        <v>8</v>
      </c>
      <c r="X712" s="3">
        <v>0</v>
      </c>
      <c r="Y712" s="3">
        <v>0</v>
      </c>
      <c r="Z712" s="3">
        <v>0</v>
      </c>
      <c r="AA712" s="3">
        <v>0</v>
      </c>
      <c r="AB712" s="3">
        <f t="shared" ref="AB712:AB775" si="168">SUM(W712:AA712)</f>
        <v>8</v>
      </c>
      <c r="AC712" s="6">
        <f t="shared" si="161"/>
        <v>-8</v>
      </c>
      <c r="AD712" s="6">
        <f t="shared" si="162"/>
        <v>0</v>
      </c>
      <c r="AE712" s="6">
        <f t="shared" si="163"/>
        <v>0</v>
      </c>
      <c r="AF712" s="6">
        <f t="shared" si="164"/>
        <v>0</v>
      </c>
      <c r="AG712" s="6">
        <f t="shared" si="165"/>
        <v>0</v>
      </c>
      <c r="AH712" s="6">
        <f t="shared" ref="AH712:AH775" si="169">AQ712-AB712</f>
        <v>-8</v>
      </c>
      <c r="AI712" s="3"/>
      <c r="AJ712" s="3" t="e">
        <f>_xlfn.XLOOKUP(K712,工作表1!A:A,工作表1!C:C)</f>
        <v>#N/A</v>
      </c>
      <c r="AK712" s="3"/>
      <c r="AL712" s="6">
        <f t="shared" ref="AL712:AL775" si="170">SUM(AR712:AV712)</f>
        <v>0</v>
      </c>
      <c r="AM712" s="6">
        <f t="shared" ref="AM712:AM775" si="171">SUM(AW712:AZ712)</f>
        <v>0</v>
      </c>
      <c r="AN712" s="6">
        <f t="shared" ref="AN712:AN775" si="172">SUM(BA712:BE712)</f>
        <v>0</v>
      </c>
      <c r="AO712" s="6">
        <f t="shared" ref="AO712:AO775" si="173">SUM(BF712:BI712)</f>
        <v>0</v>
      </c>
      <c r="AP712" s="6">
        <f t="shared" ref="AP712:AP775" si="174">SUM(BJ712:BN712)</f>
        <v>0</v>
      </c>
      <c r="AQ712" s="6">
        <f t="shared" ref="AQ712:AQ775" si="175">SUM(AL712:AP712)</f>
        <v>0</v>
      </c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  <c r="BC712" s="6"/>
      <c r="BD712" s="6"/>
      <c r="BE712" s="6"/>
      <c r="BF712" s="6"/>
      <c r="BG712" s="6"/>
      <c r="BH712" s="6"/>
      <c r="BI712" s="6"/>
      <c r="BJ712" s="6"/>
      <c r="BK712" s="6"/>
      <c r="BL712" s="6"/>
      <c r="BM712" s="6"/>
      <c r="BN712" s="6"/>
      <c r="BO712" s="6"/>
      <c r="BP712" s="3">
        <v>8</v>
      </c>
      <c r="BQ712" s="6">
        <f t="shared" si="166"/>
        <v>0</v>
      </c>
    </row>
    <row r="713" spans="1:69" x14ac:dyDescent="0.3">
      <c r="A713" s="3" t="s">
        <v>931</v>
      </c>
      <c r="B713" s="3">
        <v>471</v>
      </c>
      <c r="C713" s="3" t="s">
        <v>1162</v>
      </c>
      <c r="D713" s="3">
        <v>6</v>
      </c>
      <c r="E713" s="3" t="s">
        <v>19</v>
      </c>
      <c r="F713" s="3" t="s">
        <v>19</v>
      </c>
      <c r="G713" s="3" t="s">
        <v>19</v>
      </c>
      <c r="H713" s="3" t="s">
        <v>443</v>
      </c>
      <c r="I713" s="3"/>
      <c r="J713" s="3" t="s">
        <v>91</v>
      </c>
      <c r="K713" s="3" t="s">
        <v>1163</v>
      </c>
      <c r="L713" s="3" t="s">
        <v>335</v>
      </c>
      <c r="M713" s="3">
        <v>14</v>
      </c>
      <c r="N713" s="6"/>
      <c r="O713" s="3">
        <v>7</v>
      </c>
      <c r="P713" s="3">
        <v>7</v>
      </c>
      <c r="Q713" s="3">
        <v>7</v>
      </c>
      <c r="R713" s="3">
        <v>0</v>
      </c>
      <c r="S713" s="3">
        <v>0</v>
      </c>
      <c r="T713" s="3">
        <v>0</v>
      </c>
      <c r="U713" s="3">
        <v>0</v>
      </c>
      <c r="V713" s="3">
        <f t="shared" si="167"/>
        <v>7</v>
      </c>
      <c r="W713" s="3">
        <v>7</v>
      </c>
      <c r="X713" s="3">
        <v>0</v>
      </c>
      <c r="Y713" s="3">
        <v>0</v>
      </c>
      <c r="Z713" s="3">
        <v>0</v>
      </c>
      <c r="AA713" s="3">
        <v>0</v>
      </c>
      <c r="AB713" s="3">
        <f t="shared" si="168"/>
        <v>7</v>
      </c>
      <c r="AC713" s="6">
        <f t="shared" si="161"/>
        <v>-7</v>
      </c>
      <c r="AD713" s="6">
        <f t="shared" si="162"/>
        <v>0</v>
      </c>
      <c r="AE713" s="6">
        <f t="shared" si="163"/>
        <v>0</v>
      </c>
      <c r="AF713" s="6">
        <f t="shared" si="164"/>
        <v>0</v>
      </c>
      <c r="AG713" s="6">
        <f t="shared" si="165"/>
        <v>0</v>
      </c>
      <c r="AH713" s="6">
        <f t="shared" si="169"/>
        <v>-7</v>
      </c>
      <c r="AI713" s="3"/>
      <c r="AJ713" s="3" t="e">
        <f>_xlfn.XLOOKUP(K713,工作表1!A:A,工作表1!C:C)</f>
        <v>#N/A</v>
      </c>
      <c r="AK713" s="3"/>
      <c r="AL713" s="6">
        <f t="shared" si="170"/>
        <v>0</v>
      </c>
      <c r="AM713" s="6">
        <f t="shared" si="171"/>
        <v>0</v>
      </c>
      <c r="AN713" s="6">
        <f t="shared" si="172"/>
        <v>0</v>
      </c>
      <c r="AO713" s="6">
        <f t="shared" si="173"/>
        <v>0</v>
      </c>
      <c r="AP713" s="6">
        <f t="shared" si="174"/>
        <v>0</v>
      </c>
      <c r="AQ713" s="6">
        <f t="shared" si="175"/>
        <v>0</v>
      </c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  <c r="BC713" s="6"/>
      <c r="BD713" s="6"/>
      <c r="BE713" s="6"/>
      <c r="BF713" s="6"/>
      <c r="BG713" s="6"/>
      <c r="BH713" s="6"/>
      <c r="BI713" s="6"/>
      <c r="BJ713" s="6"/>
      <c r="BK713" s="6"/>
      <c r="BL713" s="6"/>
      <c r="BM713" s="6"/>
      <c r="BN713" s="6"/>
      <c r="BO713" s="6"/>
      <c r="BP713" s="3">
        <v>7</v>
      </c>
      <c r="BQ713" s="6">
        <f t="shared" si="166"/>
        <v>0</v>
      </c>
    </row>
    <row r="714" spans="1:69" x14ac:dyDescent="0.3">
      <c r="A714" s="3" t="s">
        <v>931</v>
      </c>
      <c r="B714" s="3">
        <v>471</v>
      </c>
      <c r="C714" s="3" t="s">
        <v>1162</v>
      </c>
      <c r="D714" s="3">
        <v>4</v>
      </c>
      <c r="E714" s="3" t="s">
        <v>19</v>
      </c>
      <c r="F714" s="3" t="s">
        <v>19</v>
      </c>
      <c r="G714" s="3" t="s">
        <v>19</v>
      </c>
      <c r="H714" s="3" t="s">
        <v>336</v>
      </c>
      <c r="I714" s="3"/>
      <c r="J714" s="3" t="s">
        <v>91</v>
      </c>
      <c r="K714" s="3" t="s">
        <v>1164</v>
      </c>
      <c r="L714" s="3" t="s">
        <v>335</v>
      </c>
      <c r="M714" s="3">
        <v>22</v>
      </c>
      <c r="N714" s="6"/>
      <c r="O714" s="3">
        <v>9</v>
      </c>
      <c r="P714" s="3">
        <v>9</v>
      </c>
      <c r="Q714" s="3">
        <v>9</v>
      </c>
      <c r="R714" s="3">
        <v>0</v>
      </c>
      <c r="S714" s="3">
        <v>0</v>
      </c>
      <c r="T714" s="3">
        <v>0</v>
      </c>
      <c r="U714" s="3">
        <v>0</v>
      </c>
      <c r="V714" s="3">
        <f t="shared" si="167"/>
        <v>9</v>
      </c>
      <c r="W714" s="3">
        <v>9</v>
      </c>
      <c r="X714" s="3">
        <v>0</v>
      </c>
      <c r="Y714" s="3">
        <v>0</v>
      </c>
      <c r="Z714" s="3">
        <v>0</v>
      </c>
      <c r="AA714" s="3">
        <v>0</v>
      </c>
      <c r="AB714" s="3">
        <f t="shared" si="168"/>
        <v>9</v>
      </c>
      <c r="AC714" s="6">
        <f t="shared" si="161"/>
        <v>-9</v>
      </c>
      <c r="AD714" s="6">
        <f t="shared" si="162"/>
        <v>0</v>
      </c>
      <c r="AE714" s="6">
        <f t="shared" si="163"/>
        <v>0</v>
      </c>
      <c r="AF714" s="6">
        <f t="shared" si="164"/>
        <v>0</v>
      </c>
      <c r="AG714" s="6">
        <f t="shared" si="165"/>
        <v>0</v>
      </c>
      <c r="AH714" s="6">
        <f t="shared" si="169"/>
        <v>-9</v>
      </c>
      <c r="AI714" s="3"/>
      <c r="AJ714" s="3" t="e">
        <f>_xlfn.XLOOKUP(K714,工作表1!A:A,工作表1!C:C)</f>
        <v>#N/A</v>
      </c>
      <c r="AK714" s="3"/>
      <c r="AL714" s="6">
        <f t="shared" si="170"/>
        <v>0</v>
      </c>
      <c r="AM714" s="6">
        <f t="shared" si="171"/>
        <v>0</v>
      </c>
      <c r="AN714" s="6">
        <f t="shared" si="172"/>
        <v>0</v>
      </c>
      <c r="AO714" s="6">
        <f t="shared" si="173"/>
        <v>0</v>
      </c>
      <c r="AP714" s="6">
        <f t="shared" si="174"/>
        <v>0</v>
      </c>
      <c r="AQ714" s="6">
        <f t="shared" si="175"/>
        <v>0</v>
      </c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  <c r="BC714" s="6"/>
      <c r="BD714" s="6"/>
      <c r="BE714" s="6"/>
      <c r="BF714" s="6"/>
      <c r="BG714" s="6"/>
      <c r="BH714" s="6"/>
      <c r="BI714" s="6"/>
      <c r="BJ714" s="6"/>
      <c r="BK714" s="6"/>
      <c r="BL714" s="6"/>
      <c r="BM714" s="6"/>
      <c r="BN714" s="6"/>
      <c r="BO714" s="6"/>
      <c r="BP714" s="3">
        <v>9</v>
      </c>
      <c r="BQ714" s="6">
        <f t="shared" si="166"/>
        <v>0</v>
      </c>
    </row>
    <row r="715" spans="1:69" x14ac:dyDescent="0.3">
      <c r="A715" s="3" t="s">
        <v>931</v>
      </c>
      <c r="B715" s="3">
        <v>471</v>
      </c>
      <c r="C715" s="3" t="s">
        <v>1162</v>
      </c>
      <c r="D715" s="3">
        <v>2</v>
      </c>
      <c r="E715" s="3" t="s">
        <v>19</v>
      </c>
      <c r="F715" s="3" t="s">
        <v>19</v>
      </c>
      <c r="G715" s="3" t="s">
        <v>19</v>
      </c>
      <c r="H715" s="3" t="s">
        <v>340</v>
      </c>
      <c r="I715" s="3"/>
      <c r="J715" s="3" t="s">
        <v>91</v>
      </c>
      <c r="K715" s="3" t="s">
        <v>1165</v>
      </c>
      <c r="L715" s="3" t="s">
        <v>335</v>
      </c>
      <c r="M715" s="3">
        <v>2</v>
      </c>
      <c r="N715" s="6"/>
      <c r="O715" s="3">
        <v>1</v>
      </c>
      <c r="P715" s="3">
        <v>1</v>
      </c>
      <c r="Q715" s="3">
        <v>1</v>
      </c>
      <c r="R715" s="3">
        <v>0</v>
      </c>
      <c r="S715" s="3">
        <v>0</v>
      </c>
      <c r="T715" s="3">
        <v>0</v>
      </c>
      <c r="U715" s="3">
        <v>0</v>
      </c>
      <c r="V715" s="3">
        <f t="shared" si="167"/>
        <v>1</v>
      </c>
      <c r="W715" s="3">
        <v>1</v>
      </c>
      <c r="X715" s="3">
        <v>0</v>
      </c>
      <c r="Y715" s="3">
        <v>0</v>
      </c>
      <c r="Z715" s="3">
        <v>0</v>
      </c>
      <c r="AA715" s="3">
        <v>0</v>
      </c>
      <c r="AB715" s="3">
        <f t="shared" si="168"/>
        <v>1</v>
      </c>
      <c r="AC715" s="6">
        <f t="shared" si="161"/>
        <v>-1</v>
      </c>
      <c r="AD715" s="6">
        <f t="shared" si="162"/>
        <v>0</v>
      </c>
      <c r="AE715" s="6">
        <f t="shared" si="163"/>
        <v>0</v>
      </c>
      <c r="AF715" s="6">
        <f t="shared" si="164"/>
        <v>0</v>
      </c>
      <c r="AG715" s="6">
        <f t="shared" si="165"/>
        <v>0</v>
      </c>
      <c r="AH715" s="6">
        <f t="shared" si="169"/>
        <v>-1</v>
      </c>
      <c r="AI715" s="3"/>
      <c r="AJ715" s="3" t="e">
        <f>_xlfn.XLOOKUP(K715,工作表1!A:A,工作表1!C:C)</f>
        <v>#N/A</v>
      </c>
      <c r="AK715" s="3"/>
      <c r="AL715" s="6">
        <f t="shared" si="170"/>
        <v>0</v>
      </c>
      <c r="AM715" s="6">
        <f t="shared" si="171"/>
        <v>0</v>
      </c>
      <c r="AN715" s="6">
        <f t="shared" si="172"/>
        <v>0</v>
      </c>
      <c r="AO715" s="6">
        <f t="shared" si="173"/>
        <v>0</v>
      </c>
      <c r="AP715" s="6">
        <f t="shared" si="174"/>
        <v>0</v>
      </c>
      <c r="AQ715" s="6">
        <f t="shared" si="175"/>
        <v>0</v>
      </c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  <c r="BC715" s="6"/>
      <c r="BD715" s="6"/>
      <c r="BE715" s="6"/>
      <c r="BF715" s="6"/>
      <c r="BG715" s="6"/>
      <c r="BH715" s="6"/>
      <c r="BI715" s="6"/>
      <c r="BJ715" s="6"/>
      <c r="BK715" s="6"/>
      <c r="BL715" s="6"/>
      <c r="BM715" s="6"/>
      <c r="BN715" s="6"/>
      <c r="BO715" s="6"/>
      <c r="BP715" s="3">
        <v>1</v>
      </c>
      <c r="BQ715" s="6">
        <f t="shared" si="166"/>
        <v>0</v>
      </c>
    </row>
    <row r="716" spans="1:69" x14ac:dyDescent="0.3">
      <c r="A716" s="3" t="s">
        <v>931</v>
      </c>
      <c r="B716" s="3">
        <v>471</v>
      </c>
      <c r="C716" s="3" t="s">
        <v>1162</v>
      </c>
      <c r="D716" s="3">
        <v>1</v>
      </c>
      <c r="E716" s="3" t="s">
        <v>19</v>
      </c>
      <c r="F716" s="3" t="s">
        <v>19</v>
      </c>
      <c r="G716" s="3" t="s">
        <v>19</v>
      </c>
      <c r="H716" s="3" t="s">
        <v>101</v>
      </c>
      <c r="I716" s="3"/>
      <c r="J716" s="3" t="s">
        <v>91</v>
      </c>
      <c r="K716" s="3" t="s">
        <v>1166</v>
      </c>
      <c r="L716" s="3" t="s">
        <v>335</v>
      </c>
      <c r="M716" s="3">
        <v>19</v>
      </c>
      <c r="N716" s="6"/>
      <c r="O716" s="3">
        <v>1</v>
      </c>
      <c r="P716" s="3">
        <v>7</v>
      </c>
      <c r="Q716" s="3">
        <v>7</v>
      </c>
      <c r="R716" s="3">
        <v>0</v>
      </c>
      <c r="S716" s="3">
        <v>0</v>
      </c>
      <c r="T716" s="3">
        <v>0</v>
      </c>
      <c r="U716" s="3">
        <v>0</v>
      </c>
      <c r="V716" s="3">
        <f t="shared" si="167"/>
        <v>7</v>
      </c>
      <c r="W716" s="3">
        <v>7</v>
      </c>
      <c r="X716" s="3">
        <v>0</v>
      </c>
      <c r="Y716" s="3">
        <v>0</v>
      </c>
      <c r="Z716" s="3">
        <v>0</v>
      </c>
      <c r="AA716" s="3">
        <v>0</v>
      </c>
      <c r="AB716" s="3">
        <f t="shared" si="168"/>
        <v>7</v>
      </c>
      <c r="AC716" s="6">
        <f t="shared" si="161"/>
        <v>-7</v>
      </c>
      <c r="AD716" s="6">
        <f t="shared" si="162"/>
        <v>0</v>
      </c>
      <c r="AE716" s="6">
        <f t="shared" si="163"/>
        <v>0</v>
      </c>
      <c r="AF716" s="6">
        <f t="shared" si="164"/>
        <v>0</v>
      </c>
      <c r="AG716" s="6">
        <f t="shared" si="165"/>
        <v>0</v>
      </c>
      <c r="AH716" s="6">
        <f t="shared" si="169"/>
        <v>-7</v>
      </c>
      <c r="AI716" s="3"/>
      <c r="AJ716" s="3" t="e">
        <f>_xlfn.XLOOKUP(K716,工作表1!A:A,工作表1!C:C)</f>
        <v>#N/A</v>
      </c>
      <c r="AK716" s="3"/>
      <c r="AL716" s="6">
        <f t="shared" si="170"/>
        <v>0</v>
      </c>
      <c r="AM716" s="6">
        <f t="shared" si="171"/>
        <v>0</v>
      </c>
      <c r="AN716" s="6">
        <f t="shared" si="172"/>
        <v>0</v>
      </c>
      <c r="AO716" s="6">
        <f t="shared" si="173"/>
        <v>0</v>
      </c>
      <c r="AP716" s="6">
        <f t="shared" si="174"/>
        <v>0</v>
      </c>
      <c r="AQ716" s="6">
        <f t="shared" si="175"/>
        <v>0</v>
      </c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  <c r="BC716" s="6"/>
      <c r="BD716" s="6"/>
      <c r="BE716" s="6"/>
      <c r="BF716" s="6"/>
      <c r="BG716" s="6"/>
      <c r="BH716" s="6"/>
      <c r="BI716" s="6"/>
      <c r="BJ716" s="6"/>
      <c r="BK716" s="6"/>
      <c r="BL716" s="6"/>
      <c r="BM716" s="6"/>
      <c r="BN716" s="6"/>
      <c r="BO716" s="6"/>
      <c r="BP716" s="3">
        <v>7</v>
      </c>
      <c r="BQ716" s="6">
        <f t="shared" si="166"/>
        <v>0</v>
      </c>
    </row>
    <row r="717" spans="1:69" x14ac:dyDescent="0.3">
      <c r="A717" s="3" t="s">
        <v>931</v>
      </c>
      <c r="B717" s="3">
        <v>471</v>
      </c>
      <c r="C717" s="3" t="s">
        <v>1162</v>
      </c>
      <c r="D717" s="3">
        <v>0.75</v>
      </c>
      <c r="E717" s="3" t="s">
        <v>19</v>
      </c>
      <c r="F717" s="3" t="s">
        <v>19</v>
      </c>
      <c r="G717" s="3" t="s">
        <v>19</v>
      </c>
      <c r="H717" s="3" t="s">
        <v>103</v>
      </c>
      <c r="I717" s="3"/>
      <c r="J717" s="3" t="s">
        <v>91</v>
      </c>
      <c r="K717" s="3" t="s">
        <v>1167</v>
      </c>
      <c r="L717" s="3" t="s">
        <v>335</v>
      </c>
      <c r="M717" s="3">
        <v>23</v>
      </c>
      <c r="N717" s="6"/>
      <c r="O717" s="3">
        <v>8</v>
      </c>
      <c r="P717" s="3">
        <v>8</v>
      </c>
      <c r="Q717" s="3">
        <v>8</v>
      </c>
      <c r="R717" s="3">
        <v>0</v>
      </c>
      <c r="S717" s="3">
        <v>0</v>
      </c>
      <c r="T717" s="3">
        <v>0</v>
      </c>
      <c r="U717" s="3">
        <v>0</v>
      </c>
      <c r="V717" s="3">
        <f t="shared" si="167"/>
        <v>8</v>
      </c>
      <c r="W717" s="3">
        <v>8</v>
      </c>
      <c r="X717" s="3">
        <v>0</v>
      </c>
      <c r="Y717" s="3">
        <v>0</v>
      </c>
      <c r="Z717" s="3">
        <v>0</v>
      </c>
      <c r="AA717" s="3">
        <v>0</v>
      </c>
      <c r="AB717" s="3">
        <f t="shared" si="168"/>
        <v>8</v>
      </c>
      <c r="AC717" s="6">
        <f t="shared" si="161"/>
        <v>-8</v>
      </c>
      <c r="AD717" s="6">
        <f t="shared" si="162"/>
        <v>0</v>
      </c>
      <c r="AE717" s="6">
        <f t="shared" si="163"/>
        <v>0</v>
      </c>
      <c r="AF717" s="6">
        <f t="shared" si="164"/>
        <v>0</v>
      </c>
      <c r="AG717" s="6">
        <f t="shared" si="165"/>
        <v>0</v>
      </c>
      <c r="AH717" s="6">
        <f t="shared" si="169"/>
        <v>-8</v>
      </c>
      <c r="AI717" s="3"/>
      <c r="AJ717" s="3" t="e">
        <f>_xlfn.XLOOKUP(K717,工作表1!A:A,工作表1!C:C)</f>
        <v>#N/A</v>
      </c>
      <c r="AK717" s="3"/>
      <c r="AL717" s="6">
        <f t="shared" si="170"/>
        <v>0</v>
      </c>
      <c r="AM717" s="6">
        <f t="shared" si="171"/>
        <v>0</v>
      </c>
      <c r="AN717" s="6">
        <f t="shared" si="172"/>
        <v>0</v>
      </c>
      <c r="AO717" s="6">
        <f t="shared" si="173"/>
        <v>0</v>
      </c>
      <c r="AP717" s="6">
        <f t="shared" si="174"/>
        <v>0</v>
      </c>
      <c r="AQ717" s="6">
        <f t="shared" si="175"/>
        <v>0</v>
      </c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  <c r="BC717" s="6"/>
      <c r="BD717" s="6"/>
      <c r="BE717" s="6"/>
      <c r="BF717" s="6"/>
      <c r="BG717" s="6"/>
      <c r="BH717" s="6"/>
      <c r="BI717" s="6"/>
      <c r="BJ717" s="6"/>
      <c r="BK717" s="6"/>
      <c r="BL717" s="6"/>
      <c r="BM717" s="6"/>
      <c r="BN717" s="6"/>
      <c r="BO717" s="6"/>
      <c r="BP717" s="3">
        <v>8</v>
      </c>
      <c r="BQ717" s="6">
        <f t="shared" si="166"/>
        <v>0</v>
      </c>
    </row>
    <row r="718" spans="1:69" x14ac:dyDescent="0.3">
      <c r="A718" s="3" t="s">
        <v>931</v>
      </c>
      <c r="B718" s="3">
        <v>471</v>
      </c>
      <c r="C718" s="3" t="s">
        <v>1168</v>
      </c>
      <c r="D718" s="3">
        <v>6</v>
      </c>
      <c r="E718" s="3" t="s">
        <v>19</v>
      </c>
      <c r="F718" s="3" t="s">
        <v>19</v>
      </c>
      <c r="G718" s="3" t="s">
        <v>19</v>
      </c>
      <c r="H718" s="3" t="s">
        <v>443</v>
      </c>
      <c r="I718" s="3"/>
      <c r="J718" s="3" t="s">
        <v>91</v>
      </c>
      <c r="K718" s="3" t="s">
        <v>1169</v>
      </c>
      <c r="L718" s="3" t="s">
        <v>335</v>
      </c>
      <c r="M718" s="3">
        <v>4</v>
      </c>
      <c r="N718" s="6"/>
      <c r="O718" s="3">
        <v>2</v>
      </c>
      <c r="P718" s="3">
        <v>2</v>
      </c>
      <c r="Q718" s="3">
        <v>2</v>
      </c>
      <c r="R718" s="3">
        <v>0</v>
      </c>
      <c r="S718" s="3">
        <v>0</v>
      </c>
      <c r="T718" s="3">
        <v>0</v>
      </c>
      <c r="U718" s="3">
        <v>0</v>
      </c>
      <c r="V718" s="3">
        <f t="shared" si="167"/>
        <v>2</v>
      </c>
      <c r="W718" s="3">
        <v>2</v>
      </c>
      <c r="X718" s="3">
        <v>0</v>
      </c>
      <c r="Y718" s="3">
        <v>0</v>
      </c>
      <c r="Z718" s="3">
        <v>0</v>
      </c>
      <c r="AA718" s="3">
        <v>0</v>
      </c>
      <c r="AB718" s="3">
        <f t="shared" si="168"/>
        <v>2</v>
      </c>
      <c r="AC718" s="6">
        <f t="shared" si="161"/>
        <v>-2</v>
      </c>
      <c r="AD718" s="6">
        <f t="shared" si="162"/>
        <v>0</v>
      </c>
      <c r="AE718" s="6">
        <f t="shared" si="163"/>
        <v>0</v>
      </c>
      <c r="AF718" s="6">
        <f t="shared" si="164"/>
        <v>0</v>
      </c>
      <c r="AG718" s="6">
        <f t="shared" si="165"/>
        <v>0</v>
      </c>
      <c r="AH718" s="6">
        <f t="shared" si="169"/>
        <v>-2</v>
      </c>
      <c r="AI718" s="3"/>
      <c r="AJ718" s="3" t="e">
        <f>_xlfn.XLOOKUP(K718,工作表1!A:A,工作表1!C:C)</f>
        <v>#N/A</v>
      </c>
      <c r="AK718" s="3"/>
      <c r="AL718" s="6">
        <f t="shared" si="170"/>
        <v>0</v>
      </c>
      <c r="AM718" s="6">
        <f t="shared" si="171"/>
        <v>0</v>
      </c>
      <c r="AN718" s="6">
        <f t="shared" si="172"/>
        <v>0</v>
      </c>
      <c r="AO718" s="6">
        <f t="shared" si="173"/>
        <v>0</v>
      </c>
      <c r="AP718" s="6">
        <f t="shared" si="174"/>
        <v>0</v>
      </c>
      <c r="AQ718" s="6">
        <f t="shared" si="175"/>
        <v>0</v>
      </c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  <c r="BC718" s="6"/>
      <c r="BD718" s="6"/>
      <c r="BE718" s="6"/>
      <c r="BF718" s="6"/>
      <c r="BG718" s="6"/>
      <c r="BH718" s="6"/>
      <c r="BI718" s="6"/>
      <c r="BJ718" s="6"/>
      <c r="BK718" s="6"/>
      <c r="BL718" s="6"/>
      <c r="BM718" s="6"/>
      <c r="BN718" s="6"/>
      <c r="BO718" s="6"/>
      <c r="BP718" s="3">
        <v>2</v>
      </c>
      <c r="BQ718" s="6">
        <f t="shared" si="166"/>
        <v>0</v>
      </c>
    </row>
    <row r="719" spans="1:69" x14ac:dyDescent="0.3">
      <c r="A719" s="3" t="s">
        <v>931</v>
      </c>
      <c r="B719" s="3">
        <v>481</v>
      </c>
      <c r="C719" s="3" t="s">
        <v>1170</v>
      </c>
      <c r="D719" s="3">
        <v>3.25</v>
      </c>
      <c r="E719" s="3">
        <v>935</v>
      </c>
      <c r="F719" s="3" t="s">
        <v>19</v>
      </c>
      <c r="G719" s="3" t="s">
        <v>19</v>
      </c>
      <c r="H719" s="3" t="s">
        <v>1171</v>
      </c>
      <c r="I719" s="3"/>
      <c r="J719" s="3" t="s">
        <v>486</v>
      </c>
      <c r="K719" s="3" t="s">
        <v>1172</v>
      </c>
      <c r="L719" s="3" t="s">
        <v>335</v>
      </c>
      <c r="M719" s="3">
        <v>0</v>
      </c>
      <c r="N719" s="6"/>
      <c r="O719" s="3">
        <v>24</v>
      </c>
      <c r="P719" s="3">
        <v>24</v>
      </c>
      <c r="Q719" s="3">
        <v>24</v>
      </c>
      <c r="R719" s="3">
        <v>0</v>
      </c>
      <c r="S719" s="3">
        <v>0</v>
      </c>
      <c r="T719" s="3">
        <v>0</v>
      </c>
      <c r="U719" s="3">
        <v>0</v>
      </c>
      <c r="V719" s="3">
        <f t="shared" si="167"/>
        <v>24</v>
      </c>
      <c r="W719" s="3">
        <v>24</v>
      </c>
      <c r="X719" s="3">
        <v>0</v>
      </c>
      <c r="Y719" s="3">
        <v>0</v>
      </c>
      <c r="Z719" s="3">
        <v>0</v>
      </c>
      <c r="AA719" s="3">
        <v>0</v>
      </c>
      <c r="AB719" s="3">
        <f t="shared" si="168"/>
        <v>24</v>
      </c>
      <c r="AC719" s="6">
        <f t="shared" si="161"/>
        <v>-24</v>
      </c>
      <c r="AD719" s="6">
        <f t="shared" si="162"/>
        <v>0</v>
      </c>
      <c r="AE719" s="6">
        <f t="shared" si="163"/>
        <v>0</v>
      </c>
      <c r="AF719" s="6">
        <f t="shared" si="164"/>
        <v>0</v>
      </c>
      <c r="AG719" s="6">
        <f t="shared" si="165"/>
        <v>0</v>
      </c>
      <c r="AH719" s="6">
        <f t="shared" si="169"/>
        <v>-24</v>
      </c>
      <c r="AI719" s="3"/>
      <c r="AJ719" s="3" t="e">
        <f>_xlfn.XLOOKUP(K719,工作表1!A:A,工作表1!C:C)</f>
        <v>#N/A</v>
      </c>
      <c r="AK719" s="3"/>
      <c r="AL719" s="6">
        <f t="shared" si="170"/>
        <v>0</v>
      </c>
      <c r="AM719" s="6">
        <f t="shared" si="171"/>
        <v>0</v>
      </c>
      <c r="AN719" s="6">
        <f t="shared" si="172"/>
        <v>0</v>
      </c>
      <c r="AO719" s="6">
        <f t="shared" si="173"/>
        <v>0</v>
      </c>
      <c r="AP719" s="6">
        <f t="shared" si="174"/>
        <v>0</v>
      </c>
      <c r="AQ719" s="6">
        <f t="shared" si="175"/>
        <v>0</v>
      </c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  <c r="BC719" s="6"/>
      <c r="BD719" s="6"/>
      <c r="BE719" s="6"/>
      <c r="BF719" s="6"/>
      <c r="BG719" s="6"/>
      <c r="BH719" s="6"/>
      <c r="BI719" s="6"/>
      <c r="BJ719" s="6"/>
      <c r="BK719" s="6"/>
      <c r="BL719" s="6"/>
      <c r="BM719" s="6"/>
      <c r="BN719" s="6"/>
      <c r="BO719" s="6"/>
      <c r="BP719" s="3">
        <v>24</v>
      </c>
      <c r="BQ719" s="6">
        <f t="shared" si="166"/>
        <v>0</v>
      </c>
    </row>
    <row r="720" spans="1:69" x14ac:dyDescent="0.3">
      <c r="A720" s="3" t="s">
        <v>931</v>
      </c>
      <c r="B720" s="3">
        <v>481</v>
      </c>
      <c r="C720" s="3" t="s">
        <v>1170</v>
      </c>
      <c r="D720" s="3">
        <v>3.25</v>
      </c>
      <c r="E720" s="3">
        <v>930</v>
      </c>
      <c r="F720" s="3" t="s">
        <v>19</v>
      </c>
      <c r="G720" s="3" t="s">
        <v>19</v>
      </c>
      <c r="H720" s="3" t="s">
        <v>1173</v>
      </c>
      <c r="I720" s="3"/>
      <c r="J720" s="3" t="s">
        <v>486</v>
      </c>
      <c r="K720" s="3" t="s">
        <v>1174</v>
      </c>
      <c r="L720" s="3" t="s">
        <v>335</v>
      </c>
      <c r="M720" s="3">
        <v>0</v>
      </c>
      <c r="N720" s="6"/>
      <c r="O720" s="3">
        <v>24</v>
      </c>
      <c r="P720" s="3">
        <v>24</v>
      </c>
      <c r="Q720" s="3">
        <v>24</v>
      </c>
      <c r="R720" s="3">
        <v>0</v>
      </c>
      <c r="S720" s="3">
        <v>0</v>
      </c>
      <c r="T720" s="3">
        <v>0</v>
      </c>
      <c r="U720" s="3">
        <v>0</v>
      </c>
      <c r="V720" s="3">
        <f t="shared" si="167"/>
        <v>24</v>
      </c>
      <c r="W720" s="3">
        <v>24</v>
      </c>
      <c r="X720" s="3">
        <v>0</v>
      </c>
      <c r="Y720" s="3">
        <v>0</v>
      </c>
      <c r="Z720" s="3">
        <v>0</v>
      </c>
      <c r="AA720" s="3">
        <v>0</v>
      </c>
      <c r="AB720" s="3">
        <f t="shared" si="168"/>
        <v>24</v>
      </c>
      <c r="AC720" s="6">
        <f t="shared" si="161"/>
        <v>-24</v>
      </c>
      <c r="AD720" s="6">
        <f t="shared" si="162"/>
        <v>0</v>
      </c>
      <c r="AE720" s="6">
        <f t="shared" si="163"/>
        <v>0</v>
      </c>
      <c r="AF720" s="6">
        <f t="shared" si="164"/>
        <v>0</v>
      </c>
      <c r="AG720" s="6">
        <f t="shared" si="165"/>
        <v>0</v>
      </c>
      <c r="AH720" s="6">
        <f t="shared" si="169"/>
        <v>-24</v>
      </c>
      <c r="AI720" s="3"/>
      <c r="AJ720" s="3" t="e">
        <f>_xlfn.XLOOKUP(K720,工作表1!A:A,工作表1!C:C)</f>
        <v>#N/A</v>
      </c>
      <c r="AK720" s="3"/>
      <c r="AL720" s="6">
        <f t="shared" si="170"/>
        <v>0</v>
      </c>
      <c r="AM720" s="6">
        <f t="shared" si="171"/>
        <v>0</v>
      </c>
      <c r="AN720" s="6">
        <f t="shared" si="172"/>
        <v>0</v>
      </c>
      <c r="AO720" s="6">
        <f t="shared" si="173"/>
        <v>0</v>
      </c>
      <c r="AP720" s="6">
        <f t="shared" si="174"/>
        <v>0</v>
      </c>
      <c r="AQ720" s="6">
        <f t="shared" si="175"/>
        <v>0</v>
      </c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  <c r="BC720" s="6"/>
      <c r="BD720" s="6"/>
      <c r="BE720" s="6"/>
      <c r="BF720" s="6"/>
      <c r="BG720" s="6"/>
      <c r="BH720" s="6"/>
      <c r="BI720" s="6"/>
      <c r="BJ720" s="6"/>
      <c r="BK720" s="6"/>
      <c r="BL720" s="6"/>
      <c r="BM720" s="6"/>
      <c r="BN720" s="6"/>
      <c r="BO720" s="6"/>
      <c r="BP720" s="3">
        <v>24</v>
      </c>
      <c r="BQ720" s="6">
        <f t="shared" si="166"/>
        <v>0</v>
      </c>
    </row>
    <row r="721" spans="1:69" x14ac:dyDescent="0.3">
      <c r="A721" s="3" t="s">
        <v>931</v>
      </c>
      <c r="B721" s="3">
        <v>481</v>
      </c>
      <c r="C721" s="3" t="s">
        <v>1170</v>
      </c>
      <c r="D721" s="3">
        <v>3.25</v>
      </c>
      <c r="E721" s="3">
        <v>980</v>
      </c>
      <c r="F721" s="3" t="s">
        <v>19</v>
      </c>
      <c r="G721" s="3" t="s">
        <v>19</v>
      </c>
      <c r="H721" s="3" t="s">
        <v>1175</v>
      </c>
      <c r="I721" s="3"/>
      <c r="J721" s="3" t="s">
        <v>486</v>
      </c>
      <c r="K721" s="3" t="s">
        <v>1176</v>
      </c>
      <c r="L721" s="3" t="s">
        <v>335</v>
      </c>
      <c r="M721" s="3">
        <v>0</v>
      </c>
      <c r="N721" s="6"/>
      <c r="O721" s="3">
        <v>12</v>
      </c>
      <c r="P721" s="3">
        <v>12</v>
      </c>
      <c r="Q721" s="3">
        <v>12</v>
      </c>
      <c r="R721" s="3">
        <v>0</v>
      </c>
      <c r="S721" s="3">
        <v>0</v>
      </c>
      <c r="T721" s="3">
        <v>0</v>
      </c>
      <c r="U721" s="3">
        <v>0</v>
      </c>
      <c r="V721" s="3">
        <f t="shared" si="167"/>
        <v>12</v>
      </c>
      <c r="W721" s="3">
        <v>12</v>
      </c>
      <c r="X721" s="3">
        <v>0</v>
      </c>
      <c r="Y721" s="3">
        <v>0</v>
      </c>
      <c r="Z721" s="3">
        <v>0</v>
      </c>
      <c r="AA721" s="3">
        <v>0</v>
      </c>
      <c r="AB721" s="3">
        <f t="shared" si="168"/>
        <v>12</v>
      </c>
      <c r="AC721" s="6">
        <f t="shared" si="161"/>
        <v>-12</v>
      </c>
      <c r="AD721" s="6">
        <f t="shared" si="162"/>
        <v>0</v>
      </c>
      <c r="AE721" s="6">
        <f t="shared" si="163"/>
        <v>0</v>
      </c>
      <c r="AF721" s="6">
        <f t="shared" si="164"/>
        <v>0</v>
      </c>
      <c r="AG721" s="6">
        <f t="shared" si="165"/>
        <v>0</v>
      </c>
      <c r="AH721" s="6">
        <f t="shared" si="169"/>
        <v>-12</v>
      </c>
      <c r="AI721" s="3"/>
      <c r="AJ721" s="3" t="e">
        <f>_xlfn.XLOOKUP(K721,工作表1!A:A,工作表1!C:C)</f>
        <v>#N/A</v>
      </c>
      <c r="AK721" s="3"/>
      <c r="AL721" s="6">
        <f t="shared" si="170"/>
        <v>0</v>
      </c>
      <c r="AM721" s="6">
        <f t="shared" si="171"/>
        <v>0</v>
      </c>
      <c r="AN721" s="6">
        <f t="shared" si="172"/>
        <v>0</v>
      </c>
      <c r="AO721" s="6">
        <f t="shared" si="173"/>
        <v>0</v>
      </c>
      <c r="AP721" s="6">
        <f t="shared" si="174"/>
        <v>0</v>
      </c>
      <c r="AQ721" s="6">
        <f t="shared" si="175"/>
        <v>0</v>
      </c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  <c r="BC721" s="6"/>
      <c r="BD721" s="6"/>
      <c r="BE721" s="6"/>
      <c r="BF721" s="6"/>
      <c r="BG721" s="6"/>
      <c r="BH721" s="6"/>
      <c r="BI721" s="6"/>
      <c r="BJ721" s="6"/>
      <c r="BK721" s="6"/>
      <c r="BL721" s="6"/>
      <c r="BM721" s="6"/>
      <c r="BN721" s="6"/>
      <c r="BO721" s="6"/>
      <c r="BP721" s="3">
        <v>12</v>
      </c>
      <c r="BQ721" s="6">
        <f t="shared" si="166"/>
        <v>0</v>
      </c>
    </row>
    <row r="722" spans="1:69" x14ac:dyDescent="0.3">
      <c r="A722" s="3" t="s">
        <v>931</v>
      </c>
      <c r="B722" s="3">
        <v>481</v>
      </c>
      <c r="C722" s="3" t="s">
        <v>1170</v>
      </c>
      <c r="D722" s="3">
        <v>3</v>
      </c>
      <c r="E722" s="3">
        <v>1220</v>
      </c>
      <c r="F722" s="3" t="s">
        <v>19</v>
      </c>
      <c r="G722" s="3" t="s">
        <v>19</v>
      </c>
      <c r="H722" s="3" t="s">
        <v>1177</v>
      </c>
      <c r="I722" s="3"/>
      <c r="J722" s="3" t="s">
        <v>486</v>
      </c>
      <c r="K722" s="3" t="s">
        <v>1178</v>
      </c>
      <c r="L722" s="3" t="s">
        <v>335</v>
      </c>
      <c r="M722" s="3">
        <v>0</v>
      </c>
      <c r="N722" s="6"/>
      <c r="O722" s="3">
        <v>48</v>
      </c>
      <c r="P722" s="3">
        <v>48</v>
      </c>
      <c r="Q722" s="3">
        <v>48</v>
      </c>
      <c r="R722" s="3">
        <v>0</v>
      </c>
      <c r="S722" s="3">
        <v>0</v>
      </c>
      <c r="T722" s="3">
        <v>0</v>
      </c>
      <c r="U722" s="3">
        <v>0</v>
      </c>
      <c r="V722" s="3">
        <f t="shared" si="167"/>
        <v>48</v>
      </c>
      <c r="W722" s="3">
        <v>48</v>
      </c>
      <c r="X722" s="3">
        <v>0</v>
      </c>
      <c r="Y722" s="3">
        <v>0</v>
      </c>
      <c r="Z722" s="3">
        <v>0</v>
      </c>
      <c r="AA722" s="3">
        <v>0</v>
      </c>
      <c r="AB722" s="3">
        <f t="shared" si="168"/>
        <v>48</v>
      </c>
      <c r="AC722" s="6">
        <f t="shared" si="161"/>
        <v>-48</v>
      </c>
      <c r="AD722" s="6">
        <f t="shared" si="162"/>
        <v>0</v>
      </c>
      <c r="AE722" s="6">
        <f t="shared" si="163"/>
        <v>0</v>
      </c>
      <c r="AF722" s="6">
        <f t="shared" si="164"/>
        <v>0</v>
      </c>
      <c r="AG722" s="6">
        <f t="shared" si="165"/>
        <v>0</v>
      </c>
      <c r="AH722" s="6">
        <f t="shared" si="169"/>
        <v>-48</v>
      </c>
      <c r="AI722" s="3"/>
      <c r="AJ722" s="3" t="e">
        <f>_xlfn.XLOOKUP(K722,工作表1!A:A,工作表1!C:C)</f>
        <v>#N/A</v>
      </c>
      <c r="AK722" s="3"/>
      <c r="AL722" s="6">
        <f t="shared" si="170"/>
        <v>0</v>
      </c>
      <c r="AM722" s="6">
        <f t="shared" si="171"/>
        <v>0</v>
      </c>
      <c r="AN722" s="6">
        <f t="shared" si="172"/>
        <v>0</v>
      </c>
      <c r="AO722" s="6">
        <f t="shared" si="173"/>
        <v>0</v>
      </c>
      <c r="AP722" s="6">
        <f t="shared" si="174"/>
        <v>0</v>
      </c>
      <c r="AQ722" s="6">
        <f t="shared" si="175"/>
        <v>0</v>
      </c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  <c r="BC722" s="6"/>
      <c r="BD722" s="6"/>
      <c r="BE722" s="6"/>
      <c r="BF722" s="6"/>
      <c r="BG722" s="6"/>
      <c r="BH722" s="6"/>
      <c r="BI722" s="6"/>
      <c r="BJ722" s="6"/>
      <c r="BK722" s="6"/>
      <c r="BL722" s="6"/>
      <c r="BM722" s="6"/>
      <c r="BN722" s="6"/>
      <c r="BO722" s="6"/>
      <c r="BP722" s="3">
        <v>48</v>
      </c>
      <c r="BQ722" s="6">
        <f t="shared" si="166"/>
        <v>0</v>
      </c>
    </row>
    <row r="723" spans="1:69" x14ac:dyDescent="0.3">
      <c r="A723" s="3" t="s">
        <v>931</v>
      </c>
      <c r="B723" s="3">
        <v>481</v>
      </c>
      <c r="C723" s="3" t="s">
        <v>1170</v>
      </c>
      <c r="D723" s="3">
        <v>2.5</v>
      </c>
      <c r="E723" s="3">
        <v>595</v>
      </c>
      <c r="F723" s="3" t="s">
        <v>19</v>
      </c>
      <c r="G723" s="3" t="s">
        <v>19</v>
      </c>
      <c r="H723" s="3" t="s">
        <v>1179</v>
      </c>
      <c r="I723" s="3"/>
      <c r="J723" s="3" t="s">
        <v>486</v>
      </c>
      <c r="K723" s="3" t="s">
        <v>1180</v>
      </c>
      <c r="L723" s="3" t="s">
        <v>335</v>
      </c>
      <c r="M723" s="3">
        <v>26</v>
      </c>
      <c r="N723" s="6"/>
      <c r="O723" s="3">
        <v>24</v>
      </c>
      <c r="P723" s="3">
        <v>24</v>
      </c>
      <c r="Q723" s="3">
        <v>24</v>
      </c>
      <c r="R723" s="3">
        <v>0</v>
      </c>
      <c r="S723" s="3">
        <v>0</v>
      </c>
      <c r="T723" s="3">
        <v>0</v>
      </c>
      <c r="U723" s="3">
        <v>0</v>
      </c>
      <c r="V723" s="3">
        <f t="shared" si="167"/>
        <v>24</v>
      </c>
      <c r="W723" s="3">
        <v>24</v>
      </c>
      <c r="X723" s="3">
        <v>0</v>
      </c>
      <c r="Y723" s="3">
        <v>0</v>
      </c>
      <c r="Z723" s="3">
        <v>0</v>
      </c>
      <c r="AA723" s="3">
        <v>0</v>
      </c>
      <c r="AB723" s="3">
        <f t="shared" si="168"/>
        <v>24</v>
      </c>
      <c r="AC723" s="6">
        <f t="shared" si="161"/>
        <v>-24</v>
      </c>
      <c r="AD723" s="6">
        <f t="shared" si="162"/>
        <v>0</v>
      </c>
      <c r="AE723" s="6">
        <f t="shared" si="163"/>
        <v>0</v>
      </c>
      <c r="AF723" s="6">
        <f t="shared" si="164"/>
        <v>0</v>
      </c>
      <c r="AG723" s="6">
        <f t="shared" si="165"/>
        <v>0</v>
      </c>
      <c r="AH723" s="6">
        <f t="shared" si="169"/>
        <v>-24</v>
      </c>
      <c r="AI723" s="3"/>
      <c r="AJ723" s="3" t="e">
        <f>_xlfn.XLOOKUP(K723,工作表1!A:A,工作表1!C:C)</f>
        <v>#N/A</v>
      </c>
      <c r="AK723" s="3"/>
      <c r="AL723" s="6">
        <f t="shared" si="170"/>
        <v>0</v>
      </c>
      <c r="AM723" s="6">
        <f t="shared" si="171"/>
        <v>0</v>
      </c>
      <c r="AN723" s="6">
        <f t="shared" si="172"/>
        <v>0</v>
      </c>
      <c r="AO723" s="6">
        <f t="shared" si="173"/>
        <v>0</v>
      </c>
      <c r="AP723" s="6">
        <f t="shared" si="174"/>
        <v>0</v>
      </c>
      <c r="AQ723" s="6">
        <f t="shared" si="175"/>
        <v>0</v>
      </c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  <c r="BC723" s="6"/>
      <c r="BD723" s="6"/>
      <c r="BE723" s="6"/>
      <c r="BF723" s="6"/>
      <c r="BG723" s="6"/>
      <c r="BH723" s="6"/>
      <c r="BI723" s="6"/>
      <c r="BJ723" s="6"/>
      <c r="BK723" s="6"/>
      <c r="BL723" s="6"/>
      <c r="BM723" s="6"/>
      <c r="BN723" s="6"/>
      <c r="BO723" s="6"/>
      <c r="BP723" s="3">
        <v>24</v>
      </c>
      <c r="BQ723" s="6">
        <f t="shared" si="166"/>
        <v>0</v>
      </c>
    </row>
    <row r="724" spans="1:69" x14ac:dyDescent="0.3">
      <c r="A724" s="3" t="s">
        <v>931</v>
      </c>
      <c r="B724" s="3">
        <v>481</v>
      </c>
      <c r="C724" s="3" t="s">
        <v>1170</v>
      </c>
      <c r="D724" s="3">
        <v>2.25</v>
      </c>
      <c r="E724" s="3">
        <v>635</v>
      </c>
      <c r="F724" s="3" t="s">
        <v>19</v>
      </c>
      <c r="G724" s="3" t="s">
        <v>19</v>
      </c>
      <c r="H724" s="3" t="s">
        <v>1181</v>
      </c>
      <c r="I724" s="3"/>
      <c r="J724" s="3" t="s">
        <v>486</v>
      </c>
      <c r="K724" s="3" t="s">
        <v>1182</v>
      </c>
      <c r="L724" s="3" t="s">
        <v>335</v>
      </c>
      <c r="M724" s="3">
        <v>0</v>
      </c>
      <c r="N724" s="6"/>
      <c r="O724" s="3">
        <v>16</v>
      </c>
      <c r="P724" s="3">
        <v>16</v>
      </c>
      <c r="Q724" s="3">
        <v>16</v>
      </c>
      <c r="R724" s="3">
        <v>0</v>
      </c>
      <c r="S724" s="3">
        <v>0</v>
      </c>
      <c r="T724" s="3">
        <v>0</v>
      </c>
      <c r="U724" s="3">
        <v>0</v>
      </c>
      <c r="V724" s="3">
        <f t="shared" si="167"/>
        <v>16</v>
      </c>
      <c r="W724" s="3">
        <v>16</v>
      </c>
      <c r="X724" s="3">
        <v>0</v>
      </c>
      <c r="Y724" s="3">
        <v>0</v>
      </c>
      <c r="Z724" s="3">
        <v>0</v>
      </c>
      <c r="AA724" s="3">
        <v>0</v>
      </c>
      <c r="AB724" s="3">
        <f t="shared" si="168"/>
        <v>16</v>
      </c>
      <c r="AC724" s="6">
        <f t="shared" si="161"/>
        <v>-16</v>
      </c>
      <c r="AD724" s="6">
        <f t="shared" si="162"/>
        <v>0</v>
      </c>
      <c r="AE724" s="6">
        <f t="shared" si="163"/>
        <v>0</v>
      </c>
      <c r="AF724" s="6">
        <f t="shared" si="164"/>
        <v>0</v>
      </c>
      <c r="AG724" s="6">
        <f t="shared" si="165"/>
        <v>0</v>
      </c>
      <c r="AH724" s="6">
        <f t="shared" si="169"/>
        <v>-16</v>
      </c>
      <c r="AI724" s="3"/>
      <c r="AJ724" s="3" t="e">
        <f>_xlfn.XLOOKUP(K724,工作表1!A:A,工作表1!C:C)</f>
        <v>#N/A</v>
      </c>
      <c r="AK724" s="3"/>
      <c r="AL724" s="6">
        <f t="shared" si="170"/>
        <v>0</v>
      </c>
      <c r="AM724" s="6">
        <f t="shared" si="171"/>
        <v>0</v>
      </c>
      <c r="AN724" s="6">
        <f t="shared" si="172"/>
        <v>0</v>
      </c>
      <c r="AO724" s="6">
        <f t="shared" si="173"/>
        <v>0</v>
      </c>
      <c r="AP724" s="6">
        <f t="shared" si="174"/>
        <v>0</v>
      </c>
      <c r="AQ724" s="6">
        <f t="shared" si="175"/>
        <v>0</v>
      </c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  <c r="BC724" s="6"/>
      <c r="BD724" s="6"/>
      <c r="BE724" s="6"/>
      <c r="BF724" s="6"/>
      <c r="BG724" s="6"/>
      <c r="BH724" s="6"/>
      <c r="BI724" s="6"/>
      <c r="BJ724" s="6"/>
      <c r="BK724" s="6"/>
      <c r="BL724" s="6"/>
      <c r="BM724" s="6"/>
      <c r="BN724" s="6"/>
      <c r="BO724" s="6"/>
      <c r="BP724" s="3">
        <v>16</v>
      </c>
      <c r="BQ724" s="6">
        <f t="shared" si="166"/>
        <v>0</v>
      </c>
    </row>
    <row r="725" spans="1:69" x14ac:dyDescent="0.3">
      <c r="A725" s="3" t="s">
        <v>931</v>
      </c>
      <c r="B725" s="3">
        <v>481</v>
      </c>
      <c r="C725" s="3" t="s">
        <v>1170</v>
      </c>
      <c r="D725" s="3">
        <v>2</v>
      </c>
      <c r="E725" s="3">
        <v>430</v>
      </c>
      <c r="F725" s="3" t="s">
        <v>19</v>
      </c>
      <c r="G725" s="3" t="s">
        <v>19</v>
      </c>
      <c r="H725" s="3" t="s">
        <v>1183</v>
      </c>
      <c r="I725" s="3"/>
      <c r="J725" s="3" t="s">
        <v>486</v>
      </c>
      <c r="K725" s="3" t="s">
        <v>1184</v>
      </c>
      <c r="L725" s="3" t="s">
        <v>335</v>
      </c>
      <c r="M725" s="3">
        <v>70</v>
      </c>
      <c r="N725" s="6"/>
      <c r="O725" s="3">
        <v>48</v>
      </c>
      <c r="P725" s="3">
        <v>48</v>
      </c>
      <c r="Q725" s="3">
        <v>48</v>
      </c>
      <c r="R725" s="3">
        <v>0</v>
      </c>
      <c r="S725" s="3">
        <v>0</v>
      </c>
      <c r="T725" s="3">
        <v>0</v>
      </c>
      <c r="U725" s="3">
        <v>0</v>
      </c>
      <c r="V725" s="3">
        <f t="shared" si="167"/>
        <v>48</v>
      </c>
      <c r="W725" s="3">
        <v>48</v>
      </c>
      <c r="X725" s="3">
        <v>0</v>
      </c>
      <c r="Y725" s="3">
        <v>0</v>
      </c>
      <c r="Z725" s="3">
        <v>0</v>
      </c>
      <c r="AA725" s="3">
        <v>0</v>
      </c>
      <c r="AB725" s="3">
        <f t="shared" si="168"/>
        <v>48</v>
      </c>
      <c r="AC725" s="6">
        <f t="shared" si="161"/>
        <v>-48</v>
      </c>
      <c r="AD725" s="6">
        <f t="shared" si="162"/>
        <v>0</v>
      </c>
      <c r="AE725" s="6">
        <f t="shared" si="163"/>
        <v>0</v>
      </c>
      <c r="AF725" s="6">
        <f t="shared" si="164"/>
        <v>0</v>
      </c>
      <c r="AG725" s="6">
        <f t="shared" si="165"/>
        <v>0</v>
      </c>
      <c r="AH725" s="6">
        <f t="shared" si="169"/>
        <v>-48</v>
      </c>
      <c r="AI725" s="3"/>
      <c r="AJ725" s="3" t="e">
        <f>_xlfn.XLOOKUP(K725,工作表1!A:A,工作表1!C:C)</f>
        <v>#N/A</v>
      </c>
      <c r="AK725" s="3"/>
      <c r="AL725" s="6">
        <f t="shared" si="170"/>
        <v>0</v>
      </c>
      <c r="AM725" s="6">
        <f t="shared" si="171"/>
        <v>0</v>
      </c>
      <c r="AN725" s="6">
        <f t="shared" si="172"/>
        <v>0</v>
      </c>
      <c r="AO725" s="6">
        <f t="shared" si="173"/>
        <v>0</v>
      </c>
      <c r="AP725" s="6">
        <f t="shared" si="174"/>
        <v>0</v>
      </c>
      <c r="AQ725" s="6">
        <f t="shared" si="175"/>
        <v>0</v>
      </c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  <c r="BC725" s="6"/>
      <c r="BD725" s="6"/>
      <c r="BE725" s="6"/>
      <c r="BF725" s="6"/>
      <c r="BG725" s="6"/>
      <c r="BH725" s="6"/>
      <c r="BI725" s="6"/>
      <c r="BJ725" s="6"/>
      <c r="BK725" s="6"/>
      <c r="BL725" s="6"/>
      <c r="BM725" s="6"/>
      <c r="BN725" s="6"/>
      <c r="BO725" s="6"/>
      <c r="BP725" s="3">
        <v>48</v>
      </c>
      <c r="BQ725" s="6">
        <f t="shared" si="166"/>
        <v>0</v>
      </c>
    </row>
    <row r="726" spans="1:69" x14ac:dyDescent="0.3">
      <c r="A726" s="3" t="s">
        <v>931</v>
      </c>
      <c r="B726" s="3">
        <v>481</v>
      </c>
      <c r="C726" s="3" t="s">
        <v>1170</v>
      </c>
      <c r="D726" s="3">
        <v>2</v>
      </c>
      <c r="E726" s="3">
        <v>455</v>
      </c>
      <c r="F726" s="3" t="s">
        <v>19</v>
      </c>
      <c r="G726" s="3" t="s">
        <v>19</v>
      </c>
      <c r="H726" s="3" t="s">
        <v>1185</v>
      </c>
      <c r="I726" s="3"/>
      <c r="J726" s="3" t="s">
        <v>486</v>
      </c>
      <c r="K726" s="3" t="s">
        <v>1186</v>
      </c>
      <c r="L726" s="3" t="s">
        <v>335</v>
      </c>
      <c r="M726" s="3">
        <v>18</v>
      </c>
      <c r="N726" s="6"/>
      <c r="O726" s="3">
        <v>16</v>
      </c>
      <c r="P726" s="3">
        <v>16</v>
      </c>
      <c r="Q726" s="3">
        <v>16</v>
      </c>
      <c r="R726" s="3">
        <v>0</v>
      </c>
      <c r="S726" s="3">
        <v>0</v>
      </c>
      <c r="T726" s="3">
        <v>0</v>
      </c>
      <c r="U726" s="3">
        <v>0</v>
      </c>
      <c r="V726" s="3">
        <f t="shared" si="167"/>
        <v>16</v>
      </c>
      <c r="W726" s="3">
        <v>16</v>
      </c>
      <c r="X726" s="3">
        <v>0</v>
      </c>
      <c r="Y726" s="3">
        <v>0</v>
      </c>
      <c r="Z726" s="3">
        <v>0</v>
      </c>
      <c r="AA726" s="3">
        <v>0</v>
      </c>
      <c r="AB726" s="3">
        <f t="shared" si="168"/>
        <v>16</v>
      </c>
      <c r="AC726" s="6">
        <f t="shared" si="161"/>
        <v>-16</v>
      </c>
      <c r="AD726" s="6">
        <f t="shared" si="162"/>
        <v>0</v>
      </c>
      <c r="AE726" s="6">
        <f t="shared" si="163"/>
        <v>0</v>
      </c>
      <c r="AF726" s="6">
        <f t="shared" si="164"/>
        <v>0</v>
      </c>
      <c r="AG726" s="6">
        <f t="shared" si="165"/>
        <v>0</v>
      </c>
      <c r="AH726" s="6">
        <f t="shared" si="169"/>
        <v>-16</v>
      </c>
      <c r="AI726" s="3"/>
      <c r="AJ726" s="3" t="e">
        <f>_xlfn.XLOOKUP(K726,工作表1!A:A,工作表1!C:C)</f>
        <v>#N/A</v>
      </c>
      <c r="AK726" s="3"/>
      <c r="AL726" s="6">
        <f t="shared" si="170"/>
        <v>0</v>
      </c>
      <c r="AM726" s="6">
        <f t="shared" si="171"/>
        <v>0</v>
      </c>
      <c r="AN726" s="6">
        <f t="shared" si="172"/>
        <v>0</v>
      </c>
      <c r="AO726" s="6">
        <f t="shared" si="173"/>
        <v>0</v>
      </c>
      <c r="AP726" s="6">
        <f t="shared" si="174"/>
        <v>0</v>
      </c>
      <c r="AQ726" s="6">
        <f t="shared" si="175"/>
        <v>0</v>
      </c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  <c r="BC726" s="6"/>
      <c r="BD726" s="6"/>
      <c r="BE726" s="6"/>
      <c r="BF726" s="6"/>
      <c r="BG726" s="6"/>
      <c r="BH726" s="6"/>
      <c r="BI726" s="6"/>
      <c r="BJ726" s="6"/>
      <c r="BK726" s="6"/>
      <c r="BL726" s="6"/>
      <c r="BM726" s="6"/>
      <c r="BN726" s="6"/>
      <c r="BO726" s="6"/>
      <c r="BP726" s="3">
        <v>16</v>
      </c>
      <c r="BQ726" s="6">
        <f t="shared" si="166"/>
        <v>0</v>
      </c>
    </row>
    <row r="727" spans="1:69" x14ac:dyDescent="0.3">
      <c r="A727" s="3" t="s">
        <v>931</v>
      </c>
      <c r="B727" s="3">
        <v>481</v>
      </c>
      <c r="C727" s="3" t="s">
        <v>1170</v>
      </c>
      <c r="D727" s="3">
        <v>2</v>
      </c>
      <c r="E727" s="3">
        <v>470</v>
      </c>
      <c r="F727" s="3" t="s">
        <v>19</v>
      </c>
      <c r="G727" s="3" t="s">
        <v>19</v>
      </c>
      <c r="H727" s="3" t="s">
        <v>1187</v>
      </c>
      <c r="I727" s="3"/>
      <c r="J727" s="3" t="s">
        <v>486</v>
      </c>
      <c r="K727" s="3" t="s">
        <v>1188</v>
      </c>
      <c r="L727" s="3" t="s">
        <v>335</v>
      </c>
      <c r="M727" s="3">
        <v>106</v>
      </c>
      <c r="N727" s="6"/>
      <c r="O727" s="3">
        <v>108</v>
      </c>
      <c r="P727" s="3">
        <v>108</v>
      </c>
      <c r="Q727" s="3">
        <v>108</v>
      </c>
      <c r="R727" s="3">
        <v>0</v>
      </c>
      <c r="S727" s="3">
        <v>0</v>
      </c>
      <c r="T727" s="3">
        <v>0</v>
      </c>
      <c r="U727" s="3">
        <v>0</v>
      </c>
      <c r="V727" s="3">
        <f t="shared" si="167"/>
        <v>108</v>
      </c>
      <c r="W727" s="3">
        <v>108</v>
      </c>
      <c r="X727" s="3">
        <v>0</v>
      </c>
      <c r="Y727" s="3">
        <v>0</v>
      </c>
      <c r="Z727" s="3">
        <v>0</v>
      </c>
      <c r="AA727" s="3">
        <v>0</v>
      </c>
      <c r="AB727" s="3">
        <f t="shared" si="168"/>
        <v>108</v>
      </c>
      <c r="AC727" s="6">
        <f t="shared" ref="AC727:AC790" si="176">AL727-W727</f>
        <v>-108</v>
      </c>
      <c r="AD727" s="6">
        <f t="shared" ref="AD727:AD790" si="177">AM727-X727</f>
        <v>0</v>
      </c>
      <c r="AE727" s="6">
        <f t="shared" ref="AE727:AE790" si="178">AN727-Y727</f>
        <v>0</v>
      </c>
      <c r="AF727" s="6">
        <f t="shared" ref="AF727:AF790" si="179">AO727-Z727</f>
        <v>0</v>
      </c>
      <c r="AG727" s="6">
        <f t="shared" ref="AG727:AG790" si="180">AP727-AA727</f>
        <v>0</v>
      </c>
      <c r="AH727" s="6">
        <f t="shared" si="169"/>
        <v>-108</v>
      </c>
      <c r="AI727" s="3"/>
      <c r="AJ727" s="3" t="e">
        <f>_xlfn.XLOOKUP(K727,工作表1!A:A,工作表1!C:C)</f>
        <v>#N/A</v>
      </c>
      <c r="AK727" s="3"/>
      <c r="AL727" s="6">
        <f t="shared" si="170"/>
        <v>0</v>
      </c>
      <c r="AM727" s="6">
        <f t="shared" si="171"/>
        <v>0</v>
      </c>
      <c r="AN727" s="6">
        <f t="shared" si="172"/>
        <v>0</v>
      </c>
      <c r="AO727" s="6">
        <f t="shared" si="173"/>
        <v>0</v>
      </c>
      <c r="AP727" s="6">
        <f t="shared" si="174"/>
        <v>0</v>
      </c>
      <c r="AQ727" s="6">
        <f t="shared" si="175"/>
        <v>0</v>
      </c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  <c r="BC727" s="6"/>
      <c r="BD727" s="6"/>
      <c r="BE727" s="6"/>
      <c r="BF727" s="6"/>
      <c r="BG727" s="6"/>
      <c r="BH727" s="6"/>
      <c r="BI727" s="6"/>
      <c r="BJ727" s="6"/>
      <c r="BK727" s="6"/>
      <c r="BL727" s="6"/>
      <c r="BM727" s="6"/>
      <c r="BN727" s="6"/>
      <c r="BO727" s="6"/>
      <c r="BP727" s="3">
        <v>108</v>
      </c>
      <c r="BQ727" s="6">
        <f t="shared" si="166"/>
        <v>0</v>
      </c>
    </row>
    <row r="728" spans="1:69" x14ac:dyDescent="0.3">
      <c r="A728" s="3" t="s">
        <v>931</v>
      </c>
      <c r="B728" s="3">
        <v>481</v>
      </c>
      <c r="C728" s="3" t="s">
        <v>1170</v>
      </c>
      <c r="D728" s="3">
        <v>2</v>
      </c>
      <c r="E728" s="3">
        <v>480</v>
      </c>
      <c r="F728" s="3" t="s">
        <v>19</v>
      </c>
      <c r="G728" s="3" t="s">
        <v>19</v>
      </c>
      <c r="H728" s="3" t="s">
        <v>491</v>
      </c>
      <c r="I728" s="3"/>
      <c r="J728" s="3" t="s">
        <v>486</v>
      </c>
      <c r="K728" s="3" t="s">
        <v>1189</v>
      </c>
      <c r="L728" s="3" t="s">
        <v>335</v>
      </c>
      <c r="M728" s="3">
        <v>13</v>
      </c>
      <c r="N728" s="6"/>
      <c r="O728" s="3">
        <v>12</v>
      </c>
      <c r="P728" s="3">
        <v>12</v>
      </c>
      <c r="Q728" s="3">
        <v>12</v>
      </c>
      <c r="R728" s="3">
        <v>0</v>
      </c>
      <c r="S728" s="3">
        <v>0</v>
      </c>
      <c r="T728" s="3">
        <v>0</v>
      </c>
      <c r="U728" s="3">
        <v>0</v>
      </c>
      <c r="V728" s="3">
        <f t="shared" si="167"/>
        <v>12</v>
      </c>
      <c r="W728" s="3">
        <v>12</v>
      </c>
      <c r="X728" s="3">
        <v>0</v>
      </c>
      <c r="Y728" s="3">
        <v>0</v>
      </c>
      <c r="Z728" s="3">
        <v>0</v>
      </c>
      <c r="AA728" s="3">
        <v>0</v>
      </c>
      <c r="AB728" s="3">
        <f t="shared" si="168"/>
        <v>12</v>
      </c>
      <c r="AC728" s="6">
        <f t="shared" si="176"/>
        <v>-12</v>
      </c>
      <c r="AD728" s="6">
        <f t="shared" si="177"/>
        <v>0</v>
      </c>
      <c r="AE728" s="6">
        <f t="shared" si="178"/>
        <v>0</v>
      </c>
      <c r="AF728" s="6">
        <f t="shared" si="179"/>
        <v>0</v>
      </c>
      <c r="AG728" s="6">
        <f t="shared" si="180"/>
        <v>0</v>
      </c>
      <c r="AH728" s="6">
        <f t="shared" si="169"/>
        <v>-12</v>
      </c>
      <c r="AI728" s="3"/>
      <c r="AJ728" s="3" t="e">
        <f>_xlfn.XLOOKUP(K728,工作表1!A:A,工作表1!C:C)</f>
        <v>#N/A</v>
      </c>
      <c r="AK728" s="3"/>
      <c r="AL728" s="6">
        <f t="shared" si="170"/>
        <v>0</v>
      </c>
      <c r="AM728" s="6">
        <f t="shared" si="171"/>
        <v>0</v>
      </c>
      <c r="AN728" s="6">
        <f t="shared" si="172"/>
        <v>0</v>
      </c>
      <c r="AO728" s="6">
        <f t="shared" si="173"/>
        <v>0</v>
      </c>
      <c r="AP728" s="6">
        <f t="shared" si="174"/>
        <v>0</v>
      </c>
      <c r="AQ728" s="6">
        <f t="shared" si="175"/>
        <v>0</v>
      </c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  <c r="BC728" s="6"/>
      <c r="BD728" s="6"/>
      <c r="BE728" s="6"/>
      <c r="BF728" s="6"/>
      <c r="BG728" s="6"/>
      <c r="BH728" s="6"/>
      <c r="BI728" s="6"/>
      <c r="BJ728" s="6"/>
      <c r="BK728" s="6"/>
      <c r="BL728" s="6"/>
      <c r="BM728" s="6"/>
      <c r="BN728" s="6"/>
      <c r="BO728" s="6"/>
      <c r="BP728" s="3">
        <v>12</v>
      </c>
      <c r="BQ728" s="6">
        <f t="shared" si="166"/>
        <v>0</v>
      </c>
    </row>
    <row r="729" spans="1:69" x14ac:dyDescent="0.3">
      <c r="A729" s="3" t="s">
        <v>931</v>
      </c>
      <c r="B729" s="3">
        <v>481</v>
      </c>
      <c r="C729" s="3" t="s">
        <v>1170</v>
      </c>
      <c r="D729" s="3">
        <v>2</v>
      </c>
      <c r="E729" s="3">
        <v>440</v>
      </c>
      <c r="F729" s="3" t="s">
        <v>19</v>
      </c>
      <c r="G729" s="3" t="s">
        <v>19</v>
      </c>
      <c r="H729" s="3" t="s">
        <v>1190</v>
      </c>
      <c r="I729" s="3"/>
      <c r="J729" s="3" t="s">
        <v>486</v>
      </c>
      <c r="K729" s="3" t="s">
        <v>1191</v>
      </c>
      <c r="L729" s="3" t="s">
        <v>335</v>
      </c>
      <c r="M729" s="3">
        <v>9</v>
      </c>
      <c r="N729" s="6"/>
      <c r="O729" s="3">
        <v>8</v>
      </c>
      <c r="P729" s="3">
        <v>8</v>
      </c>
      <c r="Q729" s="3">
        <v>8</v>
      </c>
      <c r="R729" s="3">
        <v>0</v>
      </c>
      <c r="S729" s="3">
        <v>0</v>
      </c>
      <c r="T729" s="3">
        <v>0</v>
      </c>
      <c r="U729" s="3">
        <v>0</v>
      </c>
      <c r="V729" s="3">
        <f t="shared" si="167"/>
        <v>8</v>
      </c>
      <c r="W729" s="3">
        <v>8</v>
      </c>
      <c r="X729" s="3">
        <v>0</v>
      </c>
      <c r="Y729" s="3">
        <v>0</v>
      </c>
      <c r="Z729" s="3">
        <v>0</v>
      </c>
      <c r="AA729" s="3">
        <v>0</v>
      </c>
      <c r="AB729" s="3">
        <f t="shared" si="168"/>
        <v>8</v>
      </c>
      <c r="AC729" s="6">
        <f t="shared" si="176"/>
        <v>-8</v>
      </c>
      <c r="AD729" s="6">
        <f t="shared" si="177"/>
        <v>0</v>
      </c>
      <c r="AE729" s="6">
        <f t="shared" si="178"/>
        <v>0</v>
      </c>
      <c r="AF729" s="6">
        <f t="shared" si="179"/>
        <v>0</v>
      </c>
      <c r="AG729" s="6">
        <f t="shared" si="180"/>
        <v>0</v>
      </c>
      <c r="AH729" s="6">
        <f t="shared" si="169"/>
        <v>-8</v>
      </c>
      <c r="AI729" s="3"/>
      <c r="AJ729" s="3" t="e">
        <f>_xlfn.XLOOKUP(K729,工作表1!A:A,工作表1!C:C)</f>
        <v>#N/A</v>
      </c>
      <c r="AK729" s="3"/>
      <c r="AL729" s="6">
        <f t="shared" si="170"/>
        <v>0</v>
      </c>
      <c r="AM729" s="6">
        <f t="shared" si="171"/>
        <v>0</v>
      </c>
      <c r="AN729" s="6">
        <f t="shared" si="172"/>
        <v>0</v>
      </c>
      <c r="AO729" s="6">
        <f t="shared" si="173"/>
        <v>0</v>
      </c>
      <c r="AP729" s="6">
        <f t="shared" si="174"/>
        <v>0</v>
      </c>
      <c r="AQ729" s="6">
        <f t="shared" si="175"/>
        <v>0</v>
      </c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  <c r="BC729" s="6"/>
      <c r="BD729" s="6"/>
      <c r="BE729" s="6"/>
      <c r="BF729" s="6"/>
      <c r="BG729" s="6"/>
      <c r="BH729" s="6"/>
      <c r="BI729" s="6"/>
      <c r="BJ729" s="6"/>
      <c r="BK729" s="6"/>
      <c r="BL729" s="6"/>
      <c r="BM729" s="6"/>
      <c r="BN729" s="6"/>
      <c r="BO729" s="6"/>
      <c r="BP729" s="3">
        <v>8</v>
      </c>
      <c r="BQ729" s="6">
        <f t="shared" si="166"/>
        <v>0</v>
      </c>
    </row>
    <row r="730" spans="1:69" x14ac:dyDescent="0.3">
      <c r="A730" s="3" t="s">
        <v>931</v>
      </c>
      <c r="B730" s="3">
        <v>481</v>
      </c>
      <c r="C730" s="3" t="s">
        <v>1170</v>
      </c>
      <c r="D730" s="3">
        <v>2</v>
      </c>
      <c r="E730" s="3">
        <v>575</v>
      </c>
      <c r="F730" s="3" t="s">
        <v>19</v>
      </c>
      <c r="G730" s="3" t="s">
        <v>19</v>
      </c>
      <c r="H730" s="3" t="s">
        <v>1192</v>
      </c>
      <c r="I730" s="3"/>
      <c r="J730" s="3" t="s">
        <v>486</v>
      </c>
      <c r="K730" s="3" t="s">
        <v>1193</v>
      </c>
      <c r="L730" s="3" t="s">
        <v>335</v>
      </c>
      <c r="M730" s="3">
        <v>26</v>
      </c>
      <c r="N730" s="6"/>
      <c r="O730" s="3">
        <v>24</v>
      </c>
      <c r="P730" s="3">
        <v>24</v>
      </c>
      <c r="Q730" s="3">
        <v>24</v>
      </c>
      <c r="R730" s="3">
        <v>0</v>
      </c>
      <c r="S730" s="3">
        <v>0</v>
      </c>
      <c r="T730" s="3">
        <v>0</v>
      </c>
      <c r="U730" s="3">
        <v>0</v>
      </c>
      <c r="V730" s="3">
        <f t="shared" si="167"/>
        <v>24</v>
      </c>
      <c r="W730" s="3">
        <v>24</v>
      </c>
      <c r="X730" s="3">
        <v>0</v>
      </c>
      <c r="Y730" s="3">
        <v>0</v>
      </c>
      <c r="Z730" s="3">
        <v>0</v>
      </c>
      <c r="AA730" s="3">
        <v>0</v>
      </c>
      <c r="AB730" s="3">
        <f t="shared" si="168"/>
        <v>24</v>
      </c>
      <c r="AC730" s="6">
        <f t="shared" si="176"/>
        <v>-24</v>
      </c>
      <c r="AD730" s="6">
        <f t="shared" si="177"/>
        <v>0</v>
      </c>
      <c r="AE730" s="6">
        <f t="shared" si="178"/>
        <v>0</v>
      </c>
      <c r="AF730" s="6">
        <f t="shared" si="179"/>
        <v>0</v>
      </c>
      <c r="AG730" s="6">
        <f t="shared" si="180"/>
        <v>0</v>
      </c>
      <c r="AH730" s="6">
        <f t="shared" si="169"/>
        <v>-24</v>
      </c>
      <c r="AI730" s="3"/>
      <c r="AJ730" s="3" t="e">
        <f>_xlfn.XLOOKUP(K730,工作表1!A:A,工作表1!C:C)</f>
        <v>#N/A</v>
      </c>
      <c r="AK730" s="3"/>
      <c r="AL730" s="6">
        <f t="shared" si="170"/>
        <v>0</v>
      </c>
      <c r="AM730" s="6">
        <f t="shared" si="171"/>
        <v>0</v>
      </c>
      <c r="AN730" s="6">
        <f t="shared" si="172"/>
        <v>0</v>
      </c>
      <c r="AO730" s="6">
        <f t="shared" si="173"/>
        <v>0</v>
      </c>
      <c r="AP730" s="6">
        <f t="shared" si="174"/>
        <v>0</v>
      </c>
      <c r="AQ730" s="6">
        <f t="shared" si="175"/>
        <v>0</v>
      </c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  <c r="BC730" s="6"/>
      <c r="BD730" s="6"/>
      <c r="BE730" s="6"/>
      <c r="BF730" s="6"/>
      <c r="BG730" s="6"/>
      <c r="BH730" s="6"/>
      <c r="BI730" s="6"/>
      <c r="BJ730" s="6"/>
      <c r="BK730" s="6"/>
      <c r="BL730" s="6"/>
      <c r="BM730" s="6"/>
      <c r="BN730" s="6"/>
      <c r="BO730" s="6"/>
      <c r="BP730" s="3">
        <v>24</v>
      </c>
      <c r="BQ730" s="6">
        <f t="shared" si="166"/>
        <v>0</v>
      </c>
    </row>
    <row r="731" spans="1:69" x14ac:dyDescent="0.3">
      <c r="A731" s="3" t="s">
        <v>931</v>
      </c>
      <c r="B731" s="3">
        <v>481</v>
      </c>
      <c r="C731" s="3" t="s">
        <v>1170</v>
      </c>
      <c r="D731" s="3">
        <v>2</v>
      </c>
      <c r="E731" s="3">
        <v>445</v>
      </c>
      <c r="F731" s="3" t="s">
        <v>19</v>
      </c>
      <c r="G731" s="3" t="s">
        <v>19</v>
      </c>
      <c r="H731" s="3" t="s">
        <v>1194</v>
      </c>
      <c r="I731" s="3"/>
      <c r="J731" s="3" t="s">
        <v>486</v>
      </c>
      <c r="K731" s="3" t="s">
        <v>1195</v>
      </c>
      <c r="L731" s="3" t="s">
        <v>335</v>
      </c>
      <c r="M731" s="3">
        <v>9</v>
      </c>
      <c r="N731" s="6"/>
      <c r="O731" s="3">
        <v>8</v>
      </c>
      <c r="P731" s="3">
        <v>8</v>
      </c>
      <c r="Q731" s="3">
        <v>8</v>
      </c>
      <c r="R731" s="3">
        <v>0</v>
      </c>
      <c r="S731" s="3">
        <v>0</v>
      </c>
      <c r="T731" s="3">
        <v>0</v>
      </c>
      <c r="U731" s="3">
        <v>0</v>
      </c>
      <c r="V731" s="3">
        <f t="shared" si="167"/>
        <v>8</v>
      </c>
      <c r="W731" s="3">
        <v>8</v>
      </c>
      <c r="X731" s="3">
        <v>0</v>
      </c>
      <c r="Y731" s="3">
        <v>0</v>
      </c>
      <c r="Z731" s="3">
        <v>0</v>
      </c>
      <c r="AA731" s="3">
        <v>0</v>
      </c>
      <c r="AB731" s="3">
        <f t="shared" si="168"/>
        <v>8</v>
      </c>
      <c r="AC731" s="6">
        <f t="shared" si="176"/>
        <v>-8</v>
      </c>
      <c r="AD731" s="6">
        <f t="shared" si="177"/>
        <v>0</v>
      </c>
      <c r="AE731" s="6">
        <f t="shared" si="178"/>
        <v>0</v>
      </c>
      <c r="AF731" s="6">
        <f t="shared" si="179"/>
        <v>0</v>
      </c>
      <c r="AG731" s="6">
        <f t="shared" si="180"/>
        <v>0</v>
      </c>
      <c r="AH731" s="6">
        <f t="shared" si="169"/>
        <v>-8</v>
      </c>
      <c r="AI731" s="3"/>
      <c r="AJ731" s="3" t="e">
        <f>_xlfn.XLOOKUP(K731,工作表1!A:A,工作表1!C:C)</f>
        <v>#N/A</v>
      </c>
      <c r="AK731" s="3"/>
      <c r="AL731" s="6">
        <f t="shared" si="170"/>
        <v>0</v>
      </c>
      <c r="AM731" s="6">
        <f t="shared" si="171"/>
        <v>0</v>
      </c>
      <c r="AN731" s="6">
        <f t="shared" si="172"/>
        <v>0</v>
      </c>
      <c r="AO731" s="6">
        <f t="shared" si="173"/>
        <v>0</v>
      </c>
      <c r="AP731" s="6">
        <f t="shared" si="174"/>
        <v>0</v>
      </c>
      <c r="AQ731" s="6">
        <f t="shared" si="175"/>
        <v>0</v>
      </c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  <c r="BC731" s="6"/>
      <c r="BD731" s="6"/>
      <c r="BE731" s="6"/>
      <c r="BF731" s="6"/>
      <c r="BG731" s="6"/>
      <c r="BH731" s="6"/>
      <c r="BI731" s="6"/>
      <c r="BJ731" s="6"/>
      <c r="BK731" s="6"/>
      <c r="BL731" s="6"/>
      <c r="BM731" s="6"/>
      <c r="BN731" s="6"/>
      <c r="BO731" s="6"/>
      <c r="BP731" s="3">
        <v>8</v>
      </c>
      <c r="BQ731" s="6">
        <f t="shared" si="166"/>
        <v>0</v>
      </c>
    </row>
    <row r="732" spans="1:69" x14ac:dyDescent="0.3">
      <c r="A732" s="3" t="s">
        <v>931</v>
      </c>
      <c r="B732" s="3">
        <v>481</v>
      </c>
      <c r="C732" s="3" t="s">
        <v>1170</v>
      </c>
      <c r="D732" s="3">
        <v>2</v>
      </c>
      <c r="E732" s="3">
        <v>570</v>
      </c>
      <c r="F732" s="3" t="s">
        <v>19</v>
      </c>
      <c r="G732" s="3" t="s">
        <v>19</v>
      </c>
      <c r="H732" s="3" t="s">
        <v>1196</v>
      </c>
      <c r="I732" s="3"/>
      <c r="J732" s="3" t="s">
        <v>486</v>
      </c>
      <c r="K732" s="3" t="s">
        <v>1197</v>
      </c>
      <c r="L732" s="3" t="s">
        <v>335</v>
      </c>
      <c r="M732" s="3">
        <v>0</v>
      </c>
      <c r="N732" s="6"/>
      <c r="O732" s="3">
        <v>12</v>
      </c>
      <c r="P732" s="3">
        <v>12</v>
      </c>
      <c r="Q732" s="3">
        <v>12</v>
      </c>
      <c r="R732" s="3">
        <v>0</v>
      </c>
      <c r="S732" s="3">
        <v>0</v>
      </c>
      <c r="T732" s="3">
        <v>0</v>
      </c>
      <c r="U732" s="3">
        <v>0</v>
      </c>
      <c r="V732" s="3">
        <f t="shared" si="167"/>
        <v>12</v>
      </c>
      <c r="W732" s="3">
        <v>12</v>
      </c>
      <c r="X732" s="3">
        <v>0</v>
      </c>
      <c r="Y732" s="3">
        <v>0</v>
      </c>
      <c r="Z732" s="3">
        <v>0</v>
      </c>
      <c r="AA732" s="3">
        <v>0</v>
      </c>
      <c r="AB732" s="3">
        <f t="shared" si="168"/>
        <v>12</v>
      </c>
      <c r="AC732" s="6">
        <f t="shared" si="176"/>
        <v>-12</v>
      </c>
      <c r="AD732" s="6">
        <f t="shared" si="177"/>
        <v>0</v>
      </c>
      <c r="AE732" s="6">
        <f t="shared" si="178"/>
        <v>0</v>
      </c>
      <c r="AF732" s="6">
        <f t="shared" si="179"/>
        <v>0</v>
      </c>
      <c r="AG732" s="6">
        <f t="shared" si="180"/>
        <v>0</v>
      </c>
      <c r="AH732" s="6">
        <f t="shared" si="169"/>
        <v>-12</v>
      </c>
      <c r="AI732" s="3"/>
      <c r="AJ732" s="3" t="e">
        <f>_xlfn.XLOOKUP(K732,工作表1!A:A,工作表1!C:C)</f>
        <v>#N/A</v>
      </c>
      <c r="AK732" s="3"/>
      <c r="AL732" s="6">
        <f t="shared" si="170"/>
        <v>0</v>
      </c>
      <c r="AM732" s="6">
        <f t="shared" si="171"/>
        <v>0</v>
      </c>
      <c r="AN732" s="6">
        <f t="shared" si="172"/>
        <v>0</v>
      </c>
      <c r="AO732" s="6">
        <f t="shared" si="173"/>
        <v>0</v>
      </c>
      <c r="AP732" s="6">
        <f t="shared" si="174"/>
        <v>0</v>
      </c>
      <c r="AQ732" s="6">
        <f t="shared" si="175"/>
        <v>0</v>
      </c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  <c r="BC732" s="6"/>
      <c r="BD732" s="6"/>
      <c r="BE732" s="6"/>
      <c r="BF732" s="6"/>
      <c r="BG732" s="6"/>
      <c r="BH732" s="6"/>
      <c r="BI732" s="6"/>
      <c r="BJ732" s="6"/>
      <c r="BK732" s="6"/>
      <c r="BL732" s="6"/>
      <c r="BM732" s="6"/>
      <c r="BN732" s="6"/>
      <c r="BO732" s="6"/>
      <c r="BP732" s="3">
        <v>12</v>
      </c>
      <c r="BQ732" s="6">
        <f t="shared" si="166"/>
        <v>0</v>
      </c>
    </row>
    <row r="733" spans="1:69" x14ac:dyDescent="0.3">
      <c r="A733" s="3" t="s">
        <v>931</v>
      </c>
      <c r="B733" s="3">
        <v>481</v>
      </c>
      <c r="C733" s="3" t="s">
        <v>1170</v>
      </c>
      <c r="D733" s="3">
        <v>1.5</v>
      </c>
      <c r="E733" s="3">
        <v>350</v>
      </c>
      <c r="F733" s="3" t="s">
        <v>19</v>
      </c>
      <c r="G733" s="3" t="s">
        <v>19</v>
      </c>
      <c r="H733" s="3" t="s">
        <v>1198</v>
      </c>
      <c r="I733" s="3"/>
      <c r="J733" s="3" t="s">
        <v>486</v>
      </c>
      <c r="K733" s="3" t="s">
        <v>1199</v>
      </c>
      <c r="L733" s="3" t="s">
        <v>335</v>
      </c>
      <c r="M733" s="3">
        <v>0</v>
      </c>
      <c r="N733" s="6"/>
      <c r="O733" s="3">
        <v>16</v>
      </c>
      <c r="P733" s="3">
        <v>16</v>
      </c>
      <c r="Q733" s="3">
        <v>16</v>
      </c>
      <c r="R733" s="3">
        <v>0</v>
      </c>
      <c r="S733" s="3">
        <v>0</v>
      </c>
      <c r="T733" s="3">
        <v>0</v>
      </c>
      <c r="U733" s="3">
        <v>0</v>
      </c>
      <c r="V733" s="3">
        <f t="shared" si="167"/>
        <v>16</v>
      </c>
      <c r="W733" s="3">
        <v>16</v>
      </c>
      <c r="X733" s="3">
        <v>0</v>
      </c>
      <c r="Y733" s="3">
        <v>0</v>
      </c>
      <c r="Z733" s="3">
        <v>0</v>
      </c>
      <c r="AA733" s="3">
        <v>0</v>
      </c>
      <c r="AB733" s="3">
        <f t="shared" si="168"/>
        <v>16</v>
      </c>
      <c r="AC733" s="6">
        <f t="shared" si="176"/>
        <v>-16</v>
      </c>
      <c r="AD733" s="6">
        <f t="shared" si="177"/>
        <v>0</v>
      </c>
      <c r="AE733" s="6">
        <f t="shared" si="178"/>
        <v>0</v>
      </c>
      <c r="AF733" s="6">
        <f t="shared" si="179"/>
        <v>0</v>
      </c>
      <c r="AG733" s="6">
        <f t="shared" si="180"/>
        <v>0</v>
      </c>
      <c r="AH733" s="6">
        <f t="shared" si="169"/>
        <v>-16</v>
      </c>
      <c r="AI733" s="3"/>
      <c r="AJ733" s="3" t="e">
        <f>_xlfn.XLOOKUP(K733,工作表1!A:A,工作表1!C:C)</f>
        <v>#N/A</v>
      </c>
      <c r="AK733" s="3"/>
      <c r="AL733" s="6">
        <f t="shared" si="170"/>
        <v>0</v>
      </c>
      <c r="AM733" s="6">
        <f t="shared" si="171"/>
        <v>0</v>
      </c>
      <c r="AN733" s="6">
        <f t="shared" si="172"/>
        <v>0</v>
      </c>
      <c r="AO733" s="6">
        <f t="shared" si="173"/>
        <v>0</v>
      </c>
      <c r="AP733" s="6">
        <f t="shared" si="174"/>
        <v>0</v>
      </c>
      <c r="AQ733" s="6">
        <f t="shared" si="175"/>
        <v>0</v>
      </c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  <c r="BC733" s="6"/>
      <c r="BD733" s="6"/>
      <c r="BE733" s="6"/>
      <c r="BF733" s="6"/>
      <c r="BG733" s="6"/>
      <c r="BH733" s="6"/>
      <c r="BI733" s="6"/>
      <c r="BJ733" s="6"/>
      <c r="BK733" s="6"/>
      <c r="BL733" s="6"/>
      <c r="BM733" s="6"/>
      <c r="BN733" s="6"/>
      <c r="BO733" s="6"/>
      <c r="BP733" s="3">
        <v>16</v>
      </c>
      <c r="BQ733" s="6">
        <f t="shared" si="166"/>
        <v>0</v>
      </c>
    </row>
    <row r="734" spans="1:69" x14ac:dyDescent="0.3">
      <c r="A734" s="3" t="s">
        <v>931</v>
      </c>
      <c r="B734" s="3">
        <v>481</v>
      </c>
      <c r="C734" s="3" t="s">
        <v>1170</v>
      </c>
      <c r="D734" s="3">
        <v>1.25</v>
      </c>
      <c r="E734" s="3">
        <v>240</v>
      </c>
      <c r="F734" s="3" t="s">
        <v>19</v>
      </c>
      <c r="G734" s="3" t="s">
        <v>19</v>
      </c>
      <c r="H734" s="3" t="s">
        <v>1200</v>
      </c>
      <c r="I734" s="3"/>
      <c r="J734" s="3" t="s">
        <v>486</v>
      </c>
      <c r="K734" s="3" t="s">
        <v>1201</v>
      </c>
      <c r="L734" s="3" t="s">
        <v>335</v>
      </c>
      <c r="M734" s="3">
        <v>0</v>
      </c>
      <c r="N734" s="6"/>
      <c r="O734" s="3">
        <v>64</v>
      </c>
      <c r="P734" s="3">
        <v>64</v>
      </c>
      <c r="Q734" s="3">
        <v>64</v>
      </c>
      <c r="R734" s="3">
        <v>0</v>
      </c>
      <c r="S734" s="3">
        <v>0</v>
      </c>
      <c r="T734" s="3">
        <v>0</v>
      </c>
      <c r="U734" s="3">
        <v>0</v>
      </c>
      <c r="V734" s="3">
        <f t="shared" si="167"/>
        <v>64</v>
      </c>
      <c r="W734" s="3">
        <v>64</v>
      </c>
      <c r="X734" s="3">
        <v>0</v>
      </c>
      <c r="Y734" s="3">
        <v>0</v>
      </c>
      <c r="Z734" s="3">
        <v>0</v>
      </c>
      <c r="AA734" s="3">
        <v>0</v>
      </c>
      <c r="AB734" s="3">
        <f t="shared" si="168"/>
        <v>64</v>
      </c>
      <c r="AC734" s="6">
        <f t="shared" si="176"/>
        <v>-64</v>
      </c>
      <c r="AD734" s="6">
        <f t="shared" si="177"/>
        <v>0</v>
      </c>
      <c r="AE734" s="6">
        <f t="shared" si="178"/>
        <v>0</v>
      </c>
      <c r="AF734" s="6">
        <f t="shared" si="179"/>
        <v>0</v>
      </c>
      <c r="AG734" s="6">
        <f t="shared" si="180"/>
        <v>0</v>
      </c>
      <c r="AH734" s="6">
        <f t="shared" si="169"/>
        <v>-64</v>
      </c>
      <c r="AI734" s="3"/>
      <c r="AJ734" s="3" t="e">
        <f>_xlfn.XLOOKUP(K734,工作表1!A:A,工作表1!C:C)</f>
        <v>#N/A</v>
      </c>
      <c r="AK734" s="3"/>
      <c r="AL734" s="6">
        <f t="shared" si="170"/>
        <v>0</v>
      </c>
      <c r="AM734" s="6">
        <f t="shared" si="171"/>
        <v>0</v>
      </c>
      <c r="AN734" s="6">
        <f t="shared" si="172"/>
        <v>0</v>
      </c>
      <c r="AO734" s="6">
        <f t="shared" si="173"/>
        <v>0</v>
      </c>
      <c r="AP734" s="6">
        <f t="shared" si="174"/>
        <v>0</v>
      </c>
      <c r="AQ734" s="6">
        <f t="shared" si="175"/>
        <v>0</v>
      </c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  <c r="BC734" s="6"/>
      <c r="BD734" s="6"/>
      <c r="BE734" s="6"/>
      <c r="BF734" s="6"/>
      <c r="BG734" s="6"/>
      <c r="BH734" s="6"/>
      <c r="BI734" s="6"/>
      <c r="BJ734" s="6"/>
      <c r="BK734" s="6"/>
      <c r="BL734" s="6"/>
      <c r="BM734" s="6"/>
      <c r="BN734" s="6"/>
      <c r="BO734" s="6"/>
      <c r="BP734" s="3">
        <v>64</v>
      </c>
      <c r="BQ734" s="6">
        <f t="shared" si="166"/>
        <v>0</v>
      </c>
    </row>
    <row r="735" spans="1:69" x14ac:dyDescent="0.3">
      <c r="A735" s="3" t="s">
        <v>931</v>
      </c>
      <c r="B735" s="3">
        <v>481</v>
      </c>
      <c r="C735" s="3" t="s">
        <v>1170</v>
      </c>
      <c r="D735" s="3">
        <v>1.25</v>
      </c>
      <c r="E735" s="3">
        <v>300</v>
      </c>
      <c r="F735" s="3" t="s">
        <v>19</v>
      </c>
      <c r="G735" s="3" t="s">
        <v>19</v>
      </c>
      <c r="H735" s="3" t="s">
        <v>1202</v>
      </c>
      <c r="I735" s="3"/>
      <c r="J735" s="3" t="s">
        <v>486</v>
      </c>
      <c r="K735" s="3" t="s">
        <v>1203</v>
      </c>
      <c r="L735" s="3" t="s">
        <v>335</v>
      </c>
      <c r="M735" s="3">
        <v>0</v>
      </c>
      <c r="N735" s="6"/>
      <c r="O735" s="3">
        <v>16</v>
      </c>
      <c r="P735" s="3">
        <v>16</v>
      </c>
      <c r="Q735" s="3">
        <v>16</v>
      </c>
      <c r="R735" s="3">
        <v>0</v>
      </c>
      <c r="S735" s="3">
        <v>0</v>
      </c>
      <c r="T735" s="3">
        <v>0</v>
      </c>
      <c r="U735" s="3">
        <v>0</v>
      </c>
      <c r="V735" s="3">
        <f t="shared" si="167"/>
        <v>16</v>
      </c>
      <c r="W735" s="3">
        <v>16</v>
      </c>
      <c r="X735" s="3">
        <v>0</v>
      </c>
      <c r="Y735" s="3">
        <v>0</v>
      </c>
      <c r="Z735" s="3">
        <v>0</v>
      </c>
      <c r="AA735" s="3">
        <v>0</v>
      </c>
      <c r="AB735" s="3">
        <f t="shared" si="168"/>
        <v>16</v>
      </c>
      <c r="AC735" s="6">
        <f t="shared" si="176"/>
        <v>-16</v>
      </c>
      <c r="AD735" s="6">
        <f t="shared" si="177"/>
        <v>0</v>
      </c>
      <c r="AE735" s="6">
        <f t="shared" si="178"/>
        <v>0</v>
      </c>
      <c r="AF735" s="6">
        <f t="shared" si="179"/>
        <v>0</v>
      </c>
      <c r="AG735" s="6">
        <f t="shared" si="180"/>
        <v>0</v>
      </c>
      <c r="AH735" s="6">
        <f t="shared" si="169"/>
        <v>-16</v>
      </c>
      <c r="AI735" s="3"/>
      <c r="AJ735" s="3" t="e">
        <f>_xlfn.XLOOKUP(K735,工作表1!A:A,工作表1!C:C)</f>
        <v>#N/A</v>
      </c>
      <c r="AK735" s="3"/>
      <c r="AL735" s="6">
        <f t="shared" si="170"/>
        <v>0</v>
      </c>
      <c r="AM735" s="6">
        <f t="shared" si="171"/>
        <v>0</v>
      </c>
      <c r="AN735" s="6">
        <f t="shared" si="172"/>
        <v>0</v>
      </c>
      <c r="AO735" s="6">
        <f t="shared" si="173"/>
        <v>0</v>
      </c>
      <c r="AP735" s="6">
        <f t="shared" si="174"/>
        <v>0</v>
      </c>
      <c r="AQ735" s="6">
        <f t="shared" si="175"/>
        <v>0</v>
      </c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  <c r="BC735" s="6"/>
      <c r="BD735" s="6"/>
      <c r="BE735" s="6"/>
      <c r="BF735" s="6"/>
      <c r="BG735" s="6"/>
      <c r="BH735" s="6"/>
      <c r="BI735" s="6"/>
      <c r="BJ735" s="6"/>
      <c r="BK735" s="6"/>
      <c r="BL735" s="6"/>
      <c r="BM735" s="6"/>
      <c r="BN735" s="6"/>
      <c r="BO735" s="6"/>
      <c r="BP735" s="3">
        <v>16</v>
      </c>
      <c r="BQ735" s="6">
        <f t="shared" si="166"/>
        <v>0</v>
      </c>
    </row>
    <row r="736" spans="1:69" x14ac:dyDescent="0.3">
      <c r="A736" s="3" t="s">
        <v>931</v>
      </c>
      <c r="B736" s="3">
        <v>481</v>
      </c>
      <c r="C736" s="3" t="s">
        <v>1204</v>
      </c>
      <c r="D736" s="3">
        <v>1</v>
      </c>
      <c r="E736" s="3">
        <v>190</v>
      </c>
      <c r="F736" s="3" t="s">
        <v>19</v>
      </c>
      <c r="G736" s="3" t="s">
        <v>19</v>
      </c>
      <c r="H736" s="3" t="s">
        <v>1205</v>
      </c>
      <c r="I736" s="3"/>
      <c r="J736" s="3" t="s">
        <v>486</v>
      </c>
      <c r="K736" s="3" t="s">
        <v>1206</v>
      </c>
      <c r="L736" s="3" t="s">
        <v>335</v>
      </c>
      <c r="M736" s="3">
        <v>77</v>
      </c>
      <c r="N736" s="6"/>
      <c r="O736" s="3">
        <v>88</v>
      </c>
      <c r="P736" s="3">
        <v>88</v>
      </c>
      <c r="Q736" s="3">
        <v>88</v>
      </c>
      <c r="R736" s="3">
        <v>0</v>
      </c>
      <c r="S736" s="3">
        <v>0</v>
      </c>
      <c r="T736" s="3">
        <v>0</v>
      </c>
      <c r="U736" s="3">
        <v>0</v>
      </c>
      <c r="V736" s="3">
        <f t="shared" si="167"/>
        <v>88</v>
      </c>
      <c r="W736" s="3">
        <v>88</v>
      </c>
      <c r="X736" s="3">
        <v>0</v>
      </c>
      <c r="Y736" s="3">
        <v>0</v>
      </c>
      <c r="Z736" s="3">
        <v>0</v>
      </c>
      <c r="AA736" s="3">
        <v>0</v>
      </c>
      <c r="AB736" s="3">
        <f t="shared" si="168"/>
        <v>88</v>
      </c>
      <c r="AC736" s="6">
        <f t="shared" si="176"/>
        <v>-88</v>
      </c>
      <c r="AD736" s="6">
        <f t="shared" si="177"/>
        <v>0</v>
      </c>
      <c r="AE736" s="6">
        <f t="shared" si="178"/>
        <v>0</v>
      </c>
      <c r="AF736" s="6">
        <f t="shared" si="179"/>
        <v>0</v>
      </c>
      <c r="AG736" s="6">
        <f t="shared" si="180"/>
        <v>0</v>
      </c>
      <c r="AH736" s="6">
        <f t="shared" si="169"/>
        <v>-88</v>
      </c>
      <c r="AI736" s="3"/>
      <c r="AJ736" s="3" t="e">
        <f>_xlfn.XLOOKUP(K736,工作表1!A:A,工作表1!C:C)</f>
        <v>#N/A</v>
      </c>
      <c r="AK736" s="3"/>
      <c r="AL736" s="6">
        <f t="shared" si="170"/>
        <v>0</v>
      </c>
      <c r="AM736" s="6">
        <f t="shared" si="171"/>
        <v>0</v>
      </c>
      <c r="AN736" s="6">
        <f t="shared" si="172"/>
        <v>0</v>
      </c>
      <c r="AO736" s="6">
        <f t="shared" si="173"/>
        <v>0</v>
      </c>
      <c r="AP736" s="6">
        <f t="shared" si="174"/>
        <v>0</v>
      </c>
      <c r="AQ736" s="6">
        <f t="shared" si="175"/>
        <v>0</v>
      </c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  <c r="BC736" s="6"/>
      <c r="BD736" s="6"/>
      <c r="BE736" s="6"/>
      <c r="BF736" s="6"/>
      <c r="BG736" s="6"/>
      <c r="BH736" s="6"/>
      <c r="BI736" s="6"/>
      <c r="BJ736" s="6"/>
      <c r="BK736" s="6"/>
      <c r="BL736" s="6"/>
      <c r="BM736" s="6"/>
      <c r="BN736" s="6"/>
      <c r="BO736" s="6"/>
      <c r="BP736" s="3">
        <v>88</v>
      </c>
      <c r="BQ736" s="6">
        <f t="shared" si="166"/>
        <v>0</v>
      </c>
    </row>
    <row r="737" spans="1:69" x14ac:dyDescent="0.3">
      <c r="A737" s="3" t="s">
        <v>931</v>
      </c>
      <c r="B737" s="3">
        <v>481</v>
      </c>
      <c r="C737" s="3" t="s">
        <v>1204</v>
      </c>
      <c r="D737" s="3">
        <v>0.875</v>
      </c>
      <c r="E737" s="3">
        <v>150</v>
      </c>
      <c r="F737" s="3" t="s">
        <v>19</v>
      </c>
      <c r="G737" s="3" t="s">
        <v>19</v>
      </c>
      <c r="H737" s="3" t="s">
        <v>542</v>
      </c>
      <c r="I737" s="3"/>
      <c r="J737" s="3" t="s">
        <v>486</v>
      </c>
      <c r="K737" s="3" t="s">
        <v>1207</v>
      </c>
      <c r="L737" s="3" t="s">
        <v>335</v>
      </c>
      <c r="M737" s="3">
        <v>120</v>
      </c>
      <c r="N737" s="6"/>
      <c r="O737" s="3">
        <v>100</v>
      </c>
      <c r="P737" s="3">
        <v>100</v>
      </c>
      <c r="Q737" s="3">
        <v>100</v>
      </c>
      <c r="R737" s="3">
        <v>0</v>
      </c>
      <c r="S737" s="3">
        <v>0</v>
      </c>
      <c r="T737" s="3">
        <v>0</v>
      </c>
      <c r="U737" s="3">
        <v>0</v>
      </c>
      <c r="V737" s="3">
        <f t="shared" si="167"/>
        <v>100</v>
      </c>
      <c r="W737" s="3">
        <v>100</v>
      </c>
      <c r="X737" s="3">
        <v>0</v>
      </c>
      <c r="Y737" s="3">
        <v>0</v>
      </c>
      <c r="Z737" s="3">
        <v>0</v>
      </c>
      <c r="AA737" s="3">
        <v>0</v>
      </c>
      <c r="AB737" s="3">
        <f t="shared" si="168"/>
        <v>100</v>
      </c>
      <c r="AC737" s="6">
        <f t="shared" si="176"/>
        <v>-100</v>
      </c>
      <c r="AD737" s="6">
        <f t="shared" si="177"/>
        <v>0</v>
      </c>
      <c r="AE737" s="6">
        <f t="shared" si="178"/>
        <v>0</v>
      </c>
      <c r="AF737" s="6">
        <f t="shared" si="179"/>
        <v>0</v>
      </c>
      <c r="AG737" s="6">
        <f t="shared" si="180"/>
        <v>0</v>
      </c>
      <c r="AH737" s="6">
        <f t="shared" si="169"/>
        <v>-100</v>
      </c>
      <c r="AI737" s="3"/>
      <c r="AJ737" s="3" t="e">
        <f>_xlfn.XLOOKUP(K737,工作表1!A:A,工作表1!C:C)</f>
        <v>#N/A</v>
      </c>
      <c r="AK737" s="3"/>
      <c r="AL737" s="6">
        <f t="shared" si="170"/>
        <v>0</v>
      </c>
      <c r="AM737" s="6">
        <f t="shared" si="171"/>
        <v>0</v>
      </c>
      <c r="AN737" s="6">
        <f t="shared" si="172"/>
        <v>0</v>
      </c>
      <c r="AO737" s="6">
        <f t="shared" si="173"/>
        <v>0</v>
      </c>
      <c r="AP737" s="6">
        <f t="shared" si="174"/>
        <v>0</v>
      </c>
      <c r="AQ737" s="6">
        <f t="shared" si="175"/>
        <v>0</v>
      </c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  <c r="BC737" s="6"/>
      <c r="BD737" s="6"/>
      <c r="BE737" s="6"/>
      <c r="BF737" s="6"/>
      <c r="BG737" s="6"/>
      <c r="BH737" s="6"/>
      <c r="BI737" s="6"/>
      <c r="BJ737" s="6"/>
      <c r="BK737" s="6"/>
      <c r="BL737" s="6"/>
      <c r="BM737" s="6"/>
      <c r="BN737" s="6"/>
      <c r="BO737" s="6"/>
      <c r="BP737" s="3">
        <v>100</v>
      </c>
      <c r="BQ737" s="6">
        <f t="shared" si="166"/>
        <v>0</v>
      </c>
    </row>
    <row r="738" spans="1:69" x14ac:dyDescent="0.3">
      <c r="A738" s="3" t="s">
        <v>931</v>
      </c>
      <c r="B738" s="3">
        <v>481</v>
      </c>
      <c r="C738" s="3" t="s">
        <v>1204</v>
      </c>
      <c r="D738" s="3">
        <v>0.875</v>
      </c>
      <c r="E738" s="3">
        <v>160</v>
      </c>
      <c r="F738" s="3" t="s">
        <v>19</v>
      </c>
      <c r="G738" s="3" t="s">
        <v>19</v>
      </c>
      <c r="H738" s="3" t="s">
        <v>544</v>
      </c>
      <c r="I738" s="3"/>
      <c r="J738" s="3" t="s">
        <v>486</v>
      </c>
      <c r="K738" s="3" t="s">
        <v>1208</v>
      </c>
      <c r="L738" s="3" t="s">
        <v>335</v>
      </c>
      <c r="M738" s="3">
        <v>10</v>
      </c>
      <c r="N738" s="6"/>
      <c r="O738" s="3">
        <v>8</v>
      </c>
      <c r="P738" s="3">
        <v>8</v>
      </c>
      <c r="Q738" s="3">
        <v>8</v>
      </c>
      <c r="R738" s="3">
        <v>0</v>
      </c>
      <c r="S738" s="3">
        <v>0</v>
      </c>
      <c r="T738" s="3">
        <v>0</v>
      </c>
      <c r="U738" s="3">
        <v>0</v>
      </c>
      <c r="V738" s="3">
        <f t="shared" si="167"/>
        <v>8</v>
      </c>
      <c r="W738" s="3">
        <v>8</v>
      </c>
      <c r="X738" s="3">
        <v>0</v>
      </c>
      <c r="Y738" s="3">
        <v>0</v>
      </c>
      <c r="Z738" s="3">
        <v>0</v>
      </c>
      <c r="AA738" s="3">
        <v>0</v>
      </c>
      <c r="AB738" s="3">
        <f t="shared" si="168"/>
        <v>8</v>
      </c>
      <c r="AC738" s="6">
        <f t="shared" si="176"/>
        <v>-8</v>
      </c>
      <c r="AD738" s="6">
        <f t="shared" si="177"/>
        <v>0</v>
      </c>
      <c r="AE738" s="6">
        <f t="shared" si="178"/>
        <v>0</v>
      </c>
      <c r="AF738" s="6">
        <f t="shared" si="179"/>
        <v>0</v>
      </c>
      <c r="AG738" s="6">
        <f t="shared" si="180"/>
        <v>0</v>
      </c>
      <c r="AH738" s="6">
        <f t="shared" si="169"/>
        <v>-8</v>
      </c>
      <c r="AI738" s="3"/>
      <c r="AJ738" s="3" t="e">
        <f>_xlfn.XLOOKUP(K738,工作表1!A:A,工作表1!C:C)</f>
        <v>#N/A</v>
      </c>
      <c r="AK738" s="3"/>
      <c r="AL738" s="6">
        <f t="shared" si="170"/>
        <v>0</v>
      </c>
      <c r="AM738" s="6">
        <f t="shared" si="171"/>
        <v>0</v>
      </c>
      <c r="AN738" s="6">
        <f t="shared" si="172"/>
        <v>0</v>
      </c>
      <c r="AO738" s="6">
        <f t="shared" si="173"/>
        <v>0</v>
      </c>
      <c r="AP738" s="6">
        <f t="shared" si="174"/>
        <v>0</v>
      </c>
      <c r="AQ738" s="6">
        <f t="shared" si="175"/>
        <v>0</v>
      </c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  <c r="BC738" s="6"/>
      <c r="BD738" s="6"/>
      <c r="BE738" s="6"/>
      <c r="BF738" s="6"/>
      <c r="BG738" s="6"/>
      <c r="BH738" s="6"/>
      <c r="BI738" s="6"/>
      <c r="BJ738" s="6"/>
      <c r="BK738" s="6"/>
      <c r="BL738" s="6"/>
      <c r="BM738" s="6"/>
      <c r="BN738" s="6"/>
      <c r="BO738" s="6"/>
      <c r="BP738" s="3">
        <v>8</v>
      </c>
      <c r="BQ738" s="6">
        <f t="shared" si="166"/>
        <v>0</v>
      </c>
    </row>
    <row r="739" spans="1:69" x14ac:dyDescent="0.3">
      <c r="A739" s="3" t="s">
        <v>931</v>
      </c>
      <c r="B739" s="3">
        <v>481</v>
      </c>
      <c r="C739" s="3" t="s">
        <v>1204</v>
      </c>
      <c r="D739" s="3">
        <v>0.875</v>
      </c>
      <c r="E739" s="3">
        <v>140</v>
      </c>
      <c r="F739" s="3" t="s">
        <v>19</v>
      </c>
      <c r="G739" s="3" t="s">
        <v>19</v>
      </c>
      <c r="H739" s="3" t="s">
        <v>546</v>
      </c>
      <c r="I739" s="3"/>
      <c r="J739" s="3" t="s">
        <v>486</v>
      </c>
      <c r="K739" s="3" t="s">
        <v>1209</v>
      </c>
      <c r="L739" s="3" t="s">
        <v>335</v>
      </c>
      <c r="M739" s="3">
        <v>5</v>
      </c>
      <c r="N739" s="6"/>
      <c r="O739" s="3">
        <v>4</v>
      </c>
      <c r="P739" s="3">
        <v>4</v>
      </c>
      <c r="Q739" s="3">
        <v>4</v>
      </c>
      <c r="R739" s="3">
        <v>0</v>
      </c>
      <c r="S739" s="3">
        <v>0</v>
      </c>
      <c r="T739" s="3">
        <v>0</v>
      </c>
      <c r="U739" s="3">
        <v>0</v>
      </c>
      <c r="V739" s="3">
        <f t="shared" si="167"/>
        <v>4</v>
      </c>
      <c r="W739" s="3">
        <v>4</v>
      </c>
      <c r="X739" s="3">
        <v>0</v>
      </c>
      <c r="Y739" s="3">
        <v>0</v>
      </c>
      <c r="Z739" s="3">
        <v>0</v>
      </c>
      <c r="AA739" s="3">
        <v>0</v>
      </c>
      <c r="AB739" s="3">
        <f t="shared" si="168"/>
        <v>4</v>
      </c>
      <c r="AC739" s="6">
        <f t="shared" si="176"/>
        <v>-4</v>
      </c>
      <c r="AD739" s="6">
        <f t="shared" si="177"/>
        <v>0</v>
      </c>
      <c r="AE739" s="6">
        <f t="shared" si="178"/>
        <v>0</v>
      </c>
      <c r="AF739" s="6">
        <f t="shared" si="179"/>
        <v>0</v>
      </c>
      <c r="AG739" s="6">
        <f t="shared" si="180"/>
        <v>0</v>
      </c>
      <c r="AH739" s="6">
        <f t="shared" si="169"/>
        <v>-4</v>
      </c>
      <c r="AI739" s="3"/>
      <c r="AJ739" s="3" t="e">
        <f>_xlfn.XLOOKUP(K739,工作表1!A:A,工作表1!C:C)</f>
        <v>#N/A</v>
      </c>
      <c r="AK739" s="3"/>
      <c r="AL739" s="6">
        <f t="shared" si="170"/>
        <v>0</v>
      </c>
      <c r="AM739" s="6">
        <f t="shared" si="171"/>
        <v>0</v>
      </c>
      <c r="AN739" s="6">
        <f t="shared" si="172"/>
        <v>0</v>
      </c>
      <c r="AO739" s="6">
        <f t="shared" si="173"/>
        <v>0</v>
      </c>
      <c r="AP739" s="6">
        <f t="shared" si="174"/>
        <v>0</v>
      </c>
      <c r="AQ739" s="6">
        <f t="shared" si="175"/>
        <v>0</v>
      </c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  <c r="BC739" s="6"/>
      <c r="BD739" s="6"/>
      <c r="BE739" s="6"/>
      <c r="BF739" s="6"/>
      <c r="BG739" s="6"/>
      <c r="BH739" s="6"/>
      <c r="BI739" s="6"/>
      <c r="BJ739" s="6"/>
      <c r="BK739" s="6"/>
      <c r="BL739" s="6"/>
      <c r="BM739" s="6"/>
      <c r="BN739" s="6"/>
      <c r="BO739" s="6"/>
      <c r="BP739" s="3">
        <v>4</v>
      </c>
      <c r="BQ739" s="6">
        <f t="shared" si="166"/>
        <v>0</v>
      </c>
    </row>
    <row r="740" spans="1:69" x14ac:dyDescent="0.3">
      <c r="A740" s="3" t="s">
        <v>931</v>
      </c>
      <c r="B740" s="3">
        <v>481</v>
      </c>
      <c r="C740" s="3" t="s">
        <v>1204</v>
      </c>
      <c r="D740" s="3">
        <v>0.875</v>
      </c>
      <c r="E740" s="3">
        <v>185</v>
      </c>
      <c r="F740" s="3" t="s">
        <v>19</v>
      </c>
      <c r="G740" s="3" t="s">
        <v>19</v>
      </c>
      <c r="H740" s="3" t="s">
        <v>1210</v>
      </c>
      <c r="I740" s="3"/>
      <c r="J740" s="3" t="s">
        <v>486</v>
      </c>
      <c r="K740" s="3" t="s">
        <v>1211</v>
      </c>
      <c r="L740" s="3" t="s">
        <v>335</v>
      </c>
      <c r="M740" s="3">
        <v>14</v>
      </c>
      <c r="N740" s="6"/>
      <c r="O740" s="3">
        <v>20</v>
      </c>
      <c r="P740" s="3">
        <v>20</v>
      </c>
      <c r="Q740" s="3">
        <v>20</v>
      </c>
      <c r="R740" s="3">
        <v>0</v>
      </c>
      <c r="S740" s="3">
        <v>0</v>
      </c>
      <c r="T740" s="3">
        <v>0</v>
      </c>
      <c r="U740" s="3">
        <v>0</v>
      </c>
      <c r="V740" s="3">
        <f t="shared" si="167"/>
        <v>20</v>
      </c>
      <c r="W740" s="3">
        <v>20</v>
      </c>
      <c r="X740" s="3">
        <v>0</v>
      </c>
      <c r="Y740" s="3">
        <v>0</v>
      </c>
      <c r="Z740" s="3">
        <v>0</v>
      </c>
      <c r="AA740" s="3">
        <v>0</v>
      </c>
      <c r="AB740" s="3">
        <f t="shared" si="168"/>
        <v>20</v>
      </c>
      <c r="AC740" s="6">
        <f t="shared" si="176"/>
        <v>-20</v>
      </c>
      <c r="AD740" s="6">
        <f t="shared" si="177"/>
        <v>0</v>
      </c>
      <c r="AE740" s="6">
        <f t="shared" si="178"/>
        <v>0</v>
      </c>
      <c r="AF740" s="6">
        <f t="shared" si="179"/>
        <v>0</v>
      </c>
      <c r="AG740" s="6">
        <f t="shared" si="180"/>
        <v>0</v>
      </c>
      <c r="AH740" s="6">
        <f t="shared" si="169"/>
        <v>-20</v>
      </c>
      <c r="AI740" s="3"/>
      <c r="AJ740" s="3" t="e">
        <f>_xlfn.XLOOKUP(K740,工作表1!A:A,工作表1!C:C)</f>
        <v>#N/A</v>
      </c>
      <c r="AK740" s="3"/>
      <c r="AL740" s="6">
        <f t="shared" si="170"/>
        <v>0</v>
      </c>
      <c r="AM740" s="6">
        <f t="shared" si="171"/>
        <v>0</v>
      </c>
      <c r="AN740" s="6">
        <f t="shared" si="172"/>
        <v>0</v>
      </c>
      <c r="AO740" s="6">
        <f t="shared" si="173"/>
        <v>0</v>
      </c>
      <c r="AP740" s="6">
        <f t="shared" si="174"/>
        <v>0</v>
      </c>
      <c r="AQ740" s="6">
        <f t="shared" si="175"/>
        <v>0</v>
      </c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  <c r="BC740" s="6"/>
      <c r="BD740" s="6"/>
      <c r="BE740" s="6"/>
      <c r="BF740" s="6"/>
      <c r="BG740" s="6"/>
      <c r="BH740" s="6"/>
      <c r="BI740" s="6"/>
      <c r="BJ740" s="6"/>
      <c r="BK740" s="6"/>
      <c r="BL740" s="6"/>
      <c r="BM740" s="6"/>
      <c r="BN740" s="6"/>
      <c r="BO740" s="6"/>
      <c r="BP740" s="3">
        <v>20</v>
      </c>
      <c r="BQ740" s="6">
        <f t="shared" si="166"/>
        <v>0</v>
      </c>
    </row>
    <row r="741" spans="1:69" x14ac:dyDescent="0.3">
      <c r="A741" s="3" t="s">
        <v>931</v>
      </c>
      <c r="B741" s="3">
        <v>481</v>
      </c>
      <c r="C741" s="3" t="s">
        <v>1204</v>
      </c>
      <c r="D741" s="3">
        <v>0.75</v>
      </c>
      <c r="E741" s="3">
        <v>150</v>
      </c>
      <c r="F741" s="3" t="s">
        <v>19</v>
      </c>
      <c r="G741" s="3" t="s">
        <v>19</v>
      </c>
      <c r="H741" s="3" t="s">
        <v>550</v>
      </c>
      <c r="I741" s="3"/>
      <c r="J741" s="3" t="s">
        <v>486</v>
      </c>
      <c r="K741" s="3" t="s">
        <v>1212</v>
      </c>
      <c r="L741" s="3" t="s">
        <v>335</v>
      </c>
      <c r="M741" s="3">
        <v>0</v>
      </c>
      <c r="N741" s="6"/>
      <c r="O741" s="3">
        <v>60</v>
      </c>
      <c r="P741" s="3">
        <v>60</v>
      </c>
      <c r="Q741" s="3">
        <v>60</v>
      </c>
      <c r="R741" s="3">
        <v>0</v>
      </c>
      <c r="S741" s="3">
        <v>0</v>
      </c>
      <c r="T741" s="3">
        <v>0</v>
      </c>
      <c r="U741" s="3">
        <v>0</v>
      </c>
      <c r="V741" s="3">
        <f t="shared" si="167"/>
        <v>60</v>
      </c>
      <c r="W741" s="3">
        <v>60</v>
      </c>
      <c r="X741" s="3">
        <v>0</v>
      </c>
      <c r="Y741" s="3">
        <v>0</v>
      </c>
      <c r="Z741" s="3">
        <v>0</v>
      </c>
      <c r="AA741" s="3">
        <v>0</v>
      </c>
      <c r="AB741" s="3">
        <f t="shared" si="168"/>
        <v>60</v>
      </c>
      <c r="AC741" s="6">
        <f t="shared" si="176"/>
        <v>-60</v>
      </c>
      <c r="AD741" s="6">
        <f t="shared" si="177"/>
        <v>0</v>
      </c>
      <c r="AE741" s="6">
        <f t="shared" si="178"/>
        <v>0</v>
      </c>
      <c r="AF741" s="6">
        <f t="shared" si="179"/>
        <v>0</v>
      </c>
      <c r="AG741" s="6">
        <f t="shared" si="180"/>
        <v>0</v>
      </c>
      <c r="AH741" s="6">
        <f t="shared" si="169"/>
        <v>-60</v>
      </c>
      <c r="AI741" s="3"/>
      <c r="AJ741" s="3" t="e">
        <f>_xlfn.XLOOKUP(K741,工作表1!A:A,工作表1!C:C)</f>
        <v>#N/A</v>
      </c>
      <c r="AK741" s="3"/>
      <c r="AL741" s="6">
        <f t="shared" si="170"/>
        <v>0</v>
      </c>
      <c r="AM741" s="6">
        <f t="shared" si="171"/>
        <v>0</v>
      </c>
      <c r="AN741" s="6">
        <f t="shared" si="172"/>
        <v>0</v>
      </c>
      <c r="AO741" s="6">
        <f t="shared" si="173"/>
        <v>0</v>
      </c>
      <c r="AP741" s="6">
        <f t="shared" si="174"/>
        <v>0</v>
      </c>
      <c r="AQ741" s="6">
        <f t="shared" si="175"/>
        <v>0</v>
      </c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  <c r="BC741" s="6"/>
      <c r="BD741" s="6"/>
      <c r="BE741" s="6"/>
      <c r="BF741" s="6"/>
      <c r="BG741" s="6"/>
      <c r="BH741" s="6"/>
      <c r="BI741" s="6"/>
      <c r="BJ741" s="6"/>
      <c r="BK741" s="6"/>
      <c r="BL741" s="6"/>
      <c r="BM741" s="6"/>
      <c r="BN741" s="6"/>
      <c r="BO741" s="6"/>
      <c r="BP741" s="3">
        <v>60</v>
      </c>
      <c r="BQ741" s="6">
        <f t="shared" si="166"/>
        <v>0</v>
      </c>
    </row>
    <row r="742" spans="1:69" x14ac:dyDescent="0.3">
      <c r="A742" s="3" t="s">
        <v>931</v>
      </c>
      <c r="B742" s="3">
        <v>481</v>
      </c>
      <c r="C742" s="3" t="s">
        <v>1204</v>
      </c>
      <c r="D742" s="3">
        <v>0.75</v>
      </c>
      <c r="E742" s="3">
        <v>140</v>
      </c>
      <c r="F742" s="3" t="s">
        <v>19</v>
      </c>
      <c r="G742" s="3" t="s">
        <v>19</v>
      </c>
      <c r="H742" s="3" t="s">
        <v>510</v>
      </c>
      <c r="I742" s="3"/>
      <c r="J742" s="3" t="s">
        <v>486</v>
      </c>
      <c r="K742" s="3" t="s">
        <v>1213</v>
      </c>
      <c r="L742" s="3" t="s">
        <v>335</v>
      </c>
      <c r="M742" s="3">
        <v>48</v>
      </c>
      <c r="N742" s="6"/>
      <c r="O742" s="3">
        <v>104</v>
      </c>
      <c r="P742" s="3">
        <v>104</v>
      </c>
      <c r="Q742" s="3">
        <v>104</v>
      </c>
      <c r="R742" s="3">
        <v>0</v>
      </c>
      <c r="S742" s="3">
        <v>0</v>
      </c>
      <c r="T742" s="3">
        <v>0</v>
      </c>
      <c r="U742" s="3">
        <v>0</v>
      </c>
      <c r="V742" s="3">
        <f t="shared" si="167"/>
        <v>104</v>
      </c>
      <c r="W742" s="3">
        <v>104</v>
      </c>
      <c r="X742" s="3">
        <v>0</v>
      </c>
      <c r="Y742" s="3">
        <v>0</v>
      </c>
      <c r="Z742" s="3">
        <v>0</v>
      </c>
      <c r="AA742" s="3">
        <v>0</v>
      </c>
      <c r="AB742" s="3">
        <f t="shared" si="168"/>
        <v>104</v>
      </c>
      <c r="AC742" s="6">
        <f t="shared" si="176"/>
        <v>-104</v>
      </c>
      <c r="AD742" s="6">
        <f t="shared" si="177"/>
        <v>0</v>
      </c>
      <c r="AE742" s="6">
        <f t="shared" si="178"/>
        <v>0</v>
      </c>
      <c r="AF742" s="6">
        <f t="shared" si="179"/>
        <v>0</v>
      </c>
      <c r="AG742" s="6">
        <f t="shared" si="180"/>
        <v>0</v>
      </c>
      <c r="AH742" s="6">
        <f t="shared" si="169"/>
        <v>-104</v>
      </c>
      <c r="AI742" s="3"/>
      <c r="AJ742" s="3" t="e">
        <f>_xlfn.XLOOKUP(K742,工作表1!A:A,工作表1!C:C)</f>
        <v>#N/A</v>
      </c>
      <c r="AK742" s="3"/>
      <c r="AL742" s="6">
        <f t="shared" si="170"/>
        <v>0</v>
      </c>
      <c r="AM742" s="6">
        <f t="shared" si="171"/>
        <v>0</v>
      </c>
      <c r="AN742" s="6">
        <f t="shared" si="172"/>
        <v>0</v>
      </c>
      <c r="AO742" s="6">
        <f t="shared" si="173"/>
        <v>0</v>
      </c>
      <c r="AP742" s="6">
        <f t="shared" si="174"/>
        <v>0</v>
      </c>
      <c r="AQ742" s="6">
        <f t="shared" si="175"/>
        <v>0</v>
      </c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  <c r="BC742" s="6"/>
      <c r="BD742" s="6"/>
      <c r="BE742" s="6"/>
      <c r="BF742" s="6"/>
      <c r="BG742" s="6"/>
      <c r="BH742" s="6"/>
      <c r="BI742" s="6"/>
      <c r="BJ742" s="6"/>
      <c r="BK742" s="6"/>
      <c r="BL742" s="6"/>
      <c r="BM742" s="6"/>
      <c r="BN742" s="6"/>
      <c r="BO742" s="6"/>
      <c r="BP742" s="3">
        <v>104</v>
      </c>
      <c r="BQ742" s="6">
        <f t="shared" si="166"/>
        <v>0</v>
      </c>
    </row>
    <row r="743" spans="1:69" x14ac:dyDescent="0.3">
      <c r="A743" s="3" t="s">
        <v>931</v>
      </c>
      <c r="B743" s="3">
        <v>481</v>
      </c>
      <c r="C743" s="3" t="s">
        <v>1204</v>
      </c>
      <c r="D743" s="3">
        <v>0.75</v>
      </c>
      <c r="E743" s="3">
        <v>175</v>
      </c>
      <c r="F743" s="3" t="s">
        <v>19</v>
      </c>
      <c r="G743" s="3" t="s">
        <v>19</v>
      </c>
      <c r="H743" s="3" t="s">
        <v>1214</v>
      </c>
      <c r="I743" s="3"/>
      <c r="J743" s="3" t="s">
        <v>486</v>
      </c>
      <c r="K743" s="3" t="s">
        <v>1215</v>
      </c>
      <c r="L743" s="3" t="s">
        <v>335</v>
      </c>
      <c r="M743" s="3">
        <v>14</v>
      </c>
      <c r="N743" s="6"/>
      <c r="O743" s="3">
        <v>16</v>
      </c>
      <c r="P743" s="3">
        <v>16</v>
      </c>
      <c r="Q743" s="3">
        <v>16</v>
      </c>
      <c r="R743" s="3">
        <v>0</v>
      </c>
      <c r="S743" s="3">
        <v>0</v>
      </c>
      <c r="T743" s="3">
        <v>0</v>
      </c>
      <c r="U743" s="3">
        <v>0</v>
      </c>
      <c r="V743" s="3">
        <f t="shared" si="167"/>
        <v>16</v>
      </c>
      <c r="W743" s="3">
        <v>16</v>
      </c>
      <c r="X743" s="3">
        <v>0</v>
      </c>
      <c r="Y743" s="3">
        <v>0</v>
      </c>
      <c r="Z743" s="3">
        <v>0</v>
      </c>
      <c r="AA743" s="3">
        <v>0</v>
      </c>
      <c r="AB743" s="3">
        <f t="shared" si="168"/>
        <v>16</v>
      </c>
      <c r="AC743" s="6">
        <f t="shared" si="176"/>
        <v>-16</v>
      </c>
      <c r="AD743" s="6">
        <f t="shared" si="177"/>
        <v>0</v>
      </c>
      <c r="AE743" s="6">
        <f t="shared" si="178"/>
        <v>0</v>
      </c>
      <c r="AF743" s="6">
        <f t="shared" si="179"/>
        <v>0</v>
      </c>
      <c r="AG743" s="6">
        <f t="shared" si="180"/>
        <v>0</v>
      </c>
      <c r="AH743" s="6">
        <f t="shared" si="169"/>
        <v>-16</v>
      </c>
      <c r="AI743" s="3"/>
      <c r="AJ743" s="3" t="e">
        <f>_xlfn.XLOOKUP(K743,工作表1!A:A,工作表1!C:C)</f>
        <v>#N/A</v>
      </c>
      <c r="AK743" s="3"/>
      <c r="AL743" s="6">
        <f t="shared" si="170"/>
        <v>0</v>
      </c>
      <c r="AM743" s="6">
        <f t="shared" si="171"/>
        <v>0</v>
      </c>
      <c r="AN743" s="6">
        <f t="shared" si="172"/>
        <v>0</v>
      </c>
      <c r="AO743" s="6">
        <f t="shared" si="173"/>
        <v>0</v>
      </c>
      <c r="AP743" s="6">
        <f t="shared" si="174"/>
        <v>0</v>
      </c>
      <c r="AQ743" s="6">
        <f t="shared" si="175"/>
        <v>0</v>
      </c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  <c r="BC743" s="6"/>
      <c r="BD743" s="6"/>
      <c r="BE743" s="6"/>
      <c r="BF743" s="6"/>
      <c r="BG743" s="6"/>
      <c r="BH743" s="6"/>
      <c r="BI743" s="6"/>
      <c r="BJ743" s="6"/>
      <c r="BK743" s="6"/>
      <c r="BL743" s="6"/>
      <c r="BM743" s="6"/>
      <c r="BN743" s="6"/>
      <c r="BO743" s="6"/>
      <c r="BP743" s="3">
        <v>16</v>
      </c>
      <c r="BQ743" s="6">
        <f t="shared" si="166"/>
        <v>0</v>
      </c>
    </row>
    <row r="744" spans="1:69" x14ac:dyDescent="0.3">
      <c r="A744" s="3" t="s">
        <v>931</v>
      </c>
      <c r="B744" s="3">
        <v>481</v>
      </c>
      <c r="C744" s="3" t="s">
        <v>1204</v>
      </c>
      <c r="D744" s="3">
        <v>0.75</v>
      </c>
      <c r="E744" s="3">
        <v>180</v>
      </c>
      <c r="F744" s="3" t="s">
        <v>19</v>
      </c>
      <c r="G744" s="3" t="s">
        <v>19</v>
      </c>
      <c r="H744" s="3" t="s">
        <v>1216</v>
      </c>
      <c r="I744" s="3"/>
      <c r="J744" s="3" t="s">
        <v>486</v>
      </c>
      <c r="K744" s="3" t="s">
        <v>1217</v>
      </c>
      <c r="L744" s="3" t="s">
        <v>335</v>
      </c>
      <c r="M744" s="3">
        <v>0</v>
      </c>
      <c r="N744" s="6"/>
      <c r="O744" s="3">
        <v>8</v>
      </c>
      <c r="P744" s="3">
        <v>8</v>
      </c>
      <c r="Q744" s="3">
        <v>8</v>
      </c>
      <c r="R744" s="3">
        <v>0</v>
      </c>
      <c r="S744" s="3">
        <v>0</v>
      </c>
      <c r="T744" s="3">
        <v>0</v>
      </c>
      <c r="U744" s="3">
        <v>0</v>
      </c>
      <c r="V744" s="3">
        <f t="shared" si="167"/>
        <v>8</v>
      </c>
      <c r="W744" s="3">
        <v>8</v>
      </c>
      <c r="X744" s="3">
        <v>0</v>
      </c>
      <c r="Y744" s="3">
        <v>0</v>
      </c>
      <c r="Z744" s="3">
        <v>0</v>
      </c>
      <c r="AA744" s="3">
        <v>0</v>
      </c>
      <c r="AB744" s="3">
        <f t="shared" si="168"/>
        <v>8</v>
      </c>
      <c r="AC744" s="6">
        <f t="shared" si="176"/>
        <v>-8</v>
      </c>
      <c r="AD744" s="6">
        <f t="shared" si="177"/>
        <v>0</v>
      </c>
      <c r="AE744" s="6">
        <f t="shared" si="178"/>
        <v>0</v>
      </c>
      <c r="AF744" s="6">
        <f t="shared" si="179"/>
        <v>0</v>
      </c>
      <c r="AG744" s="6">
        <f t="shared" si="180"/>
        <v>0</v>
      </c>
      <c r="AH744" s="6">
        <f t="shared" si="169"/>
        <v>-8</v>
      </c>
      <c r="AI744" s="3"/>
      <c r="AJ744" s="3" t="e">
        <f>_xlfn.XLOOKUP(K744,工作表1!A:A,工作表1!C:C)</f>
        <v>#N/A</v>
      </c>
      <c r="AK744" s="3"/>
      <c r="AL744" s="6">
        <f t="shared" si="170"/>
        <v>0</v>
      </c>
      <c r="AM744" s="6">
        <f t="shared" si="171"/>
        <v>0</v>
      </c>
      <c r="AN744" s="6">
        <f t="shared" si="172"/>
        <v>0</v>
      </c>
      <c r="AO744" s="6">
        <f t="shared" si="173"/>
        <v>0</v>
      </c>
      <c r="AP744" s="6">
        <f t="shared" si="174"/>
        <v>0</v>
      </c>
      <c r="AQ744" s="6">
        <f t="shared" si="175"/>
        <v>0</v>
      </c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  <c r="BC744" s="6"/>
      <c r="BD744" s="6"/>
      <c r="BE744" s="6"/>
      <c r="BF744" s="6"/>
      <c r="BG744" s="6"/>
      <c r="BH744" s="6"/>
      <c r="BI744" s="6"/>
      <c r="BJ744" s="6"/>
      <c r="BK744" s="6"/>
      <c r="BL744" s="6"/>
      <c r="BM744" s="6"/>
      <c r="BN744" s="6"/>
      <c r="BO744" s="6"/>
      <c r="BP744" s="3">
        <v>8</v>
      </c>
      <c r="BQ744" s="6">
        <f t="shared" si="166"/>
        <v>0</v>
      </c>
    </row>
    <row r="745" spans="1:69" x14ac:dyDescent="0.3">
      <c r="A745" s="3" t="s">
        <v>931</v>
      </c>
      <c r="B745" s="3">
        <v>481</v>
      </c>
      <c r="C745" s="3" t="s">
        <v>1204</v>
      </c>
      <c r="D745" s="3">
        <v>0.75</v>
      </c>
      <c r="E745" s="3">
        <v>195</v>
      </c>
      <c r="F745" s="3" t="s">
        <v>19</v>
      </c>
      <c r="G745" s="3" t="s">
        <v>19</v>
      </c>
      <c r="H745" s="3" t="s">
        <v>1218</v>
      </c>
      <c r="I745" s="3"/>
      <c r="J745" s="3" t="s">
        <v>486</v>
      </c>
      <c r="K745" s="3" t="s">
        <v>1219</v>
      </c>
      <c r="L745" s="3" t="s">
        <v>335</v>
      </c>
      <c r="M745" s="3">
        <v>0</v>
      </c>
      <c r="N745" s="6"/>
      <c r="O745" s="3">
        <v>12</v>
      </c>
      <c r="P745" s="3">
        <v>12</v>
      </c>
      <c r="Q745" s="3">
        <v>12</v>
      </c>
      <c r="R745" s="3">
        <v>0</v>
      </c>
      <c r="S745" s="3">
        <v>0</v>
      </c>
      <c r="T745" s="3">
        <v>0</v>
      </c>
      <c r="U745" s="3">
        <v>0</v>
      </c>
      <c r="V745" s="3">
        <f t="shared" si="167"/>
        <v>12</v>
      </c>
      <c r="W745" s="3">
        <v>12</v>
      </c>
      <c r="X745" s="3">
        <v>0</v>
      </c>
      <c r="Y745" s="3">
        <v>0</v>
      </c>
      <c r="Z745" s="3">
        <v>0</v>
      </c>
      <c r="AA745" s="3">
        <v>0</v>
      </c>
      <c r="AB745" s="3">
        <f t="shared" si="168"/>
        <v>12</v>
      </c>
      <c r="AC745" s="6">
        <f t="shared" si="176"/>
        <v>-12</v>
      </c>
      <c r="AD745" s="6">
        <f t="shared" si="177"/>
        <v>0</v>
      </c>
      <c r="AE745" s="6">
        <f t="shared" si="178"/>
        <v>0</v>
      </c>
      <c r="AF745" s="6">
        <f t="shared" si="179"/>
        <v>0</v>
      </c>
      <c r="AG745" s="6">
        <f t="shared" si="180"/>
        <v>0</v>
      </c>
      <c r="AH745" s="6">
        <f t="shared" si="169"/>
        <v>-12</v>
      </c>
      <c r="AI745" s="3"/>
      <c r="AJ745" s="3" t="e">
        <f>_xlfn.XLOOKUP(K745,工作表1!A:A,工作表1!C:C)</f>
        <v>#N/A</v>
      </c>
      <c r="AK745" s="3"/>
      <c r="AL745" s="6">
        <f t="shared" si="170"/>
        <v>0</v>
      </c>
      <c r="AM745" s="6">
        <f t="shared" si="171"/>
        <v>0</v>
      </c>
      <c r="AN745" s="6">
        <f t="shared" si="172"/>
        <v>0</v>
      </c>
      <c r="AO745" s="6">
        <f t="shared" si="173"/>
        <v>0</v>
      </c>
      <c r="AP745" s="6">
        <f t="shared" si="174"/>
        <v>0</v>
      </c>
      <c r="AQ745" s="6">
        <f t="shared" si="175"/>
        <v>0</v>
      </c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  <c r="BC745" s="6"/>
      <c r="BD745" s="6"/>
      <c r="BE745" s="6"/>
      <c r="BF745" s="6"/>
      <c r="BG745" s="6"/>
      <c r="BH745" s="6"/>
      <c r="BI745" s="6"/>
      <c r="BJ745" s="6"/>
      <c r="BK745" s="6"/>
      <c r="BL745" s="6"/>
      <c r="BM745" s="6"/>
      <c r="BN745" s="6"/>
      <c r="BO745" s="6"/>
      <c r="BP745" s="3">
        <v>12</v>
      </c>
      <c r="BQ745" s="6">
        <f t="shared" si="166"/>
        <v>0</v>
      </c>
    </row>
    <row r="746" spans="1:69" x14ac:dyDescent="0.3">
      <c r="A746" s="3" t="s">
        <v>931</v>
      </c>
      <c r="B746" s="3">
        <v>481</v>
      </c>
      <c r="C746" s="3" t="s">
        <v>1204</v>
      </c>
      <c r="D746" s="3">
        <v>0.625</v>
      </c>
      <c r="E746" s="3">
        <v>110</v>
      </c>
      <c r="F746" s="3" t="s">
        <v>19</v>
      </c>
      <c r="G746" s="3" t="s">
        <v>19</v>
      </c>
      <c r="H746" s="3" t="s">
        <v>528</v>
      </c>
      <c r="I746" s="3"/>
      <c r="J746" s="3" t="s">
        <v>486</v>
      </c>
      <c r="K746" s="3" t="s">
        <v>1220</v>
      </c>
      <c r="L746" s="3" t="s">
        <v>335</v>
      </c>
      <c r="M746" s="3">
        <v>0</v>
      </c>
      <c r="N746" s="6"/>
      <c r="O746" s="3">
        <v>8</v>
      </c>
      <c r="P746" s="3">
        <v>8</v>
      </c>
      <c r="Q746" s="3">
        <v>8</v>
      </c>
      <c r="R746" s="3">
        <v>0</v>
      </c>
      <c r="S746" s="3">
        <v>0</v>
      </c>
      <c r="T746" s="3">
        <v>0</v>
      </c>
      <c r="U746" s="3">
        <v>0</v>
      </c>
      <c r="V746" s="3">
        <f t="shared" si="167"/>
        <v>8</v>
      </c>
      <c r="W746" s="3">
        <v>8</v>
      </c>
      <c r="X746" s="3">
        <v>0</v>
      </c>
      <c r="Y746" s="3">
        <v>0</v>
      </c>
      <c r="Z746" s="3">
        <v>0</v>
      </c>
      <c r="AA746" s="3">
        <v>0</v>
      </c>
      <c r="AB746" s="3">
        <f t="shared" si="168"/>
        <v>8</v>
      </c>
      <c r="AC746" s="6">
        <f t="shared" si="176"/>
        <v>-8</v>
      </c>
      <c r="AD746" s="6">
        <f t="shared" si="177"/>
        <v>0</v>
      </c>
      <c r="AE746" s="6">
        <f t="shared" si="178"/>
        <v>0</v>
      </c>
      <c r="AF746" s="6">
        <f t="shared" si="179"/>
        <v>0</v>
      </c>
      <c r="AG746" s="6">
        <f t="shared" si="180"/>
        <v>0</v>
      </c>
      <c r="AH746" s="6">
        <f t="shared" si="169"/>
        <v>-8</v>
      </c>
      <c r="AI746" s="3"/>
      <c r="AJ746" s="3" t="e">
        <f>_xlfn.XLOOKUP(K746,工作表1!A:A,工作表1!C:C)</f>
        <v>#N/A</v>
      </c>
      <c r="AK746" s="3"/>
      <c r="AL746" s="6">
        <f t="shared" si="170"/>
        <v>0</v>
      </c>
      <c r="AM746" s="6">
        <f t="shared" si="171"/>
        <v>0</v>
      </c>
      <c r="AN746" s="6">
        <f t="shared" si="172"/>
        <v>0</v>
      </c>
      <c r="AO746" s="6">
        <f t="shared" si="173"/>
        <v>0</v>
      </c>
      <c r="AP746" s="6">
        <f t="shared" si="174"/>
        <v>0</v>
      </c>
      <c r="AQ746" s="6">
        <f t="shared" si="175"/>
        <v>0</v>
      </c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  <c r="BC746" s="6"/>
      <c r="BD746" s="6"/>
      <c r="BE746" s="6"/>
      <c r="BF746" s="6"/>
      <c r="BG746" s="6"/>
      <c r="BH746" s="6"/>
      <c r="BI746" s="6"/>
      <c r="BJ746" s="6"/>
      <c r="BK746" s="6"/>
      <c r="BL746" s="6"/>
      <c r="BM746" s="6"/>
      <c r="BN746" s="6"/>
      <c r="BO746" s="6"/>
      <c r="BP746" s="3">
        <v>8</v>
      </c>
      <c r="BQ746" s="6">
        <f t="shared" si="166"/>
        <v>0</v>
      </c>
    </row>
    <row r="747" spans="1:69" x14ac:dyDescent="0.3">
      <c r="A747" s="3" t="s">
        <v>931</v>
      </c>
      <c r="B747" s="3">
        <v>481</v>
      </c>
      <c r="C747" s="3" t="s">
        <v>1204</v>
      </c>
      <c r="D747" s="3">
        <v>0.625</v>
      </c>
      <c r="E747" s="3">
        <v>100</v>
      </c>
      <c r="F747" s="3" t="s">
        <v>19</v>
      </c>
      <c r="G747" s="3" t="s">
        <v>19</v>
      </c>
      <c r="H747" s="3" t="s">
        <v>530</v>
      </c>
      <c r="I747" s="3"/>
      <c r="J747" s="3" t="s">
        <v>486</v>
      </c>
      <c r="K747" s="3" t="s">
        <v>1221</v>
      </c>
      <c r="L747" s="3" t="s">
        <v>335</v>
      </c>
      <c r="M747" s="3">
        <v>0</v>
      </c>
      <c r="N747" s="6"/>
      <c r="O747" s="3">
        <v>28</v>
      </c>
      <c r="P747" s="3">
        <v>36</v>
      </c>
      <c r="Q747" s="3">
        <v>36</v>
      </c>
      <c r="R747" s="3">
        <v>0</v>
      </c>
      <c r="S747" s="3">
        <v>0</v>
      </c>
      <c r="T747" s="3">
        <v>0</v>
      </c>
      <c r="U747" s="3">
        <v>0</v>
      </c>
      <c r="V747" s="3">
        <f t="shared" si="167"/>
        <v>36</v>
      </c>
      <c r="W747" s="3">
        <v>36</v>
      </c>
      <c r="X747" s="3">
        <v>0</v>
      </c>
      <c r="Y747" s="3">
        <v>0</v>
      </c>
      <c r="Z747" s="3">
        <v>0</v>
      </c>
      <c r="AA747" s="3">
        <v>0</v>
      </c>
      <c r="AB747" s="3">
        <f t="shared" si="168"/>
        <v>36</v>
      </c>
      <c r="AC747" s="6">
        <f t="shared" si="176"/>
        <v>-36</v>
      </c>
      <c r="AD747" s="6">
        <f t="shared" si="177"/>
        <v>0</v>
      </c>
      <c r="AE747" s="6">
        <f t="shared" si="178"/>
        <v>0</v>
      </c>
      <c r="AF747" s="6">
        <f t="shared" si="179"/>
        <v>0</v>
      </c>
      <c r="AG747" s="6">
        <f t="shared" si="180"/>
        <v>0</v>
      </c>
      <c r="AH747" s="6">
        <f t="shared" si="169"/>
        <v>-36</v>
      </c>
      <c r="AI747" s="3"/>
      <c r="AJ747" s="3" t="e">
        <f>_xlfn.XLOOKUP(K747,工作表1!A:A,工作表1!C:C)</f>
        <v>#N/A</v>
      </c>
      <c r="AK747" s="3"/>
      <c r="AL747" s="6">
        <f t="shared" si="170"/>
        <v>0</v>
      </c>
      <c r="AM747" s="6">
        <f t="shared" si="171"/>
        <v>0</v>
      </c>
      <c r="AN747" s="6">
        <f t="shared" si="172"/>
        <v>0</v>
      </c>
      <c r="AO747" s="6">
        <f t="shared" si="173"/>
        <v>0</v>
      </c>
      <c r="AP747" s="6">
        <f t="shared" si="174"/>
        <v>0</v>
      </c>
      <c r="AQ747" s="6">
        <f t="shared" si="175"/>
        <v>0</v>
      </c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  <c r="BC747" s="6"/>
      <c r="BD747" s="6"/>
      <c r="BE747" s="6"/>
      <c r="BF747" s="6"/>
      <c r="BG747" s="6"/>
      <c r="BH747" s="6"/>
      <c r="BI747" s="6"/>
      <c r="BJ747" s="6"/>
      <c r="BK747" s="6"/>
      <c r="BL747" s="6"/>
      <c r="BM747" s="6"/>
      <c r="BN747" s="6"/>
      <c r="BO747" s="6"/>
      <c r="BP747" s="3">
        <v>36</v>
      </c>
      <c r="BQ747" s="6">
        <f t="shared" si="166"/>
        <v>0</v>
      </c>
    </row>
    <row r="748" spans="1:69" x14ac:dyDescent="0.3">
      <c r="A748" s="3" t="s">
        <v>931</v>
      </c>
      <c r="B748" s="3">
        <v>481</v>
      </c>
      <c r="C748" s="3" t="s">
        <v>1204</v>
      </c>
      <c r="D748" s="3">
        <v>0.625</v>
      </c>
      <c r="E748" s="3">
        <v>125</v>
      </c>
      <c r="F748" s="3" t="s">
        <v>19</v>
      </c>
      <c r="G748" s="3" t="s">
        <v>19</v>
      </c>
      <c r="H748" s="3" t="s">
        <v>1222</v>
      </c>
      <c r="I748" s="3"/>
      <c r="J748" s="3" t="s">
        <v>486</v>
      </c>
      <c r="K748" s="3" t="s">
        <v>1223</v>
      </c>
      <c r="L748" s="3" t="s">
        <v>335</v>
      </c>
      <c r="M748" s="3">
        <v>0</v>
      </c>
      <c r="N748" s="6"/>
      <c r="O748" s="3">
        <v>4</v>
      </c>
      <c r="P748" s="3">
        <v>4</v>
      </c>
      <c r="Q748" s="3">
        <v>4</v>
      </c>
      <c r="R748" s="3">
        <v>0</v>
      </c>
      <c r="S748" s="3">
        <v>0</v>
      </c>
      <c r="T748" s="3">
        <v>0</v>
      </c>
      <c r="U748" s="3">
        <v>0</v>
      </c>
      <c r="V748" s="3">
        <f t="shared" si="167"/>
        <v>4</v>
      </c>
      <c r="W748" s="3">
        <v>4</v>
      </c>
      <c r="X748" s="3">
        <v>0</v>
      </c>
      <c r="Y748" s="3">
        <v>0</v>
      </c>
      <c r="Z748" s="3">
        <v>0</v>
      </c>
      <c r="AA748" s="3">
        <v>0</v>
      </c>
      <c r="AB748" s="3">
        <f t="shared" si="168"/>
        <v>4</v>
      </c>
      <c r="AC748" s="6">
        <f t="shared" si="176"/>
        <v>-4</v>
      </c>
      <c r="AD748" s="6">
        <f t="shared" si="177"/>
        <v>0</v>
      </c>
      <c r="AE748" s="6">
        <f t="shared" si="178"/>
        <v>0</v>
      </c>
      <c r="AF748" s="6">
        <f t="shared" si="179"/>
        <v>0</v>
      </c>
      <c r="AG748" s="6">
        <f t="shared" si="180"/>
        <v>0</v>
      </c>
      <c r="AH748" s="6">
        <f t="shared" si="169"/>
        <v>-4</v>
      </c>
      <c r="AI748" s="3"/>
      <c r="AJ748" s="3" t="e">
        <f>_xlfn.XLOOKUP(K748,工作表1!A:A,工作表1!C:C)</f>
        <v>#N/A</v>
      </c>
      <c r="AK748" s="3"/>
      <c r="AL748" s="6">
        <f t="shared" si="170"/>
        <v>0</v>
      </c>
      <c r="AM748" s="6">
        <f t="shared" si="171"/>
        <v>0</v>
      </c>
      <c r="AN748" s="6">
        <f t="shared" si="172"/>
        <v>0</v>
      </c>
      <c r="AO748" s="6">
        <f t="shared" si="173"/>
        <v>0</v>
      </c>
      <c r="AP748" s="6">
        <f t="shared" si="174"/>
        <v>0</v>
      </c>
      <c r="AQ748" s="6">
        <f t="shared" si="175"/>
        <v>0</v>
      </c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  <c r="BC748" s="6"/>
      <c r="BD748" s="6"/>
      <c r="BE748" s="6"/>
      <c r="BF748" s="6"/>
      <c r="BG748" s="6"/>
      <c r="BH748" s="6"/>
      <c r="BI748" s="6"/>
      <c r="BJ748" s="6"/>
      <c r="BK748" s="6"/>
      <c r="BL748" s="6"/>
      <c r="BM748" s="6"/>
      <c r="BN748" s="6"/>
      <c r="BO748" s="6"/>
      <c r="BP748" s="3">
        <v>4</v>
      </c>
      <c r="BQ748" s="6">
        <f t="shared" si="166"/>
        <v>0</v>
      </c>
    </row>
    <row r="749" spans="1:69" x14ac:dyDescent="0.3">
      <c r="A749" s="5" t="s">
        <v>931</v>
      </c>
      <c r="B749" s="3">
        <v>481</v>
      </c>
      <c r="C749" s="3" t="s">
        <v>1491</v>
      </c>
      <c r="D749" s="3">
        <v>0.625</v>
      </c>
      <c r="E749" s="3">
        <v>125</v>
      </c>
      <c r="F749" s="3" t="s">
        <v>19</v>
      </c>
      <c r="G749" s="3" t="s">
        <v>19</v>
      </c>
      <c r="H749" s="3" t="s">
        <v>1492</v>
      </c>
      <c r="I749" s="3"/>
      <c r="J749" s="3" t="s">
        <v>486</v>
      </c>
      <c r="K749" s="3" t="s">
        <v>1493</v>
      </c>
      <c r="L749" s="3" t="s">
        <v>335</v>
      </c>
      <c r="M749" s="3">
        <v>0</v>
      </c>
      <c r="N749" s="6"/>
      <c r="O749" s="3">
        <v>0</v>
      </c>
      <c r="P749" s="3">
        <v>8</v>
      </c>
      <c r="Q749" s="3">
        <v>8</v>
      </c>
      <c r="R749" s="3">
        <v>0</v>
      </c>
      <c r="S749" s="3">
        <v>0</v>
      </c>
      <c r="T749" s="3">
        <v>0</v>
      </c>
      <c r="U749" s="3">
        <v>0</v>
      </c>
      <c r="V749" s="3">
        <f t="shared" si="167"/>
        <v>8</v>
      </c>
      <c r="W749" s="3">
        <v>8</v>
      </c>
      <c r="X749" s="3">
        <v>0</v>
      </c>
      <c r="Y749" s="3">
        <v>0</v>
      </c>
      <c r="Z749" s="3">
        <v>0</v>
      </c>
      <c r="AA749" s="3">
        <v>0</v>
      </c>
      <c r="AB749" s="3">
        <f t="shared" si="168"/>
        <v>8</v>
      </c>
      <c r="AC749" s="6">
        <f t="shared" si="176"/>
        <v>-8</v>
      </c>
      <c r="AD749" s="6">
        <f t="shared" si="177"/>
        <v>0</v>
      </c>
      <c r="AE749" s="6">
        <f t="shared" si="178"/>
        <v>0</v>
      </c>
      <c r="AF749" s="6">
        <f t="shared" si="179"/>
        <v>0</v>
      </c>
      <c r="AG749" s="6">
        <f t="shared" si="180"/>
        <v>0</v>
      </c>
      <c r="AH749" s="6">
        <f t="shared" si="169"/>
        <v>-8</v>
      </c>
      <c r="AI749" s="3"/>
      <c r="AJ749" s="3" t="e">
        <f>_xlfn.XLOOKUP(K749,工作表1!A:A,工作表1!C:C)</f>
        <v>#N/A</v>
      </c>
      <c r="AK749" s="3"/>
      <c r="AL749" s="6">
        <f t="shared" si="170"/>
        <v>0</v>
      </c>
      <c r="AM749" s="6">
        <f t="shared" si="171"/>
        <v>0</v>
      </c>
      <c r="AN749" s="6">
        <f t="shared" si="172"/>
        <v>0</v>
      </c>
      <c r="AO749" s="6">
        <f t="shared" si="173"/>
        <v>0</v>
      </c>
      <c r="AP749" s="6">
        <f t="shared" si="174"/>
        <v>0</v>
      </c>
      <c r="AQ749" s="6">
        <f t="shared" si="175"/>
        <v>0</v>
      </c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  <c r="BC749" s="6"/>
      <c r="BD749" s="6"/>
      <c r="BE749" s="6"/>
      <c r="BF749" s="6"/>
      <c r="BG749" s="6"/>
      <c r="BH749" s="6"/>
      <c r="BI749" s="6"/>
      <c r="BJ749" s="6"/>
      <c r="BK749" s="6"/>
      <c r="BL749" s="6"/>
      <c r="BM749" s="6"/>
      <c r="BN749" s="6"/>
      <c r="BO749" s="6"/>
      <c r="BP749" s="3">
        <v>8</v>
      </c>
      <c r="BQ749" s="6">
        <f t="shared" si="166"/>
        <v>0</v>
      </c>
    </row>
    <row r="750" spans="1:69" x14ac:dyDescent="0.3">
      <c r="A750" s="3" t="s">
        <v>931</v>
      </c>
      <c r="B750" s="3">
        <v>610</v>
      </c>
      <c r="C750" s="3" t="s">
        <v>1224</v>
      </c>
      <c r="D750" s="3">
        <v>1</v>
      </c>
      <c r="E750" s="3" t="s">
        <v>19</v>
      </c>
      <c r="F750" s="3" t="s">
        <v>41</v>
      </c>
      <c r="G750" s="3" t="s">
        <v>19</v>
      </c>
      <c r="H750" s="3" t="s">
        <v>59</v>
      </c>
      <c r="I750" s="3">
        <v>6.35</v>
      </c>
      <c r="J750" s="3" t="s">
        <v>91</v>
      </c>
      <c r="K750" s="3" t="s">
        <v>1225</v>
      </c>
      <c r="L750" s="3" t="s">
        <v>24</v>
      </c>
      <c r="M750" s="3">
        <v>2</v>
      </c>
      <c r="N750" s="6"/>
      <c r="O750" s="3">
        <v>2</v>
      </c>
      <c r="P750" s="3">
        <v>2</v>
      </c>
      <c r="Q750" s="3">
        <v>2</v>
      </c>
      <c r="R750" s="3">
        <v>0</v>
      </c>
      <c r="S750" s="3">
        <v>0</v>
      </c>
      <c r="T750" s="3">
        <v>0</v>
      </c>
      <c r="U750" s="3">
        <v>0</v>
      </c>
      <c r="V750" s="3">
        <f t="shared" si="167"/>
        <v>2</v>
      </c>
      <c r="W750" s="3">
        <v>2</v>
      </c>
      <c r="X750" s="3">
        <v>0</v>
      </c>
      <c r="Y750" s="3">
        <v>0</v>
      </c>
      <c r="Z750" s="3">
        <v>0</v>
      </c>
      <c r="AA750" s="3">
        <v>0</v>
      </c>
      <c r="AB750" s="3">
        <f t="shared" si="168"/>
        <v>2</v>
      </c>
      <c r="AC750" s="6">
        <f t="shared" si="176"/>
        <v>-2</v>
      </c>
      <c r="AD750" s="6">
        <f t="shared" si="177"/>
        <v>0</v>
      </c>
      <c r="AE750" s="6">
        <f t="shared" si="178"/>
        <v>0</v>
      </c>
      <c r="AF750" s="6">
        <f t="shared" si="179"/>
        <v>0</v>
      </c>
      <c r="AG750" s="6">
        <f t="shared" si="180"/>
        <v>0</v>
      </c>
      <c r="AH750" s="6">
        <f t="shared" si="169"/>
        <v>-2</v>
      </c>
      <c r="AI750" s="3"/>
      <c r="AJ750" s="3" t="e">
        <f>_xlfn.XLOOKUP(K750,工作表1!A:A,工作表1!C:C)</f>
        <v>#N/A</v>
      </c>
      <c r="AK750" s="3"/>
      <c r="AL750" s="6">
        <f t="shared" si="170"/>
        <v>0</v>
      </c>
      <c r="AM750" s="6">
        <f t="shared" si="171"/>
        <v>0</v>
      </c>
      <c r="AN750" s="6">
        <f t="shared" si="172"/>
        <v>0</v>
      </c>
      <c r="AO750" s="6">
        <f t="shared" si="173"/>
        <v>0</v>
      </c>
      <c r="AP750" s="6">
        <f t="shared" si="174"/>
        <v>0</v>
      </c>
      <c r="AQ750" s="6">
        <f t="shared" si="175"/>
        <v>0</v>
      </c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  <c r="BC750" s="6"/>
      <c r="BD750" s="6"/>
      <c r="BE750" s="6"/>
      <c r="BF750" s="6"/>
      <c r="BG750" s="6"/>
      <c r="BH750" s="6"/>
      <c r="BI750" s="6"/>
      <c r="BJ750" s="6"/>
      <c r="BK750" s="6"/>
      <c r="BL750" s="6"/>
      <c r="BM750" s="6"/>
      <c r="BN750" s="6"/>
      <c r="BO750" s="6"/>
      <c r="BP750" s="3">
        <v>2</v>
      </c>
      <c r="BQ750" s="6">
        <f t="shared" si="166"/>
        <v>0</v>
      </c>
    </row>
    <row r="751" spans="1:69" x14ac:dyDescent="0.3">
      <c r="A751" s="3" t="s">
        <v>931</v>
      </c>
      <c r="B751" s="3">
        <v>610</v>
      </c>
      <c r="C751" s="3" t="s">
        <v>1226</v>
      </c>
      <c r="D751" s="3">
        <v>1</v>
      </c>
      <c r="E751" s="3" t="s">
        <v>19</v>
      </c>
      <c r="F751" s="3" t="s">
        <v>41</v>
      </c>
      <c r="G751" s="3" t="s">
        <v>19</v>
      </c>
      <c r="H751" s="3" t="s">
        <v>59</v>
      </c>
      <c r="I751" s="3">
        <v>6.35</v>
      </c>
      <c r="J751" s="3" t="s">
        <v>91</v>
      </c>
      <c r="K751" s="3" t="s">
        <v>1227</v>
      </c>
      <c r="L751" s="3" t="s">
        <v>24</v>
      </c>
      <c r="M751" s="3">
        <v>14</v>
      </c>
      <c r="N751" s="6"/>
      <c r="O751" s="3">
        <v>13</v>
      </c>
      <c r="P751" s="3">
        <v>13</v>
      </c>
      <c r="Q751" s="3">
        <v>13</v>
      </c>
      <c r="R751" s="3">
        <v>0</v>
      </c>
      <c r="S751" s="3">
        <v>0</v>
      </c>
      <c r="T751" s="3">
        <v>0</v>
      </c>
      <c r="U751" s="3">
        <v>0</v>
      </c>
      <c r="V751" s="3">
        <f t="shared" si="167"/>
        <v>13</v>
      </c>
      <c r="W751" s="3">
        <v>13</v>
      </c>
      <c r="X751" s="3">
        <v>0</v>
      </c>
      <c r="Y751" s="3">
        <v>0</v>
      </c>
      <c r="Z751" s="3">
        <v>0</v>
      </c>
      <c r="AA751" s="3">
        <v>0</v>
      </c>
      <c r="AB751" s="3">
        <f t="shared" si="168"/>
        <v>13</v>
      </c>
      <c r="AC751" s="6">
        <f t="shared" si="176"/>
        <v>-13</v>
      </c>
      <c r="AD751" s="6">
        <f t="shared" si="177"/>
        <v>0</v>
      </c>
      <c r="AE751" s="6">
        <f t="shared" si="178"/>
        <v>0</v>
      </c>
      <c r="AF751" s="6">
        <f t="shared" si="179"/>
        <v>0</v>
      </c>
      <c r="AG751" s="6">
        <f t="shared" si="180"/>
        <v>0</v>
      </c>
      <c r="AH751" s="6">
        <f t="shared" si="169"/>
        <v>-13</v>
      </c>
      <c r="AI751" s="3"/>
      <c r="AJ751" s="3" t="e">
        <f>_xlfn.XLOOKUP(K751,工作表1!A:A,工作表1!C:C)</f>
        <v>#N/A</v>
      </c>
      <c r="AK751" s="3"/>
      <c r="AL751" s="6">
        <f t="shared" si="170"/>
        <v>0</v>
      </c>
      <c r="AM751" s="6">
        <f t="shared" si="171"/>
        <v>0</v>
      </c>
      <c r="AN751" s="6">
        <f t="shared" si="172"/>
        <v>0</v>
      </c>
      <c r="AO751" s="6">
        <f t="shared" si="173"/>
        <v>0</v>
      </c>
      <c r="AP751" s="6">
        <f t="shared" si="174"/>
        <v>0</v>
      </c>
      <c r="AQ751" s="6">
        <f t="shared" si="175"/>
        <v>0</v>
      </c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  <c r="BC751" s="6"/>
      <c r="BD751" s="6"/>
      <c r="BE751" s="6"/>
      <c r="BF751" s="6"/>
      <c r="BG751" s="6"/>
      <c r="BH751" s="6"/>
      <c r="BI751" s="6"/>
      <c r="BJ751" s="6"/>
      <c r="BK751" s="6"/>
      <c r="BL751" s="6"/>
      <c r="BM751" s="6"/>
      <c r="BN751" s="6"/>
      <c r="BO751" s="6"/>
      <c r="BP751" s="3">
        <v>13</v>
      </c>
      <c r="BQ751" s="6">
        <f t="shared" si="166"/>
        <v>0</v>
      </c>
    </row>
    <row r="752" spans="1:69" x14ac:dyDescent="0.3">
      <c r="A752" s="3" t="s">
        <v>931</v>
      </c>
      <c r="B752" s="3">
        <v>610</v>
      </c>
      <c r="C752" s="3" t="s">
        <v>1226</v>
      </c>
      <c r="D752" s="3">
        <v>0.75</v>
      </c>
      <c r="E752" s="3" t="s">
        <v>19</v>
      </c>
      <c r="F752" s="3" t="s">
        <v>41</v>
      </c>
      <c r="G752" s="3" t="s">
        <v>19</v>
      </c>
      <c r="H752" s="3" t="s">
        <v>61</v>
      </c>
      <c r="I752" s="3">
        <v>5.56</v>
      </c>
      <c r="J752" s="3" t="s">
        <v>91</v>
      </c>
      <c r="K752" s="3" t="s">
        <v>1228</v>
      </c>
      <c r="L752" s="3" t="s">
        <v>24</v>
      </c>
      <c r="M752" s="3">
        <v>8</v>
      </c>
      <c r="N752" s="6"/>
      <c r="O752" s="3">
        <v>7</v>
      </c>
      <c r="P752" s="3">
        <v>7</v>
      </c>
      <c r="Q752" s="3">
        <v>7</v>
      </c>
      <c r="R752" s="3">
        <v>0</v>
      </c>
      <c r="S752" s="3">
        <v>0</v>
      </c>
      <c r="T752" s="3">
        <v>0</v>
      </c>
      <c r="U752" s="3">
        <v>0</v>
      </c>
      <c r="V752" s="3">
        <f t="shared" si="167"/>
        <v>7</v>
      </c>
      <c r="W752" s="3">
        <v>7</v>
      </c>
      <c r="X752" s="3">
        <v>0</v>
      </c>
      <c r="Y752" s="3">
        <v>0</v>
      </c>
      <c r="Z752" s="3">
        <v>0</v>
      </c>
      <c r="AA752" s="3">
        <v>0</v>
      </c>
      <c r="AB752" s="3">
        <f t="shared" si="168"/>
        <v>7</v>
      </c>
      <c r="AC752" s="6">
        <f t="shared" si="176"/>
        <v>-7</v>
      </c>
      <c r="AD752" s="6">
        <f t="shared" si="177"/>
        <v>0</v>
      </c>
      <c r="AE752" s="6">
        <f t="shared" si="178"/>
        <v>0</v>
      </c>
      <c r="AF752" s="6">
        <f t="shared" si="179"/>
        <v>0</v>
      </c>
      <c r="AG752" s="6">
        <f t="shared" si="180"/>
        <v>0</v>
      </c>
      <c r="AH752" s="6">
        <f t="shared" si="169"/>
        <v>-7</v>
      </c>
      <c r="AI752" s="3"/>
      <c r="AJ752" s="3" t="e">
        <f>_xlfn.XLOOKUP(K752,工作表1!A:A,工作表1!C:C)</f>
        <v>#N/A</v>
      </c>
      <c r="AK752" s="3"/>
      <c r="AL752" s="6">
        <f t="shared" si="170"/>
        <v>0</v>
      </c>
      <c r="AM752" s="6">
        <f t="shared" si="171"/>
        <v>0</v>
      </c>
      <c r="AN752" s="6">
        <f t="shared" si="172"/>
        <v>0</v>
      </c>
      <c r="AO752" s="6">
        <f t="shared" si="173"/>
        <v>0</v>
      </c>
      <c r="AP752" s="6">
        <f t="shared" si="174"/>
        <v>0</v>
      </c>
      <c r="AQ752" s="6">
        <f t="shared" si="175"/>
        <v>0</v>
      </c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  <c r="BC752" s="6"/>
      <c r="BD752" s="6"/>
      <c r="BE752" s="6"/>
      <c r="BF752" s="6"/>
      <c r="BG752" s="6"/>
      <c r="BH752" s="6"/>
      <c r="BI752" s="6"/>
      <c r="BJ752" s="6"/>
      <c r="BK752" s="6"/>
      <c r="BL752" s="6"/>
      <c r="BM752" s="6"/>
      <c r="BN752" s="6"/>
      <c r="BO752" s="6"/>
      <c r="BP752" s="3">
        <v>7</v>
      </c>
      <c r="BQ752" s="6">
        <f t="shared" si="166"/>
        <v>0</v>
      </c>
    </row>
    <row r="753" spans="1:69" x14ac:dyDescent="0.3">
      <c r="A753" s="3" t="s">
        <v>931</v>
      </c>
      <c r="B753" s="3">
        <v>610</v>
      </c>
      <c r="C753" s="3" t="s">
        <v>1473</v>
      </c>
      <c r="D753" s="3">
        <v>6</v>
      </c>
      <c r="E753" s="3" t="s">
        <v>19</v>
      </c>
      <c r="F753" s="3" t="s">
        <v>19</v>
      </c>
      <c r="G753" s="3" t="s">
        <v>19</v>
      </c>
      <c r="H753" s="3" t="s">
        <v>443</v>
      </c>
      <c r="I753" s="3"/>
      <c r="J753" s="3" t="s">
        <v>91</v>
      </c>
      <c r="K753" s="3" t="s">
        <v>1230</v>
      </c>
      <c r="L753" s="3" t="s">
        <v>1467</v>
      </c>
      <c r="M753" s="3">
        <v>3</v>
      </c>
      <c r="N753" s="6"/>
      <c r="O753" s="3">
        <v>3</v>
      </c>
      <c r="P753" s="3">
        <v>3</v>
      </c>
      <c r="Q753" s="3">
        <v>3</v>
      </c>
      <c r="R753" s="3">
        <v>0</v>
      </c>
      <c r="S753" s="3">
        <v>0</v>
      </c>
      <c r="T753" s="3">
        <v>0</v>
      </c>
      <c r="U753" s="3">
        <v>0</v>
      </c>
      <c r="V753" s="3">
        <f t="shared" si="167"/>
        <v>3</v>
      </c>
      <c r="W753" s="3">
        <v>3</v>
      </c>
      <c r="X753" s="3">
        <v>0</v>
      </c>
      <c r="Y753" s="3">
        <v>0</v>
      </c>
      <c r="Z753" s="3">
        <v>0</v>
      </c>
      <c r="AA753" s="3">
        <v>0</v>
      </c>
      <c r="AB753" s="3">
        <f t="shared" si="168"/>
        <v>3</v>
      </c>
      <c r="AC753" s="6">
        <f t="shared" si="176"/>
        <v>-3</v>
      </c>
      <c r="AD753" s="6">
        <f t="shared" si="177"/>
        <v>0</v>
      </c>
      <c r="AE753" s="6">
        <f t="shared" si="178"/>
        <v>0</v>
      </c>
      <c r="AF753" s="6">
        <f t="shared" si="179"/>
        <v>0</v>
      </c>
      <c r="AG753" s="6">
        <f t="shared" si="180"/>
        <v>0</v>
      </c>
      <c r="AH753" s="6">
        <f t="shared" si="169"/>
        <v>-3</v>
      </c>
      <c r="AI753" s="3"/>
      <c r="AJ753" s="3" t="e">
        <f>_xlfn.XLOOKUP(K753,工作表1!A:A,工作表1!C:C)</f>
        <v>#N/A</v>
      </c>
      <c r="AK753" s="3"/>
      <c r="AL753" s="6">
        <f t="shared" si="170"/>
        <v>0</v>
      </c>
      <c r="AM753" s="6">
        <f t="shared" si="171"/>
        <v>0</v>
      </c>
      <c r="AN753" s="6">
        <f t="shared" si="172"/>
        <v>0</v>
      </c>
      <c r="AO753" s="6">
        <f t="shared" si="173"/>
        <v>0</v>
      </c>
      <c r="AP753" s="6">
        <f t="shared" si="174"/>
        <v>0</v>
      </c>
      <c r="AQ753" s="6">
        <f t="shared" si="175"/>
        <v>0</v>
      </c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  <c r="BC753" s="6"/>
      <c r="BD753" s="6"/>
      <c r="BE753" s="6"/>
      <c r="BF753" s="6"/>
      <c r="BG753" s="6"/>
      <c r="BH753" s="6"/>
      <c r="BI753" s="6"/>
      <c r="BJ753" s="6"/>
      <c r="BK753" s="6"/>
      <c r="BL753" s="6"/>
      <c r="BM753" s="6"/>
      <c r="BN753" s="6"/>
      <c r="BO753" s="6"/>
      <c r="BP753" s="3">
        <v>3</v>
      </c>
      <c r="BQ753" s="6">
        <f t="shared" si="166"/>
        <v>0</v>
      </c>
    </row>
    <row r="754" spans="1:69" x14ac:dyDescent="0.3">
      <c r="A754" s="3" t="s">
        <v>931</v>
      </c>
      <c r="B754" s="3">
        <v>610</v>
      </c>
      <c r="C754" s="3" t="s">
        <v>1229</v>
      </c>
      <c r="D754" s="3">
        <v>4</v>
      </c>
      <c r="E754" s="3" t="s">
        <v>19</v>
      </c>
      <c r="F754" s="3" t="s">
        <v>19</v>
      </c>
      <c r="G754" s="3" t="s">
        <v>19</v>
      </c>
      <c r="H754" s="3" t="s">
        <v>336</v>
      </c>
      <c r="I754" s="3"/>
      <c r="J754" s="3" t="s">
        <v>91</v>
      </c>
      <c r="K754" s="3" t="s">
        <v>1231</v>
      </c>
      <c r="L754" s="3" t="s">
        <v>1467</v>
      </c>
      <c r="M754" s="3">
        <v>2</v>
      </c>
      <c r="N754" s="6"/>
      <c r="O754" s="3">
        <v>2</v>
      </c>
      <c r="P754" s="3">
        <v>2</v>
      </c>
      <c r="Q754" s="3">
        <v>2</v>
      </c>
      <c r="R754" s="3">
        <v>0</v>
      </c>
      <c r="S754" s="3">
        <v>0</v>
      </c>
      <c r="T754" s="3">
        <v>0</v>
      </c>
      <c r="U754" s="3">
        <v>0</v>
      </c>
      <c r="V754" s="3">
        <f t="shared" si="167"/>
        <v>2</v>
      </c>
      <c r="W754" s="3">
        <v>2</v>
      </c>
      <c r="X754" s="3">
        <v>0</v>
      </c>
      <c r="Y754" s="3">
        <v>0</v>
      </c>
      <c r="Z754" s="3">
        <v>0</v>
      </c>
      <c r="AA754" s="3">
        <v>0</v>
      </c>
      <c r="AB754" s="3">
        <f t="shared" si="168"/>
        <v>2</v>
      </c>
      <c r="AC754" s="6">
        <f t="shared" si="176"/>
        <v>-2</v>
      </c>
      <c r="AD754" s="6">
        <f t="shared" si="177"/>
        <v>0</v>
      </c>
      <c r="AE754" s="6">
        <f t="shared" si="178"/>
        <v>0</v>
      </c>
      <c r="AF754" s="6">
        <f t="shared" si="179"/>
        <v>0</v>
      </c>
      <c r="AG754" s="6">
        <f t="shared" si="180"/>
        <v>0</v>
      </c>
      <c r="AH754" s="6">
        <f t="shared" si="169"/>
        <v>-2</v>
      </c>
      <c r="AI754" s="3"/>
      <c r="AJ754" s="3" t="e">
        <f>_xlfn.XLOOKUP(K754,工作表1!A:A,工作表1!C:C)</f>
        <v>#N/A</v>
      </c>
      <c r="AK754" s="3"/>
      <c r="AL754" s="6">
        <f t="shared" si="170"/>
        <v>0</v>
      </c>
      <c r="AM754" s="6">
        <f t="shared" si="171"/>
        <v>0</v>
      </c>
      <c r="AN754" s="6">
        <f t="shared" si="172"/>
        <v>0</v>
      </c>
      <c r="AO754" s="6">
        <f t="shared" si="173"/>
        <v>0</v>
      </c>
      <c r="AP754" s="6">
        <f t="shared" si="174"/>
        <v>0</v>
      </c>
      <c r="AQ754" s="6">
        <f t="shared" si="175"/>
        <v>0</v>
      </c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  <c r="BC754" s="6"/>
      <c r="BD754" s="6"/>
      <c r="BE754" s="6"/>
      <c r="BF754" s="6"/>
      <c r="BG754" s="6"/>
      <c r="BH754" s="6"/>
      <c r="BI754" s="6"/>
      <c r="BJ754" s="6"/>
      <c r="BK754" s="6"/>
      <c r="BL754" s="6"/>
      <c r="BM754" s="6"/>
      <c r="BN754" s="6"/>
      <c r="BO754" s="6"/>
      <c r="BP754" s="3">
        <v>2</v>
      </c>
      <c r="BQ754" s="6">
        <f t="shared" si="166"/>
        <v>0</v>
      </c>
    </row>
    <row r="755" spans="1:69" x14ac:dyDescent="0.3">
      <c r="A755" s="3" t="s">
        <v>931</v>
      </c>
      <c r="B755" s="3">
        <v>610</v>
      </c>
      <c r="C755" s="3" t="s">
        <v>1232</v>
      </c>
      <c r="D755" s="3">
        <v>1</v>
      </c>
      <c r="E755" s="3" t="s">
        <v>19</v>
      </c>
      <c r="F755" s="3" t="s">
        <v>19</v>
      </c>
      <c r="G755" s="3" t="s">
        <v>19</v>
      </c>
      <c r="H755" s="3" t="s">
        <v>101</v>
      </c>
      <c r="I755" s="3"/>
      <c r="J755" s="3" t="s">
        <v>91</v>
      </c>
      <c r="K755" s="3" t="s">
        <v>1233</v>
      </c>
      <c r="L755" s="3" t="s">
        <v>24</v>
      </c>
      <c r="M755" s="3">
        <v>4</v>
      </c>
      <c r="N755" s="6"/>
      <c r="O755" s="3">
        <v>1</v>
      </c>
      <c r="P755" s="3">
        <v>4</v>
      </c>
      <c r="Q755" s="3">
        <v>4</v>
      </c>
      <c r="R755" s="3">
        <v>0</v>
      </c>
      <c r="S755" s="3">
        <v>0</v>
      </c>
      <c r="T755" s="3">
        <v>0</v>
      </c>
      <c r="U755" s="3">
        <v>0</v>
      </c>
      <c r="V755" s="3">
        <f t="shared" si="167"/>
        <v>4</v>
      </c>
      <c r="W755" s="3">
        <v>4</v>
      </c>
      <c r="X755" s="3">
        <v>0</v>
      </c>
      <c r="Y755" s="3">
        <v>0</v>
      </c>
      <c r="Z755" s="3">
        <v>0</v>
      </c>
      <c r="AA755" s="3">
        <v>0</v>
      </c>
      <c r="AB755" s="3">
        <f t="shared" si="168"/>
        <v>4</v>
      </c>
      <c r="AC755" s="6">
        <f t="shared" si="176"/>
        <v>-4</v>
      </c>
      <c r="AD755" s="6">
        <f t="shared" si="177"/>
        <v>0</v>
      </c>
      <c r="AE755" s="6">
        <f t="shared" si="178"/>
        <v>0</v>
      </c>
      <c r="AF755" s="6">
        <f t="shared" si="179"/>
        <v>0</v>
      </c>
      <c r="AG755" s="6">
        <f t="shared" si="180"/>
        <v>0</v>
      </c>
      <c r="AH755" s="6">
        <f t="shared" si="169"/>
        <v>-4</v>
      </c>
      <c r="AI755" s="3"/>
      <c r="AJ755" s="3" t="e">
        <f>_xlfn.XLOOKUP(K755,工作表1!A:A,工作表1!C:C)</f>
        <v>#N/A</v>
      </c>
      <c r="AK755" s="3"/>
      <c r="AL755" s="6">
        <f t="shared" si="170"/>
        <v>0</v>
      </c>
      <c r="AM755" s="6">
        <f t="shared" si="171"/>
        <v>0</v>
      </c>
      <c r="AN755" s="6">
        <f t="shared" si="172"/>
        <v>0</v>
      </c>
      <c r="AO755" s="6">
        <f t="shared" si="173"/>
        <v>0</v>
      </c>
      <c r="AP755" s="6">
        <f t="shared" si="174"/>
        <v>0</v>
      </c>
      <c r="AQ755" s="6">
        <f t="shared" si="175"/>
        <v>0</v>
      </c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  <c r="BC755" s="6"/>
      <c r="BD755" s="6"/>
      <c r="BE755" s="6"/>
      <c r="BF755" s="6"/>
      <c r="BG755" s="6"/>
      <c r="BH755" s="6"/>
      <c r="BI755" s="6"/>
      <c r="BJ755" s="6"/>
      <c r="BK755" s="6"/>
      <c r="BL755" s="6"/>
      <c r="BM755" s="6"/>
      <c r="BN755" s="6"/>
      <c r="BO755" s="6"/>
      <c r="BP755" s="3">
        <v>4</v>
      </c>
      <c r="BQ755" s="6">
        <f t="shared" si="166"/>
        <v>0</v>
      </c>
    </row>
    <row r="756" spans="1:69" x14ac:dyDescent="0.3">
      <c r="A756" s="3" t="s">
        <v>931</v>
      </c>
      <c r="B756" s="3">
        <v>610</v>
      </c>
      <c r="C756" s="3" t="s">
        <v>1232</v>
      </c>
      <c r="D756" s="3">
        <v>0.75</v>
      </c>
      <c r="E756" s="3" t="s">
        <v>19</v>
      </c>
      <c r="F756" s="3" t="s">
        <v>19</v>
      </c>
      <c r="G756" s="3" t="s">
        <v>19</v>
      </c>
      <c r="H756" s="3" t="s">
        <v>103</v>
      </c>
      <c r="I756" s="3"/>
      <c r="J756" s="3" t="s">
        <v>91</v>
      </c>
      <c r="K756" s="3" t="s">
        <v>1234</v>
      </c>
      <c r="L756" s="3" t="s">
        <v>24</v>
      </c>
      <c r="M756" s="3">
        <v>3</v>
      </c>
      <c r="N756" s="6"/>
      <c r="O756" s="3">
        <v>3</v>
      </c>
      <c r="P756" s="3">
        <v>3</v>
      </c>
      <c r="Q756" s="3">
        <v>3</v>
      </c>
      <c r="R756" s="3">
        <v>0</v>
      </c>
      <c r="S756" s="3">
        <v>0</v>
      </c>
      <c r="T756" s="3">
        <v>0</v>
      </c>
      <c r="U756" s="3">
        <v>0</v>
      </c>
      <c r="V756" s="3">
        <f t="shared" si="167"/>
        <v>3</v>
      </c>
      <c r="W756" s="3">
        <v>3</v>
      </c>
      <c r="X756" s="3">
        <v>0</v>
      </c>
      <c r="Y756" s="3">
        <v>0</v>
      </c>
      <c r="Z756" s="3">
        <v>0</v>
      </c>
      <c r="AA756" s="3">
        <v>0</v>
      </c>
      <c r="AB756" s="3">
        <f t="shared" si="168"/>
        <v>3</v>
      </c>
      <c r="AC756" s="6">
        <f t="shared" si="176"/>
        <v>-3</v>
      </c>
      <c r="AD756" s="6">
        <f t="shared" si="177"/>
        <v>0</v>
      </c>
      <c r="AE756" s="6">
        <f t="shared" si="178"/>
        <v>0</v>
      </c>
      <c r="AF756" s="6">
        <f t="shared" si="179"/>
        <v>0</v>
      </c>
      <c r="AG756" s="6">
        <f t="shared" si="180"/>
        <v>0</v>
      </c>
      <c r="AH756" s="6">
        <f t="shared" si="169"/>
        <v>-3</v>
      </c>
      <c r="AI756" s="3"/>
      <c r="AJ756" s="3" t="e">
        <f>_xlfn.XLOOKUP(K756,工作表1!A:A,工作表1!C:C)</f>
        <v>#N/A</v>
      </c>
      <c r="AK756" s="3"/>
      <c r="AL756" s="6">
        <f t="shared" si="170"/>
        <v>0</v>
      </c>
      <c r="AM756" s="6">
        <f t="shared" si="171"/>
        <v>0</v>
      </c>
      <c r="AN756" s="6">
        <f t="shared" si="172"/>
        <v>0</v>
      </c>
      <c r="AO756" s="6">
        <f t="shared" si="173"/>
        <v>0</v>
      </c>
      <c r="AP756" s="6">
        <f t="shared" si="174"/>
        <v>0</v>
      </c>
      <c r="AQ756" s="6">
        <f t="shared" si="175"/>
        <v>0</v>
      </c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  <c r="BC756" s="6"/>
      <c r="BD756" s="6"/>
      <c r="BE756" s="6"/>
      <c r="BF756" s="6"/>
      <c r="BG756" s="6"/>
      <c r="BH756" s="6"/>
      <c r="BI756" s="6"/>
      <c r="BJ756" s="6"/>
      <c r="BK756" s="6"/>
      <c r="BL756" s="6"/>
      <c r="BM756" s="6"/>
      <c r="BN756" s="6"/>
      <c r="BO756" s="6"/>
      <c r="BP756" s="3">
        <v>3</v>
      </c>
      <c r="BQ756" s="6">
        <f t="shared" si="166"/>
        <v>0</v>
      </c>
    </row>
    <row r="757" spans="1:69" x14ac:dyDescent="0.3">
      <c r="A757" s="3" t="s">
        <v>931</v>
      </c>
      <c r="B757" s="3">
        <v>610</v>
      </c>
      <c r="C757" s="3" t="s">
        <v>1235</v>
      </c>
      <c r="D757" s="3">
        <v>0.75</v>
      </c>
      <c r="E757" s="3" t="s">
        <v>19</v>
      </c>
      <c r="F757" s="3" t="s">
        <v>19</v>
      </c>
      <c r="G757" s="3" t="s">
        <v>19</v>
      </c>
      <c r="H757" s="3" t="s">
        <v>103</v>
      </c>
      <c r="I757" s="3"/>
      <c r="J757" s="3" t="s">
        <v>91</v>
      </c>
      <c r="K757" s="3" t="s">
        <v>1236</v>
      </c>
      <c r="L757" s="3" t="s">
        <v>24</v>
      </c>
      <c r="M757" s="3">
        <v>1</v>
      </c>
      <c r="N757" s="6"/>
      <c r="O757" s="3">
        <v>1</v>
      </c>
      <c r="P757" s="3">
        <v>1</v>
      </c>
      <c r="Q757" s="3">
        <v>1</v>
      </c>
      <c r="R757" s="3">
        <v>0</v>
      </c>
      <c r="S757" s="3">
        <v>0</v>
      </c>
      <c r="T757" s="3">
        <v>0</v>
      </c>
      <c r="U757" s="3">
        <v>0</v>
      </c>
      <c r="V757" s="3">
        <f t="shared" si="167"/>
        <v>1</v>
      </c>
      <c r="W757" s="3">
        <v>1</v>
      </c>
      <c r="X757" s="3">
        <v>0</v>
      </c>
      <c r="Y757" s="3">
        <v>0</v>
      </c>
      <c r="Z757" s="3">
        <v>0</v>
      </c>
      <c r="AA757" s="3">
        <v>0</v>
      </c>
      <c r="AB757" s="3">
        <f t="shared" si="168"/>
        <v>1</v>
      </c>
      <c r="AC757" s="6">
        <f t="shared" si="176"/>
        <v>-1</v>
      </c>
      <c r="AD757" s="6">
        <f t="shared" si="177"/>
        <v>0</v>
      </c>
      <c r="AE757" s="6">
        <f t="shared" si="178"/>
        <v>0</v>
      </c>
      <c r="AF757" s="6">
        <f t="shared" si="179"/>
        <v>0</v>
      </c>
      <c r="AG757" s="6">
        <f t="shared" si="180"/>
        <v>0</v>
      </c>
      <c r="AH757" s="6">
        <f t="shared" si="169"/>
        <v>-1</v>
      </c>
      <c r="AI757" s="3"/>
      <c r="AJ757" s="3" t="e">
        <f>_xlfn.XLOOKUP(K757,工作表1!A:A,工作表1!C:C)</f>
        <v>#N/A</v>
      </c>
      <c r="AK757" s="3"/>
      <c r="AL757" s="6">
        <f t="shared" si="170"/>
        <v>0</v>
      </c>
      <c r="AM757" s="6">
        <f t="shared" si="171"/>
        <v>0</v>
      </c>
      <c r="AN757" s="6">
        <f t="shared" si="172"/>
        <v>0</v>
      </c>
      <c r="AO757" s="6">
        <f t="shared" si="173"/>
        <v>0</v>
      </c>
      <c r="AP757" s="6">
        <f t="shared" si="174"/>
        <v>0</v>
      </c>
      <c r="AQ757" s="6">
        <f t="shared" si="175"/>
        <v>0</v>
      </c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  <c r="BC757" s="6"/>
      <c r="BD757" s="6"/>
      <c r="BE757" s="6"/>
      <c r="BF757" s="6"/>
      <c r="BG757" s="6"/>
      <c r="BH757" s="6"/>
      <c r="BI757" s="6"/>
      <c r="BJ757" s="6"/>
      <c r="BK757" s="6"/>
      <c r="BL757" s="6"/>
      <c r="BM757" s="6"/>
      <c r="BN757" s="6"/>
      <c r="BO757" s="6"/>
      <c r="BP757" s="3">
        <v>1</v>
      </c>
      <c r="BQ757" s="6">
        <f t="shared" si="166"/>
        <v>0</v>
      </c>
    </row>
    <row r="758" spans="1:69" x14ac:dyDescent="0.3">
      <c r="A758" s="3" t="s">
        <v>931</v>
      </c>
      <c r="B758" s="3">
        <v>620</v>
      </c>
      <c r="C758" s="3" t="s">
        <v>1237</v>
      </c>
      <c r="D758" s="3">
        <v>2</v>
      </c>
      <c r="E758" s="3" t="s">
        <v>19</v>
      </c>
      <c r="F758" s="3" t="s">
        <v>41</v>
      </c>
      <c r="G758" s="3" t="s">
        <v>19</v>
      </c>
      <c r="H758" s="3" t="s">
        <v>54</v>
      </c>
      <c r="I758" s="3">
        <v>8.74</v>
      </c>
      <c r="J758" s="3" t="s">
        <v>91</v>
      </c>
      <c r="K758" s="3" t="s">
        <v>1238</v>
      </c>
      <c r="L758" s="3" t="s">
        <v>24</v>
      </c>
      <c r="M758" s="3">
        <v>3</v>
      </c>
      <c r="N758" s="6"/>
      <c r="O758" s="3">
        <v>4</v>
      </c>
      <c r="P758" s="3">
        <v>4</v>
      </c>
      <c r="Q758" s="3">
        <v>4</v>
      </c>
      <c r="R758" s="3">
        <v>0</v>
      </c>
      <c r="S758" s="3">
        <v>0</v>
      </c>
      <c r="T758" s="3">
        <v>0</v>
      </c>
      <c r="U758" s="3">
        <v>0</v>
      </c>
      <c r="V758" s="3">
        <f t="shared" si="167"/>
        <v>4</v>
      </c>
      <c r="W758" s="3">
        <v>4</v>
      </c>
      <c r="X758" s="3">
        <v>0</v>
      </c>
      <c r="Y758" s="3">
        <v>0</v>
      </c>
      <c r="Z758" s="3">
        <v>0</v>
      </c>
      <c r="AA758" s="3">
        <v>0</v>
      </c>
      <c r="AB758" s="3">
        <f t="shared" si="168"/>
        <v>4</v>
      </c>
      <c r="AC758" s="6">
        <f t="shared" si="176"/>
        <v>-4</v>
      </c>
      <c r="AD758" s="6">
        <f t="shared" si="177"/>
        <v>0</v>
      </c>
      <c r="AE758" s="6">
        <f t="shared" si="178"/>
        <v>0</v>
      </c>
      <c r="AF758" s="6">
        <f t="shared" si="179"/>
        <v>0</v>
      </c>
      <c r="AG758" s="6">
        <f t="shared" si="180"/>
        <v>0</v>
      </c>
      <c r="AH758" s="6">
        <f t="shared" si="169"/>
        <v>-4</v>
      </c>
      <c r="AI758" s="3"/>
      <c r="AJ758" s="3" t="e">
        <f>_xlfn.XLOOKUP(K758,工作表1!A:A,工作表1!C:C)</f>
        <v>#N/A</v>
      </c>
      <c r="AK758" s="3"/>
      <c r="AL758" s="6">
        <f t="shared" si="170"/>
        <v>0</v>
      </c>
      <c r="AM758" s="6">
        <f t="shared" si="171"/>
        <v>0</v>
      </c>
      <c r="AN758" s="6">
        <f t="shared" si="172"/>
        <v>0</v>
      </c>
      <c r="AO758" s="6">
        <f t="shared" si="173"/>
        <v>0</v>
      </c>
      <c r="AP758" s="6">
        <f t="shared" si="174"/>
        <v>0</v>
      </c>
      <c r="AQ758" s="6">
        <f t="shared" si="175"/>
        <v>0</v>
      </c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  <c r="BC758" s="6"/>
      <c r="BD758" s="6"/>
      <c r="BE758" s="6"/>
      <c r="BF758" s="6"/>
      <c r="BG758" s="6"/>
      <c r="BH758" s="6"/>
      <c r="BI758" s="6"/>
      <c r="BJ758" s="6"/>
      <c r="BK758" s="6"/>
      <c r="BL758" s="6"/>
      <c r="BM758" s="6"/>
      <c r="BN758" s="6"/>
      <c r="BO758" s="6"/>
      <c r="BP758" s="3">
        <v>4</v>
      </c>
      <c r="BQ758" s="6">
        <f t="shared" si="166"/>
        <v>0</v>
      </c>
    </row>
    <row r="759" spans="1:69" x14ac:dyDescent="0.3">
      <c r="A759" s="3" t="s">
        <v>931</v>
      </c>
      <c r="B759" s="3">
        <v>620</v>
      </c>
      <c r="C759" s="3" t="s">
        <v>1237</v>
      </c>
      <c r="D759" s="3">
        <v>1</v>
      </c>
      <c r="E759" s="3" t="s">
        <v>19</v>
      </c>
      <c r="F759" s="3" t="s">
        <v>41</v>
      </c>
      <c r="G759" s="3" t="s">
        <v>19</v>
      </c>
      <c r="H759" s="3" t="s">
        <v>59</v>
      </c>
      <c r="I759" s="3">
        <v>6.35</v>
      </c>
      <c r="J759" s="3" t="s">
        <v>91</v>
      </c>
      <c r="K759" s="3" t="s">
        <v>1239</v>
      </c>
      <c r="L759" s="3" t="s">
        <v>24</v>
      </c>
      <c r="M759" s="3">
        <v>22</v>
      </c>
      <c r="N759" s="6"/>
      <c r="O759" s="3">
        <v>20</v>
      </c>
      <c r="P759" s="3">
        <v>20</v>
      </c>
      <c r="Q759" s="3">
        <v>20</v>
      </c>
      <c r="R759" s="3">
        <v>0</v>
      </c>
      <c r="S759" s="3">
        <v>0</v>
      </c>
      <c r="T759" s="3">
        <v>0</v>
      </c>
      <c r="U759" s="3">
        <v>0</v>
      </c>
      <c r="V759" s="3">
        <f t="shared" si="167"/>
        <v>20</v>
      </c>
      <c r="W759" s="3">
        <v>20</v>
      </c>
      <c r="X759" s="3">
        <v>0</v>
      </c>
      <c r="Y759" s="3">
        <v>0</v>
      </c>
      <c r="Z759" s="3">
        <v>0</v>
      </c>
      <c r="AA759" s="3">
        <v>0</v>
      </c>
      <c r="AB759" s="3">
        <f t="shared" si="168"/>
        <v>20</v>
      </c>
      <c r="AC759" s="6">
        <f t="shared" si="176"/>
        <v>-20</v>
      </c>
      <c r="AD759" s="6">
        <f t="shared" si="177"/>
        <v>0</v>
      </c>
      <c r="AE759" s="6">
        <f t="shared" si="178"/>
        <v>0</v>
      </c>
      <c r="AF759" s="6">
        <f t="shared" si="179"/>
        <v>0</v>
      </c>
      <c r="AG759" s="6">
        <f t="shared" si="180"/>
        <v>0</v>
      </c>
      <c r="AH759" s="6">
        <f t="shared" si="169"/>
        <v>-20</v>
      </c>
      <c r="AI759" s="3"/>
      <c r="AJ759" s="3" t="e">
        <f>_xlfn.XLOOKUP(K759,工作表1!A:A,工作表1!C:C)</f>
        <v>#N/A</v>
      </c>
      <c r="AK759" s="3"/>
      <c r="AL759" s="6">
        <f t="shared" si="170"/>
        <v>0</v>
      </c>
      <c r="AM759" s="6">
        <f t="shared" si="171"/>
        <v>0</v>
      </c>
      <c r="AN759" s="6">
        <f t="shared" si="172"/>
        <v>0</v>
      </c>
      <c r="AO759" s="6">
        <f t="shared" si="173"/>
        <v>0</v>
      </c>
      <c r="AP759" s="6">
        <f t="shared" si="174"/>
        <v>0</v>
      </c>
      <c r="AQ759" s="6">
        <f t="shared" si="175"/>
        <v>0</v>
      </c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  <c r="BC759" s="6"/>
      <c r="BD759" s="6"/>
      <c r="BE759" s="6"/>
      <c r="BF759" s="6"/>
      <c r="BG759" s="6"/>
      <c r="BH759" s="6"/>
      <c r="BI759" s="6"/>
      <c r="BJ759" s="6"/>
      <c r="BK759" s="6"/>
      <c r="BL759" s="6"/>
      <c r="BM759" s="6"/>
      <c r="BN759" s="6"/>
      <c r="BO759" s="6"/>
      <c r="BP759" s="3">
        <v>20</v>
      </c>
      <c r="BQ759" s="6">
        <f t="shared" si="166"/>
        <v>0</v>
      </c>
    </row>
    <row r="760" spans="1:69" x14ac:dyDescent="0.3">
      <c r="A760" s="3" t="s">
        <v>931</v>
      </c>
      <c r="B760" s="3">
        <v>620</v>
      </c>
      <c r="C760" s="3" t="s">
        <v>1237</v>
      </c>
      <c r="D760" s="3">
        <v>0.75</v>
      </c>
      <c r="E760" s="3" t="s">
        <v>19</v>
      </c>
      <c r="F760" s="3" t="s">
        <v>41</v>
      </c>
      <c r="G760" s="3" t="s">
        <v>19</v>
      </c>
      <c r="H760" s="3" t="s">
        <v>61</v>
      </c>
      <c r="I760" s="3">
        <v>5.56</v>
      </c>
      <c r="J760" s="3" t="s">
        <v>91</v>
      </c>
      <c r="K760" s="3" t="s">
        <v>1240</v>
      </c>
      <c r="L760" s="3" t="s">
        <v>24</v>
      </c>
      <c r="M760" s="3">
        <v>13</v>
      </c>
      <c r="N760" s="6"/>
      <c r="O760" s="3">
        <v>12</v>
      </c>
      <c r="P760" s="3">
        <v>12</v>
      </c>
      <c r="Q760" s="3">
        <v>12</v>
      </c>
      <c r="R760" s="3">
        <v>0</v>
      </c>
      <c r="S760" s="3">
        <v>0</v>
      </c>
      <c r="T760" s="3">
        <v>0</v>
      </c>
      <c r="U760" s="3">
        <v>0</v>
      </c>
      <c r="V760" s="3">
        <f t="shared" si="167"/>
        <v>12</v>
      </c>
      <c r="W760" s="3">
        <v>12</v>
      </c>
      <c r="X760" s="3">
        <v>0</v>
      </c>
      <c r="Y760" s="3">
        <v>0</v>
      </c>
      <c r="Z760" s="3">
        <v>0</v>
      </c>
      <c r="AA760" s="3">
        <v>0</v>
      </c>
      <c r="AB760" s="3">
        <f t="shared" si="168"/>
        <v>12</v>
      </c>
      <c r="AC760" s="6">
        <f t="shared" si="176"/>
        <v>-12</v>
      </c>
      <c r="AD760" s="6">
        <f t="shared" si="177"/>
        <v>0</v>
      </c>
      <c r="AE760" s="6">
        <f t="shared" si="178"/>
        <v>0</v>
      </c>
      <c r="AF760" s="6">
        <f t="shared" si="179"/>
        <v>0</v>
      </c>
      <c r="AG760" s="6">
        <f t="shared" si="180"/>
        <v>0</v>
      </c>
      <c r="AH760" s="6">
        <f t="shared" si="169"/>
        <v>-12</v>
      </c>
      <c r="AI760" s="3"/>
      <c r="AJ760" s="3" t="e">
        <f>_xlfn.XLOOKUP(K760,工作表1!A:A,工作表1!C:C)</f>
        <v>#N/A</v>
      </c>
      <c r="AK760" s="3"/>
      <c r="AL760" s="6">
        <f t="shared" si="170"/>
        <v>0</v>
      </c>
      <c r="AM760" s="6">
        <f t="shared" si="171"/>
        <v>0</v>
      </c>
      <c r="AN760" s="6">
        <f t="shared" si="172"/>
        <v>0</v>
      </c>
      <c r="AO760" s="6">
        <f t="shared" si="173"/>
        <v>0</v>
      </c>
      <c r="AP760" s="6">
        <f t="shared" si="174"/>
        <v>0</v>
      </c>
      <c r="AQ760" s="6">
        <f t="shared" si="175"/>
        <v>0</v>
      </c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  <c r="BC760" s="6"/>
      <c r="BD760" s="6"/>
      <c r="BE760" s="6"/>
      <c r="BF760" s="6"/>
      <c r="BG760" s="6"/>
      <c r="BH760" s="6"/>
      <c r="BI760" s="6"/>
      <c r="BJ760" s="6"/>
      <c r="BK760" s="6"/>
      <c r="BL760" s="6"/>
      <c r="BM760" s="6"/>
      <c r="BN760" s="6"/>
      <c r="BO760" s="6"/>
      <c r="BP760" s="3">
        <v>12</v>
      </c>
      <c r="BQ760" s="6">
        <f t="shared" si="166"/>
        <v>0</v>
      </c>
    </row>
    <row r="761" spans="1:69" x14ac:dyDescent="0.3">
      <c r="A761" s="3" t="s">
        <v>931</v>
      </c>
      <c r="B761" s="3">
        <v>620</v>
      </c>
      <c r="C761" s="3" t="s">
        <v>1237</v>
      </c>
      <c r="D761" s="3">
        <v>0.5</v>
      </c>
      <c r="E761" s="3" t="s">
        <v>19</v>
      </c>
      <c r="F761" s="3" t="s">
        <v>25</v>
      </c>
      <c r="G761" s="3" t="s">
        <v>19</v>
      </c>
      <c r="H761" s="3" t="s">
        <v>81</v>
      </c>
      <c r="I761" s="3">
        <v>3.73</v>
      </c>
      <c r="J761" s="3" t="s">
        <v>91</v>
      </c>
      <c r="K761" s="3" t="s">
        <v>1241</v>
      </c>
      <c r="L761" s="3" t="s">
        <v>24</v>
      </c>
      <c r="M761" s="3">
        <v>4</v>
      </c>
      <c r="N761" s="6"/>
      <c r="O761" s="3">
        <v>4</v>
      </c>
      <c r="P761" s="3">
        <v>4</v>
      </c>
      <c r="Q761" s="3">
        <v>4</v>
      </c>
      <c r="R761" s="3">
        <v>0</v>
      </c>
      <c r="S761" s="3">
        <v>0</v>
      </c>
      <c r="T761" s="3">
        <v>0</v>
      </c>
      <c r="U761" s="3">
        <v>0</v>
      </c>
      <c r="V761" s="3">
        <f t="shared" si="167"/>
        <v>4</v>
      </c>
      <c r="W761" s="3">
        <v>4</v>
      </c>
      <c r="X761" s="3">
        <v>0</v>
      </c>
      <c r="Y761" s="3">
        <v>0</v>
      </c>
      <c r="Z761" s="3">
        <v>0</v>
      </c>
      <c r="AA761" s="3">
        <v>0</v>
      </c>
      <c r="AB761" s="3">
        <f t="shared" si="168"/>
        <v>4</v>
      </c>
      <c r="AC761" s="6">
        <f t="shared" si="176"/>
        <v>-4</v>
      </c>
      <c r="AD761" s="6">
        <f t="shared" si="177"/>
        <v>0</v>
      </c>
      <c r="AE761" s="6">
        <f t="shared" si="178"/>
        <v>0</v>
      </c>
      <c r="AF761" s="6">
        <f t="shared" si="179"/>
        <v>0</v>
      </c>
      <c r="AG761" s="6">
        <f t="shared" si="180"/>
        <v>0</v>
      </c>
      <c r="AH761" s="6">
        <f t="shared" si="169"/>
        <v>-4</v>
      </c>
      <c r="AI761" s="3"/>
      <c r="AJ761" s="3" t="e">
        <f>_xlfn.XLOOKUP(K761,工作表1!A:A,工作表1!C:C)</f>
        <v>#N/A</v>
      </c>
      <c r="AK761" s="3"/>
      <c r="AL761" s="6">
        <f t="shared" si="170"/>
        <v>0</v>
      </c>
      <c r="AM761" s="6">
        <f t="shared" si="171"/>
        <v>0</v>
      </c>
      <c r="AN761" s="6">
        <f t="shared" si="172"/>
        <v>0</v>
      </c>
      <c r="AO761" s="6">
        <f t="shared" si="173"/>
        <v>0</v>
      </c>
      <c r="AP761" s="6">
        <f t="shared" si="174"/>
        <v>0</v>
      </c>
      <c r="AQ761" s="6">
        <f t="shared" si="175"/>
        <v>0</v>
      </c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  <c r="BC761" s="6"/>
      <c r="BD761" s="6"/>
      <c r="BE761" s="6"/>
      <c r="BF761" s="6"/>
      <c r="BG761" s="6"/>
      <c r="BH761" s="6"/>
      <c r="BI761" s="6"/>
      <c r="BJ761" s="6"/>
      <c r="BK761" s="6"/>
      <c r="BL761" s="6"/>
      <c r="BM761" s="6"/>
      <c r="BN761" s="6"/>
      <c r="BO761" s="6"/>
      <c r="BP761" s="3">
        <v>4</v>
      </c>
      <c r="BQ761" s="6">
        <f t="shared" si="166"/>
        <v>0</v>
      </c>
    </row>
    <row r="762" spans="1:69" x14ac:dyDescent="0.3">
      <c r="A762" s="3" t="s">
        <v>931</v>
      </c>
      <c r="B762" s="3">
        <v>620</v>
      </c>
      <c r="C762" s="3" t="s">
        <v>1242</v>
      </c>
      <c r="D762" s="3">
        <v>1</v>
      </c>
      <c r="E762" s="3" t="s">
        <v>19</v>
      </c>
      <c r="F762" s="3" t="s">
        <v>41</v>
      </c>
      <c r="G762" s="3" t="s">
        <v>19</v>
      </c>
      <c r="H762" s="3" t="s">
        <v>59</v>
      </c>
      <c r="I762" s="3">
        <v>6.35</v>
      </c>
      <c r="J762" s="3" t="s">
        <v>91</v>
      </c>
      <c r="K762" s="3" t="s">
        <v>1243</v>
      </c>
      <c r="L762" s="3" t="s">
        <v>24</v>
      </c>
      <c r="M762" s="3">
        <v>15</v>
      </c>
      <c r="N762" s="6"/>
      <c r="O762" s="3">
        <v>14</v>
      </c>
      <c r="P762" s="3">
        <v>14</v>
      </c>
      <c r="Q762" s="3">
        <v>14</v>
      </c>
      <c r="R762" s="3">
        <v>0</v>
      </c>
      <c r="S762" s="3">
        <v>0</v>
      </c>
      <c r="T762" s="3">
        <v>0</v>
      </c>
      <c r="U762" s="3">
        <v>0</v>
      </c>
      <c r="V762" s="3">
        <f t="shared" si="167"/>
        <v>14</v>
      </c>
      <c r="W762" s="3">
        <v>14</v>
      </c>
      <c r="X762" s="3">
        <v>0</v>
      </c>
      <c r="Y762" s="3">
        <v>0</v>
      </c>
      <c r="Z762" s="3">
        <v>0</v>
      </c>
      <c r="AA762" s="3">
        <v>0</v>
      </c>
      <c r="AB762" s="3">
        <f t="shared" si="168"/>
        <v>14</v>
      </c>
      <c r="AC762" s="6">
        <f t="shared" si="176"/>
        <v>-14</v>
      </c>
      <c r="AD762" s="6">
        <f t="shared" si="177"/>
        <v>0</v>
      </c>
      <c r="AE762" s="6">
        <f t="shared" si="178"/>
        <v>0</v>
      </c>
      <c r="AF762" s="6">
        <f t="shared" si="179"/>
        <v>0</v>
      </c>
      <c r="AG762" s="6">
        <f t="shared" si="180"/>
        <v>0</v>
      </c>
      <c r="AH762" s="6">
        <f t="shared" si="169"/>
        <v>-14</v>
      </c>
      <c r="AI762" s="3"/>
      <c r="AJ762" s="3" t="e">
        <f>_xlfn.XLOOKUP(K762,工作表1!A:A,工作表1!C:C)</f>
        <v>#N/A</v>
      </c>
      <c r="AK762" s="3"/>
      <c r="AL762" s="6">
        <f t="shared" si="170"/>
        <v>0</v>
      </c>
      <c r="AM762" s="6">
        <f t="shared" si="171"/>
        <v>0</v>
      </c>
      <c r="AN762" s="6">
        <f t="shared" si="172"/>
        <v>0</v>
      </c>
      <c r="AO762" s="6">
        <f t="shared" si="173"/>
        <v>0</v>
      </c>
      <c r="AP762" s="6">
        <f t="shared" si="174"/>
        <v>0</v>
      </c>
      <c r="AQ762" s="6">
        <f t="shared" si="175"/>
        <v>0</v>
      </c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  <c r="BC762" s="6"/>
      <c r="BD762" s="6"/>
      <c r="BE762" s="6"/>
      <c r="BF762" s="6"/>
      <c r="BG762" s="6"/>
      <c r="BH762" s="6"/>
      <c r="BI762" s="6"/>
      <c r="BJ762" s="6"/>
      <c r="BK762" s="6"/>
      <c r="BL762" s="6"/>
      <c r="BM762" s="6"/>
      <c r="BN762" s="6"/>
      <c r="BO762" s="6"/>
      <c r="BP762" s="3">
        <v>14</v>
      </c>
      <c r="BQ762" s="6">
        <f t="shared" si="166"/>
        <v>0</v>
      </c>
    </row>
    <row r="763" spans="1:69" x14ac:dyDescent="0.3">
      <c r="A763" s="3" t="s">
        <v>931</v>
      </c>
      <c r="B763" s="3">
        <v>620</v>
      </c>
      <c r="C763" s="3" t="s">
        <v>1242</v>
      </c>
      <c r="D763" s="3">
        <v>0.75</v>
      </c>
      <c r="E763" s="3" t="s">
        <v>19</v>
      </c>
      <c r="F763" s="3" t="s">
        <v>41</v>
      </c>
      <c r="G763" s="3" t="s">
        <v>19</v>
      </c>
      <c r="H763" s="3" t="s">
        <v>61</v>
      </c>
      <c r="I763" s="3">
        <v>5.56</v>
      </c>
      <c r="J763" s="3" t="s">
        <v>91</v>
      </c>
      <c r="K763" s="3" t="s">
        <v>1244</v>
      </c>
      <c r="L763" s="3" t="s">
        <v>24</v>
      </c>
      <c r="M763" s="3">
        <v>30</v>
      </c>
      <c r="N763" s="6"/>
      <c r="O763" s="3">
        <v>27</v>
      </c>
      <c r="P763" s="3">
        <v>27</v>
      </c>
      <c r="Q763" s="3">
        <v>27</v>
      </c>
      <c r="R763" s="3">
        <v>0</v>
      </c>
      <c r="S763" s="3">
        <v>0</v>
      </c>
      <c r="T763" s="3">
        <v>0</v>
      </c>
      <c r="U763" s="3">
        <v>0</v>
      </c>
      <c r="V763" s="3">
        <f t="shared" si="167"/>
        <v>27</v>
      </c>
      <c r="W763" s="3">
        <v>27</v>
      </c>
      <c r="X763" s="3">
        <v>0</v>
      </c>
      <c r="Y763" s="3">
        <v>0</v>
      </c>
      <c r="Z763" s="3">
        <v>0</v>
      </c>
      <c r="AA763" s="3">
        <v>0</v>
      </c>
      <c r="AB763" s="3">
        <f t="shared" si="168"/>
        <v>27</v>
      </c>
      <c r="AC763" s="6">
        <f t="shared" si="176"/>
        <v>-27</v>
      </c>
      <c r="AD763" s="6">
        <f t="shared" si="177"/>
        <v>0</v>
      </c>
      <c r="AE763" s="6">
        <f t="shared" si="178"/>
        <v>0</v>
      </c>
      <c r="AF763" s="6">
        <f t="shared" si="179"/>
        <v>0</v>
      </c>
      <c r="AG763" s="6">
        <f t="shared" si="180"/>
        <v>0</v>
      </c>
      <c r="AH763" s="6">
        <f t="shared" si="169"/>
        <v>-27</v>
      </c>
      <c r="AI763" s="3"/>
      <c r="AJ763" s="3" t="e">
        <f>_xlfn.XLOOKUP(K763,工作表1!A:A,工作表1!C:C)</f>
        <v>#N/A</v>
      </c>
      <c r="AK763" s="3"/>
      <c r="AL763" s="6">
        <f t="shared" si="170"/>
        <v>0</v>
      </c>
      <c r="AM763" s="6">
        <f t="shared" si="171"/>
        <v>0</v>
      </c>
      <c r="AN763" s="6">
        <f t="shared" si="172"/>
        <v>0</v>
      </c>
      <c r="AO763" s="6">
        <f t="shared" si="173"/>
        <v>0</v>
      </c>
      <c r="AP763" s="6">
        <f t="shared" si="174"/>
        <v>0</v>
      </c>
      <c r="AQ763" s="6">
        <f t="shared" si="175"/>
        <v>0</v>
      </c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  <c r="BC763" s="6"/>
      <c r="BD763" s="6"/>
      <c r="BE763" s="6"/>
      <c r="BF763" s="6"/>
      <c r="BG763" s="6"/>
      <c r="BH763" s="6"/>
      <c r="BI763" s="6"/>
      <c r="BJ763" s="6"/>
      <c r="BK763" s="6"/>
      <c r="BL763" s="6"/>
      <c r="BM763" s="6"/>
      <c r="BN763" s="6"/>
      <c r="BO763" s="6"/>
      <c r="BP763" s="3">
        <v>27</v>
      </c>
      <c r="BQ763" s="6">
        <f t="shared" si="166"/>
        <v>0</v>
      </c>
    </row>
    <row r="764" spans="1:69" x14ac:dyDescent="0.3">
      <c r="A764" s="3" t="s">
        <v>931</v>
      </c>
      <c r="B764" s="3">
        <v>620</v>
      </c>
      <c r="C764" s="3" t="s">
        <v>1245</v>
      </c>
      <c r="D764" s="3">
        <v>4</v>
      </c>
      <c r="E764" s="3" t="s">
        <v>19</v>
      </c>
      <c r="F764" s="3" t="s">
        <v>41</v>
      </c>
      <c r="G764" s="3" t="s">
        <v>19</v>
      </c>
      <c r="H764" s="3" t="s">
        <v>48</v>
      </c>
      <c r="I764" s="3">
        <v>13.49</v>
      </c>
      <c r="J764" s="3" t="s">
        <v>91</v>
      </c>
      <c r="K764" s="3" t="s">
        <v>1246</v>
      </c>
      <c r="L764" s="3" t="s">
        <v>24</v>
      </c>
      <c r="M764" s="3">
        <v>2</v>
      </c>
      <c r="N764" s="6"/>
      <c r="O764" s="3">
        <v>2</v>
      </c>
      <c r="P764" s="3">
        <v>2</v>
      </c>
      <c r="Q764" s="3">
        <v>2</v>
      </c>
      <c r="R764" s="3">
        <v>0</v>
      </c>
      <c r="S764" s="3">
        <v>0</v>
      </c>
      <c r="T764" s="3">
        <v>0</v>
      </c>
      <c r="U764" s="3">
        <v>0</v>
      </c>
      <c r="V764" s="3">
        <f t="shared" si="167"/>
        <v>2</v>
      </c>
      <c r="W764" s="3">
        <v>2</v>
      </c>
      <c r="X764" s="3">
        <v>0</v>
      </c>
      <c r="Y764" s="3">
        <v>0</v>
      </c>
      <c r="Z764" s="3">
        <v>0</v>
      </c>
      <c r="AA764" s="3">
        <v>0</v>
      </c>
      <c r="AB764" s="3">
        <f t="shared" si="168"/>
        <v>2</v>
      </c>
      <c r="AC764" s="6">
        <f t="shared" si="176"/>
        <v>-2</v>
      </c>
      <c r="AD764" s="6">
        <f t="shared" si="177"/>
        <v>0</v>
      </c>
      <c r="AE764" s="6">
        <f t="shared" si="178"/>
        <v>0</v>
      </c>
      <c r="AF764" s="6">
        <f t="shared" si="179"/>
        <v>0</v>
      </c>
      <c r="AG764" s="6">
        <f t="shared" si="180"/>
        <v>0</v>
      </c>
      <c r="AH764" s="6">
        <f t="shared" si="169"/>
        <v>-2</v>
      </c>
      <c r="AI764" s="3"/>
      <c r="AJ764" s="3" t="e">
        <f>_xlfn.XLOOKUP(K764,工作表1!A:A,工作表1!C:C)</f>
        <v>#N/A</v>
      </c>
      <c r="AK764" s="3"/>
      <c r="AL764" s="6">
        <f t="shared" si="170"/>
        <v>0</v>
      </c>
      <c r="AM764" s="6">
        <f t="shared" si="171"/>
        <v>0</v>
      </c>
      <c r="AN764" s="6">
        <f t="shared" si="172"/>
        <v>0</v>
      </c>
      <c r="AO764" s="6">
        <f t="shared" si="173"/>
        <v>0</v>
      </c>
      <c r="AP764" s="6">
        <f t="shared" si="174"/>
        <v>0</v>
      </c>
      <c r="AQ764" s="6">
        <f t="shared" si="175"/>
        <v>0</v>
      </c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  <c r="BC764" s="6"/>
      <c r="BD764" s="6"/>
      <c r="BE764" s="6"/>
      <c r="BF764" s="6"/>
      <c r="BG764" s="6"/>
      <c r="BH764" s="6"/>
      <c r="BI764" s="6"/>
      <c r="BJ764" s="6"/>
      <c r="BK764" s="6"/>
      <c r="BL764" s="6"/>
      <c r="BM764" s="6"/>
      <c r="BN764" s="6"/>
      <c r="BO764" s="6"/>
      <c r="BP764" s="3">
        <v>2</v>
      </c>
      <c r="BQ764" s="6">
        <f t="shared" si="166"/>
        <v>0</v>
      </c>
    </row>
    <row r="765" spans="1:69" x14ac:dyDescent="0.3">
      <c r="A765" s="3" t="s">
        <v>931</v>
      </c>
      <c r="B765" s="3">
        <v>620</v>
      </c>
      <c r="C765" s="3" t="s">
        <v>1247</v>
      </c>
      <c r="D765" s="3">
        <v>10</v>
      </c>
      <c r="E765" s="3" t="s">
        <v>19</v>
      </c>
      <c r="F765" s="3" t="s">
        <v>41</v>
      </c>
      <c r="G765" s="3" t="s">
        <v>19</v>
      </c>
      <c r="H765" s="3" t="s">
        <v>950</v>
      </c>
      <c r="I765" s="3">
        <v>28.58</v>
      </c>
      <c r="J765" s="3" t="s">
        <v>91</v>
      </c>
      <c r="K765" s="3" t="s">
        <v>1248</v>
      </c>
      <c r="L765" s="3" t="s">
        <v>24</v>
      </c>
      <c r="M765" s="3">
        <v>3</v>
      </c>
      <c r="N765" s="6"/>
      <c r="O765" s="3">
        <v>3</v>
      </c>
      <c r="P765" s="3">
        <v>3</v>
      </c>
      <c r="Q765" s="3">
        <v>3</v>
      </c>
      <c r="R765" s="3">
        <v>0</v>
      </c>
      <c r="S765" s="3">
        <v>0</v>
      </c>
      <c r="T765" s="3">
        <v>0</v>
      </c>
      <c r="U765" s="3">
        <v>0</v>
      </c>
      <c r="V765" s="3">
        <f t="shared" si="167"/>
        <v>3</v>
      </c>
      <c r="W765" s="3">
        <v>3</v>
      </c>
      <c r="X765" s="3">
        <v>0</v>
      </c>
      <c r="Y765" s="3">
        <v>0</v>
      </c>
      <c r="Z765" s="3">
        <v>0</v>
      </c>
      <c r="AA765" s="3">
        <v>0</v>
      </c>
      <c r="AB765" s="3">
        <f t="shared" si="168"/>
        <v>3</v>
      </c>
      <c r="AC765" s="6">
        <f t="shared" si="176"/>
        <v>-3</v>
      </c>
      <c r="AD765" s="6">
        <f t="shared" si="177"/>
        <v>0</v>
      </c>
      <c r="AE765" s="6">
        <f t="shared" si="178"/>
        <v>0</v>
      </c>
      <c r="AF765" s="6">
        <f t="shared" si="179"/>
        <v>0</v>
      </c>
      <c r="AG765" s="6">
        <f t="shared" si="180"/>
        <v>0</v>
      </c>
      <c r="AH765" s="6">
        <f t="shared" si="169"/>
        <v>-3</v>
      </c>
      <c r="AI765" s="3"/>
      <c r="AJ765" s="3" t="e">
        <f>_xlfn.XLOOKUP(K765,工作表1!A:A,工作表1!C:C)</f>
        <v>#N/A</v>
      </c>
      <c r="AK765" s="3"/>
      <c r="AL765" s="6">
        <f t="shared" si="170"/>
        <v>0</v>
      </c>
      <c r="AM765" s="6">
        <f t="shared" si="171"/>
        <v>0</v>
      </c>
      <c r="AN765" s="6">
        <f t="shared" si="172"/>
        <v>0</v>
      </c>
      <c r="AO765" s="6">
        <f t="shared" si="173"/>
        <v>0</v>
      </c>
      <c r="AP765" s="6">
        <f t="shared" si="174"/>
        <v>0</v>
      </c>
      <c r="AQ765" s="6">
        <f t="shared" si="175"/>
        <v>0</v>
      </c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  <c r="BC765" s="6"/>
      <c r="BD765" s="6"/>
      <c r="BE765" s="6"/>
      <c r="BF765" s="6"/>
      <c r="BG765" s="6"/>
      <c r="BH765" s="6"/>
      <c r="BI765" s="6"/>
      <c r="BJ765" s="6"/>
      <c r="BK765" s="6"/>
      <c r="BL765" s="6"/>
      <c r="BM765" s="6"/>
      <c r="BN765" s="6"/>
      <c r="BO765" s="6"/>
      <c r="BP765" s="3">
        <v>3</v>
      </c>
      <c r="BQ765" s="6">
        <f t="shared" si="166"/>
        <v>0</v>
      </c>
    </row>
    <row r="766" spans="1:69" x14ac:dyDescent="0.3">
      <c r="A766" s="3" t="s">
        <v>931</v>
      </c>
      <c r="B766" s="3">
        <v>620</v>
      </c>
      <c r="C766" s="3" t="s">
        <v>1247</v>
      </c>
      <c r="D766" s="3">
        <v>3</v>
      </c>
      <c r="E766" s="3" t="s">
        <v>19</v>
      </c>
      <c r="F766" s="3" t="s">
        <v>41</v>
      </c>
      <c r="G766" s="3" t="s">
        <v>19</v>
      </c>
      <c r="H766" s="3" t="s">
        <v>51</v>
      </c>
      <c r="I766" s="3">
        <v>11.13</v>
      </c>
      <c r="J766" s="3" t="s">
        <v>91</v>
      </c>
      <c r="K766" s="3" t="s">
        <v>1249</v>
      </c>
      <c r="L766" s="3" t="s">
        <v>24</v>
      </c>
      <c r="M766" s="3">
        <v>3</v>
      </c>
      <c r="N766" s="6"/>
      <c r="O766" s="3">
        <v>3</v>
      </c>
      <c r="P766" s="3">
        <v>3</v>
      </c>
      <c r="Q766" s="3">
        <v>3</v>
      </c>
      <c r="R766" s="3">
        <v>0</v>
      </c>
      <c r="S766" s="3">
        <v>0</v>
      </c>
      <c r="T766" s="3">
        <v>0</v>
      </c>
      <c r="U766" s="3">
        <v>0</v>
      </c>
      <c r="V766" s="3">
        <f t="shared" si="167"/>
        <v>3</v>
      </c>
      <c r="W766" s="3">
        <v>3</v>
      </c>
      <c r="X766" s="3">
        <v>0</v>
      </c>
      <c r="Y766" s="3">
        <v>0</v>
      </c>
      <c r="Z766" s="3">
        <v>0</v>
      </c>
      <c r="AA766" s="3">
        <v>0</v>
      </c>
      <c r="AB766" s="3">
        <f t="shared" si="168"/>
        <v>3</v>
      </c>
      <c r="AC766" s="6">
        <f t="shared" si="176"/>
        <v>-3</v>
      </c>
      <c r="AD766" s="6">
        <f t="shared" si="177"/>
        <v>0</v>
      </c>
      <c r="AE766" s="6">
        <f t="shared" si="178"/>
        <v>0</v>
      </c>
      <c r="AF766" s="6">
        <f t="shared" si="179"/>
        <v>0</v>
      </c>
      <c r="AG766" s="6">
        <f t="shared" si="180"/>
        <v>0</v>
      </c>
      <c r="AH766" s="6">
        <f t="shared" si="169"/>
        <v>-3</v>
      </c>
      <c r="AI766" s="3"/>
      <c r="AJ766" s="3" t="e">
        <f>_xlfn.XLOOKUP(K766,工作表1!A:A,工作表1!C:C)</f>
        <v>#N/A</v>
      </c>
      <c r="AK766" s="3"/>
      <c r="AL766" s="6">
        <f t="shared" si="170"/>
        <v>0</v>
      </c>
      <c r="AM766" s="6">
        <f t="shared" si="171"/>
        <v>0</v>
      </c>
      <c r="AN766" s="6">
        <f t="shared" si="172"/>
        <v>0</v>
      </c>
      <c r="AO766" s="6">
        <f t="shared" si="173"/>
        <v>0</v>
      </c>
      <c r="AP766" s="6">
        <f t="shared" si="174"/>
        <v>0</v>
      </c>
      <c r="AQ766" s="6">
        <f t="shared" si="175"/>
        <v>0</v>
      </c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  <c r="BC766" s="6"/>
      <c r="BD766" s="6"/>
      <c r="BE766" s="6"/>
      <c r="BF766" s="6"/>
      <c r="BG766" s="6"/>
      <c r="BH766" s="6"/>
      <c r="BI766" s="6"/>
      <c r="BJ766" s="6"/>
      <c r="BK766" s="6"/>
      <c r="BL766" s="6"/>
      <c r="BM766" s="6"/>
      <c r="BN766" s="6"/>
      <c r="BO766" s="6"/>
      <c r="BP766" s="3">
        <v>3</v>
      </c>
      <c r="BQ766" s="6">
        <f t="shared" si="166"/>
        <v>0</v>
      </c>
    </row>
    <row r="767" spans="1:69" x14ac:dyDescent="0.3">
      <c r="A767" s="3" t="s">
        <v>931</v>
      </c>
      <c r="B767" s="3">
        <v>620</v>
      </c>
      <c r="C767" s="3" t="s">
        <v>1250</v>
      </c>
      <c r="D767" s="3">
        <v>4</v>
      </c>
      <c r="E767" s="3" t="s">
        <v>19</v>
      </c>
      <c r="F767" s="3" t="s">
        <v>19</v>
      </c>
      <c r="G767" s="3" t="s">
        <v>19</v>
      </c>
      <c r="H767" s="3" t="s">
        <v>336</v>
      </c>
      <c r="I767" s="3"/>
      <c r="J767" s="3" t="s">
        <v>91</v>
      </c>
      <c r="K767" s="3" t="s">
        <v>1251</v>
      </c>
      <c r="L767" s="3" t="s">
        <v>1467</v>
      </c>
      <c r="M767" s="3">
        <v>1</v>
      </c>
      <c r="N767" s="6"/>
      <c r="O767" s="3">
        <v>1</v>
      </c>
      <c r="P767" s="3">
        <v>1</v>
      </c>
      <c r="Q767" s="3">
        <v>1</v>
      </c>
      <c r="R767" s="3">
        <v>0</v>
      </c>
      <c r="S767" s="3">
        <v>0</v>
      </c>
      <c r="T767" s="3">
        <v>0</v>
      </c>
      <c r="U767" s="3">
        <v>0</v>
      </c>
      <c r="V767" s="3">
        <f t="shared" si="167"/>
        <v>1</v>
      </c>
      <c r="W767" s="3">
        <v>1</v>
      </c>
      <c r="X767" s="3">
        <v>0</v>
      </c>
      <c r="Y767" s="3">
        <v>0</v>
      </c>
      <c r="Z767" s="3">
        <v>0</v>
      </c>
      <c r="AA767" s="3">
        <v>0</v>
      </c>
      <c r="AB767" s="3">
        <f t="shared" si="168"/>
        <v>1</v>
      </c>
      <c r="AC767" s="6">
        <f t="shared" si="176"/>
        <v>-1</v>
      </c>
      <c r="AD767" s="6">
        <f t="shared" si="177"/>
        <v>0</v>
      </c>
      <c r="AE767" s="6">
        <f t="shared" si="178"/>
        <v>0</v>
      </c>
      <c r="AF767" s="6">
        <f t="shared" si="179"/>
        <v>0</v>
      </c>
      <c r="AG767" s="6">
        <f t="shared" si="180"/>
        <v>0</v>
      </c>
      <c r="AH767" s="6">
        <f t="shared" si="169"/>
        <v>-1</v>
      </c>
      <c r="AI767" s="3"/>
      <c r="AJ767" s="3" t="e">
        <f>_xlfn.XLOOKUP(K767,工作表1!A:A,工作表1!C:C)</f>
        <v>#N/A</v>
      </c>
      <c r="AK767" s="3"/>
      <c r="AL767" s="6">
        <f t="shared" si="170"/>
        <v>0</v>
      </c>
      <c r="AM767" s="6">
        <f t="shared" si="171"/>
        <v>0</v>
      </c>
      <c r="AN767" s="6">
        <f t="shared" si="172"/>
        <v>0</v>
      </c>
      <c r="AO767" s="6">
        <f t="shared" si="173"/>
        <v>0</v>
      </c>
      <c r="AP767" s="6">
        <f t="shared" si="174"/>
        <v>0</v>
      </c>
      <c r="AQ767" s="6">
        <f t="shared" si="175"/>
        <v>0</v>
      </c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  <c r="BC767" s="6"/>
      <c r="BD767" s="6"/>
      <c r="BE767" s="6"/>
      <c r="BF767" s="6"/>
      <c r="BG767" s="6"/>
      <c r="BH767" s="6"/>
      <c r="BI767" s="6"/>
      <c r="BJ767" s="6"/>
      <c r="BK767" s="6"/>
      <c r="BL767" s="6"/>
      <c r="BM767" s="6"/>
      <c r="BN767" s="6"/>
      <c r="BO767" s="6"/>
      <c r="BP767" s="3">
        <v>1</v>
      </c>
      <c r="BQ767" s="6">
        <f t="shared" si="166"/>
        <v>0</v>
      </c>
    </row>
    <row r="768" spans="1:69" x14ac:dyDescent="0.3">
      <c r="A768" s="3" t="s">
        <v>931</v>
      </c>
      <c r="B768" s="3">
        <v>630</v>
      </c>
      <c r="C768" s="3" t="s">
        <v>1252</v>
      </c>
      <c r="D768" s="3">
        <v>1</v>
      </c>
      <c r="E768" s="3" t="s">
        <v>19</v>
      </c>
      <c r="F768" s="3" t="s">
        <v>41</v>
      </c>
      <c r="G768" s="3" t="s">
        <v>19</v>
      </c>
      <c r="H768" s="3" t="s">
        <v>59</v>
      </c>
      <c r="I768" s="3">
        <v>6.35</v>
      </c>
      <c r="J768" s="3" t="s">
        <v>91</v>
      </c>
      <c r="K768" s="3" t="s">
        <v>1253</v>
      </c>
      <c r="L768" s="3" t="s">
        <v>24</v>
      </c>
      <c r="M768" s="3">
        <v>10</v>
      </c>
      <c r="N768" s="6"/>
      <c r="O768" s="3">
        <v>8</v>
      </c>
      <c r="P768" s="3">
        <v>8</v>
      </c>
      <c r="Q768" s="3">
        <v>8</v>
      </c>
      <c r="R768" s="3">
        <v>0</v>
      </c>
      <c r="S768" s="3">
        <v>0</v>
      </c>
      <c r="T768" s="3">
        <v>0</v>
      </c>
      <c r="U768" s="3">
        <v>0</v>
      </c>
      <c r="V768" s="3">
        <f t="shared" si="167"/>
        <v>8</v>
      </c>
      <c r="W768" s="3">
        <v>8</v>
      </c>
      <c r="X768" s="3">
        <v>0</v>
      </c>
      <c r="Y768" s="3">
        <v>0</v>
      </c>
      <c r="Z768" s="3">
        <v>0</v>
      </c>
      <c r="AA768" s="3">
        <v>0</v>
      </c>
      <c r="AB768" s="3">
        <f t="shared" si="168"/>
        <v>8</v>
      </c>
      <c r="AC768" s="6">
        <f t="shared" si="176"/>
        <v>-8</v>
      </c>
      <c r="AD768" s="6">
        <f t="shared" si="177"/>
        <v>0</v>
      </c>
      <c r="AE768" s="6">
        <f t="shared" si="178"/>
        <v>0</v>
      </c>
      <c r="AF768" s="6">
        <f t="shared" si="179"/>
        <v>0</v>
      </c>
      <c r="AG768" s="6">
        <f t="shared" si="180"/>
        <v>0</v>
      </c>
      <c r="AH768" s="6">
        <f t="shared" si="169"/>
        <v>-8</v>
      </c>
      <c r="AI768" s="3"/>
      <c r="AJ768" s="3" t="e">
        <f>_xlfn.XLOOKUP(K768,工作表1!A:A,工作表1!C:C)</f>
        <v>#N/A</v>
      </c>
      <c r="AK768" s="3"/>
      <c r="AL768" s="6">
        <f t="shared" si="170"/>
        <v>0</v>
      </c>
      <c r="AM768" s="6">
        <f t="shared" si="171"/>
        <v>0</v>
      </c>
      <c r="AN768" s="6">
        <f t="shared" si="172"/>
        <v>0</v>
      </c>
      <c r="AO768" s="6">
        <f t="shared" si="173"/>
        <v>0</v>
      </c>
      <c r="AP768" s="6">
        <f t="shared" si="174"/>
        <v>0</v>
      </c>
      <c r="AQ768" s="6">
        <f t="shared" si="175"/>
        <v>0</v>
      </c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  <c r="BC768" s="6"/>
      <c r="BD768" s="6"/>
      <c r="BE768" s="6"/>
      <c r="BF768" s="6"/>
      <c r="BG768" s="6"/>
      <c r="BH768" s="6"/>
      <c r="BI768" s="6"/>
      <c r="BJ768" s="6"/>
      <c r="BK768" s="6"/>
      <c r="BL768" s="6"/>
      <c r="BM768" s="6"/>
      <c r="BN768" s="6"/>
      <c r="BO768" s="6"/>
      <c r="BP768" s="3">
        <v>8</v>
      </c>
      <c r="BQ768" s="6">
        <f t="shared" si="166"/>
        <v>0</v>
      </c>
    </row>
    <row r="769" spans="1:69" x14ac:dyDescent="0.3">
      <c r="A769" s="3" t="s">
        <v>931</v>
      </c>
      <c r="B769" s="3">
        <v>630</v>
      </c>
      <c r="C769" s="3" t="s">
        <v>1252</v>
      </c>
      <c r="D769" s="3">
        <v>0.75</v>
      </c>
      <c r="E769" s="3" t="s">
        <v>19</v>
      </c>
      <c r="F769" s="3" t="s">
        <v>41</v>
      </c>
      <c r="G769" s="3" t="s">
        <v>19</v>
      </c>
      <c r="H769" s="3" t="s">
        <v>61</v>
      </c>
      <c r="I769" s="3">
        <v>5.56</v>
      </c>
      <c r="J769" s="3" t="s">
        <v>91</v>
      </c>
      <c r="K769" s="3" t="s">
        <v>1254</v>
      </c>
      <c r="L769" s="3" t="s">
        <v>24</v>
      </c>
      <c r="M769" s="3">
        <v>3</v>
      </c>
      <c r="N769" s="6"/>
      <c r="O769" s="3">
        <v>3</v>
      </c>
      <c r="P769" s="3">
        <v>3</v>
      </c>
      <c r="Q769" s="3">
        <v>3</v>
      </c>
      <c r="R769" s="3">
        <v>0</v>
      </c>
      <c r="S769" s="3">
        <v>0</v>
      </c>
      <c r="T769" s="3">
        <v>0</v>
      </c>
      <c r="U769" s="3">
        <v>0</v>
      </c>
      <c r="V769" s="3">
        <f t="shared" si="167"/>
        <v>3</v>
      </c>
      <c r="W769" s="3">
        <v>3</v>
      </c>
      <c r="X769" s="3">
        <v>0</v>
      </c>
      <c r="Y769" s="3">
        <v>0</v>
      </c>
      <c r="Z769" s="3">
        <v>0</v>
      </c>
      <c r="AA769" s="3">
        <v>0</v>
      </c>
      <c r="AB769" s="3">
        <f t="shared" si="168"/>
        <v>3</v>
      </c>
      <c r="AC769" s="6">
        <f t="shared" si="176"/>
        <v>-3</v>
      </c>
      <c r="AD769" s="6">
        <f t="shared" si="177"/>
        <v>0</v>
      </c>
      <c r="AE769" s="6">
        <f t="shared" si="178"/>
        <v>0</v>
      </c>
      <c r="AF769" s="6">
        <f t="shared" si="179"/>
        <v>0</v>
      </c>
      <c r="AG769" s="6">
        <f t="shared" si="180"/>
        <v>0</v>
      </c>
      <c r="AH769" s="6">
        <f t="shared" si="169"/>
        <v>-3</v>
      </c>
      <c r="AI769" s="3"/>
      <c r="AJ769" s="3" t="e">
        <f>_xlfn.XLOOKUP(K769,工作表1!A:A,工作表1!C:C)</f>
        <v>#N/A</v>
      </c>
      <c r="AK769" s="3"/>
      <c r="AL769" s="6">
        <f t="shared" si="170"/>
        <v>0</v>
      </c>
      <c r="AM769" s="6">
        <f t="shared" si="171"/>
        <v>0</v>
      </c>
      <c r="AN769" s="6">
        <f t="shared" si="172"/>
        <v>0</v>
      </c>
      <c r="AO769" s="6">
        <f t="shared" si="173"/>
        <v>0</v>
      </c>
      <c r="AP769" s="6">
        <f t="shared" si="174"/>
        <v>0</v>
      </c>
      <c r="AQ769" s="6">
        <f t="shared" si="175"/>
        <v>0</v>
      </c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  <c r="BC769" s="6"/>
      <c r="BD769" s="6"/>
      <c r="BE769" s="6"/>
      <c r="BF769" s="6"/>
      <c r="BG769" s="6"/>
      <c r="BH769" s="6"/>
      <c r="BI769" s="6"/>
      <c r="BJ769" s="6"/>
      <c r="BK769" s="6"/>
      <c r="BL769" s="6"/>
      <c r="BM769" s="6"/>
      <c r="BN769" s="6"/>
      <c r="BO769" s="6"/>
      <c r="BP769" s="3">
        <v>3</v>
      </c>
      <c r="BQ769" s="6">
        <f t="shared" si="166"/>
        <v>0</v>
      </c>
    </row>
    <row r="770" spans="1:69" x14ac:dyDescent="0.3">
      <c r="A770" s="3" t="s">
        <v>931</v>
      </c>
      <c r="B770" s="3">
        <v>630</v>
      </c>
      <c r="C770" s="3" t="s">
        <v>1255</v>
      </c>
      <c r="D770" s="3">
        <v>0.75</v>
      </c>
      <c r="E770" s="3" t="s">
        <v>19</v>
      </c>
      <c r="F770" s="3" t="s">
        <v>19</v>
      </c>
      <c r="G770" s="3" t="s">
        <v>19</v>
      </c>
      <c r="H770" s="3" t="s">
        <v>103</v>
      </c>
      <c r="I770" s="3"/>
      <c r="J770" s="3" t="s">
        <v>91</v>
      </c>
      <c r="K770" s="3" t="s">
        <v>1256</v>
      </c>
      <c r="L770" s="3" t="s">
        <v>24</v>
      </c>
      <c r="M770" s="3">
        <v>1</v>
      </c>
      <c r="N770" s="6"/>
      <c r="O770" s="3">
        <v>1</v>
      </c>
      <c r="P770" s="3">
        <v>1</v>
      </c>
      <c r="Q770" s="3">
        <v>1</v>
      </c>
      <c r="R770" s="3">
        <v>0</v>
      </c>
      <c r="S770" s="3">
        <v>0</v>
      </c>
      <c r="T770" s="3">
        <v>0</v>
      </c>
      <c r="U770" s="3">
        <v>0</v>
      </c>
      <c r="V770" s="3">
        <f t="shared" si="167"/>
        <v>1</v>
      </c>
      <c r="W770" s="3">
        <v>1</v>
      </c>
      <c r="X770" s="3">
        <v>0</v>
      </c>
      <c r="Y770" s="3">
        <v>0</v>
      </c>
      <c r="Z770" s="3">
        <v>0</v>
      </c>
      <c r="AA770" s="3">
        <v>0</v>
      </c>
      <c r="AB770" s="3">
        <f t="shared" si="168"/>
        <v>1</v>
      </c>
      <c r="AC770" s="6">
        <f t="shared" si="176"/>
        <v>-1</v>
      </c>
      <c r="AD770" s="6">
        <f t="shared" si="177"/>
        <v>0</v>
      </c>
      <c r="AE770" s="6">
        <f t="shared" si="178"/>
        <v>0</v>
      </c>
      <c r="AF770" s="6">
        <f t="shared" si="179"/>
        <v>0</v>
      </c>
      <c r="AG770" s="6">
        <f t="shared" si="180"/>
        <v>0</v>
      </c>
      <c r="AH770" s="6">
        <f t="shared" si="169"/>
        <v>-1</v>
      </c>
      <c r="AI770" s="3"/>
      <c r="AJ770" s="3" t="e">
        <f>_xlfn.XLOOKUP(K770,工作表1!A:A,工作表1!C:C)</f>
        <v>#N/A</v>
      </c>
      <c r="AK770" s="3"/>
      <c r="AL770" s="6">
        <f t="shared" si="170"/>
        <v>0</v>
      </c>
      <c r="AM770" s="6">
        <f t="shared" si="171"/>
        <v>0</v>
      </c>
      <c r="AN770" s="6">
        <f t="shared" si="172"/>
        <v>0</v>
      </c>
      <c r="AO770" s="6">
        <f t="shared" si="173"/>
        <v>0</v>
      </c>
      <c r="AP770" s="6">
        <f t="shared" si="174"/>
        <v>0</v>
      </c>
      <c r="AQ770" s="6">
        <f t="shared" si="175"/>
        <v>0</v>
      </c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  <c r="BC770" s="6"/>
      <c r="BD770" s="6"/>
      <c r="BE770" s="6"/>
      <c r="BF770" s="6"/>
      <c r="BG770" s="6"/>
      <c r="BH770" s="6"/>
      <c r="BI770" s="6"/>
      <c r="BJ770" s="6"/>
      <c r="BK770" s="6"/>
      <c r="BL770" s="6"/>
      <c r="BM770" s="6"/>
      <c r="BN770" s="6"/>
      <c r="BO770" s="6"/>
      <c r="BP770" s="3">
        <v>1</v>
      </c>
      <c r="BQ770" s="6">
        <f t="shared" si="166"/>
        <v>0</v>
      </c>
    </row>
    <row r="771" spans="1:69" x14ac:dyDescent="0.3">
      <c r="A771" s="3" t="s">
        <v>931</v>
      </c>
      <c r="B771" s="3">
        <v>674</v>
      </c>
      <c r="C771" s="3" t="s">
        <v>1257</v>
      </c>
      <c r="D771" s="3">
        <v>8</v>
      </c>
      <c r="E771" s="3" t="s">
        <v>19</v>
      </c>
      <c r="F771" s="3" t="s">
        <v>41</v>
      </c>
      <c r="G771" s="3" t="s">
        <v>19</v>
      </c>
      <c r="H771" s="3" t="s">
        <v>952</v>
      </c>
      <c r="I771" s="3">
        <v>23.01</v>
      </c>
      <c r="J771" s="3" t="s">
        <v>91</v>
      </c>
      <c r="K771" s="3" t="s">
        <v>1258</v>
      </c>
      <c r="L771" s="3" t="s">
        <v>24</v>
      </c>
      <c r="M771" s="3">
        <v>1</v>
      </c>
      <c r="N771" s="6"/>
      <c r="O771" s="3">
        <v>1</v>
      </c>
      <c r="P771" s="3">
        <v>1</v>
      </c>
      <c r="Q771" s="3">
        <v>1</v>
      </c>
      <c r="R771" s="3">
        <v>0</v>
      </c>
      <c r="S771" s="3">
        <v>0</v>
      </c>
      <c r="T771" s="3">
        <v>0</v>
      </c>
      <c r="U771" s="3">
        <v>0</v>
      </c>
      <c r="V771" s="3">
        <f t="shared" si="167"/>
        <v>1</v>
      </c>
      <c r="W771" s="3">
        <v>1</v>
      </c>
      <c r="X771" s="3">
        <v>0</v>
      </c>
      <c r="Y771" s="3">
        <v>0</v>
      </c>
      <c r="Z771" s="3">
        <v>0</v>
      </c>
      <c r="AA771" s="3">
        <v>0</v>
      </c>
      <c r="AB771" s="3">
        <f t="shared" si="168"/>
        <v>1</v>
      </c>
      <c r="AC771" s="6">
        <f t="shared" si="176"/>
        <v>-1</v>
      </c>
      <c r="AD771" s="6">
        <f t="shared" si="177"/>
        <v>0</v>
      </c>
      <c r="AE771" s="6">
        <f t="shared" si="178"/>
        <v>0</v>
      </c>
      <c r="AF771" s="6">
        <f t="shared" si="179"/>
        <v>0</v>
      </c>
      <c r="AG771" s="6">
        <f t="shared" si="180"/>
        <v>0</v>
      </c>
      <c r="AH771" s="6">
        <f t="shared" si="169"/>
        <v>-1</v>
      </c>
      <c r="AI771" s="3"/>
      <c r="AJ771" s="3" t="e">
        <f>_xlfn.XLOOKUP(K771,工作表1!A:A,工作表1!C:C)</f>
        <v>#N/A</v>
      </c>
      <c r="AK771" s="3"/>
      <c r="AL771" s="6">
        <f t="shared" si="170"/>
        <v>0</v>
      </c>
      <c r="AM771" s="6">
        <f t="shared" si="171"/>
        <v>0</v>
      </c>
      <c r="AN771" s="6">
        <f t="shared" si="172"/>
        <v>0</v>
      </c>
      <c r="AO771" s="6">
        <f t="shared" si="173"/>
        <v>0</v>
      </c>
      <c r="AP771" s="6">
        <f t="shared" si="174"/>
        <v>0</v>
      </c>
      <c r="AQ771" s="6">
        <f t="shared" si="175"/>
        <v>0</v>
      </c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  <c r="BC771" s="6"/>
      <c r="BD771" s="6"/>
      <c r="BE771" s="6"/>
      <c r="BF771" s="6"/>
      <c r="BG771" s="6"/>
      <c r="BH771" s="6"/>
      <c r="BI771" s="6"/>
      <c r="BJ771" s="6"/>
      <c r="BK771" s="6"/>
      <c r="BL771" s="6"/>
      <c r="BM771" s="6"/>
      <c r="BN771" s="6"/>
      <c r="BO771" s="6"/>
      <c r="BP771" s="3">
        <v>1</v>
      </c>
      <c r="BQ771" s="6">
        <f t="shared" si="166"/>
        <v>0</v>
      </c>
    </row>
    <row r="772" spans="1:69" x14ac:dyDescent="0.3">
      <c r="A772" s="3" t="s">
        <v>1259</v>
      </c>
      <c r="B772" s="3">
        <v>102</v>
      </c>
      <c r="C772" s="3" t="s">
        <v>1260</v>
      </c>
      <c r="D772" s="3">
        <v>0.75</v>
      </c>
      <c r="E772" s="3" t="s">
        <v>19</v>
      </c>
      <c r="F772" s="3" t="s">
        <v>63</v>
      </c>
      <c r="G772" s="3" t="s">
        <v>19</v>
      </c>
      <c r="H772" s="3" t="s">
        <v>64</v>
      </c>
      <c r="I772" s="3">
        <v>7.82</v>
      </c>
      <c r="J772" s="3" t="s">
        <v>22</v>
      </c>
      <c r="K772" s="3" t="s">
        <v>1261</v>
      </c>
      <c r="L772" s="3" t="s">
        <v>24</v>
      </c>
      <c r="M772" s="3">
        <v>312</v>
      </c>
      <c r="N772" s="6"/>
      <c r="O772" s="3">
        <v>0.6</v>
      </c>
      <c r="P772" s="3">
        <v>0.6</v>
      </c>
      <c r="Q772" s="3">
        <v>0</v>
      </c>
      <c r="R772" s="3">
        <v>0</v>
      </c>
      <c r="S772" s="3">
        <v>0</v>
      </c>
      <c r="T772" s="3">
        <v>0.6</v>
      </c>
      <c r="U772" s="3">
        <v>0</v>
      </c>
      <c r="V772" s="3">
        <f t="shared" si="167"/>
        <v>0.6</v>
      </c>
      <c r="W772" s="3">
        <v>0</v>
      </c>
      <c r="X772" s="3">
        <v>0</v>
      </c>
      <c r="Y772" s="3">
        <v>0</v>
      </c>
      <c r="Z772" s="3">
        <v>6</v>
      </c>
      <c r="AA772" s="3">
        <v>0</v>
      </c>
      <c r="AB772" s="3">
        <f t="shared" si="168"/>
        <v>6</v>
      </c>
      <c r="AC772" s="6">
        <f t="shared" si="176"/>
        <v>0</v>
      </c>
      <c r="AD772" s="6">
        <f t="shared" si="177"/>
        <v>0</v>
      </c>
      <c r="AE772" s="6">
        <f t="shared" si="178"/>
        <v>0</v>
      </c>
      <c r="AF772" s="6">
        <f t="shared" si="179"/>
        <v>-6</v>
      </c>
      <c r="AG772" s="6">
        <f t="shared" si="180"/>
        <v>0</v>
      </c>
      <c r="AH772" s="6">
        <f t="shared" si="169"/>
        <v>-6</v>
      </c>
      <c r="AI772" s="3"/>
      <c r="AJ772" s="3" t="e">
        <f>_xlfn.XLOOKUP(K772,工作表1!A:A,工作表1!C:C)</f>
        <v>#N/A</v>
      </c>
      <c r="AK772" s="3"/>
      <c r="AL772" s="6">
        <f t="shared" si="170"/>
        <v>0</v>
      </c>
      <c r="AM772" s="6">
        <f t="shared" si="171"/>
        <v>0</v>
      </c>
      <c r="AN772" s="6">
        <f t="shared" si="172"/>
        <v>0</v>
      </c>
      <c r="AO772" s="6">
        <f t="shared" si="173"/>
        <v>0</v>
      </c>
      <c r="AP772" s="6">
        <f t="shared" si="174"/>
        <v>0</v>
      </c>
      <c r="AQ772" s="6">
        <f t="shared" si="175"/>
        <v>0</v>
      </c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  <c r="BC772" s="6"/>
      <c r="BD772" s="6"/>
      <c r="BE772" s="6"/>
      <c r="BF772" s="6"/>
      <c r="BG772" s="6"/>
      <c r="BH772" s="6"/>
      <c r="BI772" s="6"/>
      <c r="BJ772" s="6"/>
      <c r="BK772" s="6"/>
      <c r="BL772" s="6"/>
      <c r="BM772" s="6"/>
      <c r="BN772" s="6"/>
      <c r="BO772" s="6"/>
      <c r="BP772" s="3">
        <v>6</v>
      </c>
      <c r="BQ772" s="6">
        <f t="shared" si="166"/>
        <v>0</v>
      </c>
    </row>
    <row r="773" spans="1:69" x14ac:dyDescent="0.3">
      <c r="A773" s="3" t="s">
        <v>1259</v>
      </c>
      <c r="B773" s="3">
        <v>102</v>
      </c>
      <c r="C773" s="3" t="s">
        <v>1262</v>
      </c>
      <c r="D773" s="3">
        <v>10</v>
      </c>
      <c r="E773" s="3" t="s">
        <v>19</v>
      </c>
      <c r="F773" s="3" t="s">
        <v>1263</v>
      </c>
      <c r="G773" s="3" t="s">
        <v>19</v>
      </c>
      <c r="H773" s="3" t="s">
        <v>1264</v>
      </c>
      <c r="I773" s="3">
        <v>35</v>
      </c>
      <c r="J773" s="3" t="s">
        <v>22</v>
      </c>
      <c r="K773" s="3" t="s">
        <v>1265</v>
      </c>
      <c r="L773" s="3" t="s">
        <v>24</v>
      </c>
      <c r="M773" s="3">
        <v>6</v>
      </c>
      <c r="N773" s="6"/>
      <c r="O773" s="3">
        <v>1.1000000000000001</v>
      </c>
      <c r="P773" s="3">
        <v>1.1000000000000001</v>
      </c>
      <c r="Q773" s="3">
        <v>0</v>
      </c>
      <c r="R773" s="3">
        <v>0</v>
      </c>
      <c r="S773" s="3">
        <v>0</v>
      </c>
      <c r="T773" s="3">
        <v>1.1000000000000001</v>
      </c>
      <c r="U773" s="3">
        <v>0</v>
      </c>
      <c r="V773" s="3">
        <f t="shared" si="167"/>
        <v>1.1000000000000001</v>
      </c>
      <c r="W773" s="3">
        <v>0</v>
      </c>
      <c r="X773" s="3">
        <v>0</v>
      </c>
      <c r="Y773" s="3">
        <v>0</v>
      </c>
      <c r="Z773" s="3">
        <v>6</v>
      </c>
      <c r="AA773" s="3">
        <v>0</v>
      </c>
      <c r="AB773" s="3">
        <f t="shared" si="168"/>
        <v>6</v>
      </c>
      <c r="AC773" s="6">
        <f t="shared" si="176"/>
        <v>0</v>
      </c>
      <c r="AD773" s="6">
        <f t="shared" si="177"/>
        <v>0</v>
      </c>
      <c r="AE773" s="6">
        <f t="shared" si="178"/>
        <v>0</v>
      </c>
      <c r="AF773" s="6">
        <f t="shared" si="179"/>
        <v>-6</v>
      </c>
      <c r="AG773" s="6">
        <f t="shared" si="180"/>
        <v>0</v>
      </c>
      <c r="AH773" s="6">
        <f t="shared" si="169"/>
        <v>-6</v>
      </c>
      <c r="AI773" s="3"/>
      <c r="AJ773" s="3" t="e">
        <f>_xlfn.XLOOKUP(K773,工作表1!A:A,工作表1!C:C)</f>
        <v>#N/A</v>
      </c>
      <c r="AK773" s="3"/>
      <c r="AL773" s="6">
        <f t="shared" si="170"/>
        <v>0</v>
      </c>
      <c r="AM773" s="6">
        <f t="shared" si="171"/>
        <v>0</v>
      </c>
      <c r="AN773" s="6">
        <f t="shared" si="172"/>
        <v>0</v>
      </c>
      <c r="AO773" s="6">
        <f t="shared" si="173"/>
        <v>0</v>
      </c>
      <c r="AP773" s="6">
        <f t="shared" si="174"/>
        <v>0</v>
      </c>
      <c r="AQ773" s="6">
        <f t="shared" si="175"/>
        <v>0</v>
      </c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  <c r="BC773" s="6"/>
      <c r="BD773" s="6"/>
      <c r="BE773" s="6"/>
      <c r="BF773" s="6"/>
      <c r="BG773" s="6"/>
      <c r="BH773" s="6"/>
      <c r="BI773" s="6"/>
      <c r="BJ773" s="6"/>
      <c r="BK773" s="6"/>
      <c r="BL773" s="6"/>
      <c r="BM773" s="6"/>
      <c r="BN773" s="6"/>
      <c r="BO773" s="6"/>
      <c r="BP773" s="3">
        <v>6</v>
      </c>
      <c r="BQ773" s="6">
        <f t="shared" si="166"/>
        <v>0</v>
      </c>
    </row>
    <row r="774" spans="1:69" x14ac:dyDescent="0.3">
      <c r="A774" s="3" t="s">
        <v>1259</v>
      </c>
      <c r="B774" s="3">
        <v>102</v>
      </c>
      <c r="C774" s="3" t="s">
        <v>1262</v>
      </c>
      <c r="D774" s="3">
        <v>8</v>
      </c>
      <c r="E774" s="3" t="s">
        <v>19</v>
      </c>
      <c r="F774" s="3" t="s">
        <v>1266</v>
      </c>
      <c r="G774" s="3" t="s">
        <v>19</v>
      </c>
      <c r="H774" s="3" t="s">
        <v>1267</v>
      </c>
      <c r="I774" s="3">
        <v>18.260000000000002</v>
      </c>
      <c r="J774" s="3" t="s">
        <v>22</v>
      </c>
      <c r="K774" s="3" t="s">
        <v>1268</v>
      </c>
      <c r="L774" s="3" t="s">
        <v>24</v>
      </c>
      <c r="M774" s="3">
        <v>6</v>
      </c>
      <c r="N774" s="6"/>
      <c r="O774" s="3">
        <v>4.8</v>
      </c>
      <c r="P774" s="3">
        <v>4.8</v>
      </c>
      <c r="Q774" s="3">
        <v>0</v>
      </c>
      <c r="R774" s="3">
        <v>0</v>
      </c>
      <c r="S774" s="3">
        <v>0</v>
      </c>
      <c r="T774" s="3">
        <v>4.8</v>
      </c>
      <c r="U774" s="3">
        <v>0</v>
      </c>
      <c r="V774" s="3">
        <f t="shared" si="167"/>
        <v>4.8</v>
      </c>
      <c r="W774" s="3">
        <v>0</v>
      </c>
      <c r="X774" s="3">
        <v>0</v>
      </c>
      <c r="Y774" s="3">
        <v>0</v>
      </c>
      <c r="Z774" s="3">
        <v>6</v>
      </c>
      <c r="AA774" s="3">
        <v>0</v>
      </c>
      <c r="AB774" s="3">
        <f t="shared" si="168"/>
        <v>6</v>
      </c>
      <c r="AC774" s="6">
        <f t="shared" si="176"/>
        <v>0</v>
      </c>
      <c r="AD774" s="6">
        <f t="shared" si="177"/>
        <v>0</v>
      </c>
      <c r="AE774" s="6">
        <f t="shared" si="178"/>
        <v>0</v>
      </c>
      <c r="AF774" s="6">
        <f t="shared" si="179"/>
        <v>-6</v>
      </c>
      <c r="AG774" s="6">
        <f t="shared" si="180"/>
        <v>0</v>
      </c>
      <c r="AH774" s="6">
        <f t="shared" si="169"/>
        <v>-6</v>
      </c>
      <c r="AI774" s="3"/>
      <c r="AJ774" s="3" t="e">
        <f>_xlfn.XLOOKUP(K774,工作表1!A:A,工作表1!C:C)</f>
        <v>#N/A</v>
      </c>
      <c r="AK774" s="3"/>
      <c r="AL774" s="6">
        <f t="shared" si="170"/>
        <v>0</v>
      </c>
      <c r="AM774" s="6">
        <f t="shared" si="171"/>
        <v>0</v>
      </c>
      <c r="AN774" s="6">
        <f t="shared" si="172"/>
        <v>0</v>
      </c>
      <c r="AO774" s="6">
        <f t="shared" si="173"/>
        <v>0</v>
      </c>
      <c r="AP774" s="6">
        <f t="shared" si="174"/>
        <v>0</v>
      </c>
      <c r="AQ774" s="6">
        <f t="shared" si="175"/>
        <v>0</v>
      </c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  <c r="BC774" s="6"/>
      <c r="BD774" s="6"/>
      <c r="BE774" s="6"/>
      <c r="BF774" s="6"/>
      <c r="BG774" s="6"/>
      <c r="BH774" s="6"/>
      <c r="BI774" s="6"/>
      <c r="BJ774" s="6"/>
      <c r="BK774" s="6"/>
      <c r="BL774" s="6"/>
      <c r="BM774" s="6"/>
      <c r="BN774" s="6"/>
      <c r="BO774" s="6"/>
      <c r="BP774" s="3">
        <v>6</v>
      </c>
      <c r="BQ774" s="6">
        <f t="shared" si="166"/>
        <v>0</v>
      </c>
    </row>
    <row r="775" spans="1:69" x14ac:dyDescent="0.3">
      <c r="A775" s="3" t="s">
        <v>1259</v>
      </c>
      <c r="B775" s="3">
        <v>102</v>
      </c>
      <c r="C775" s="3" t="s">
        <v>1262</v>
      </c>
      <c r="D775" s="3">
        <v>6</v>
      </c>
      <c r="E775" s="3" t="s">
        <v>19</v>
      </c>
      <c r="F775" s="3" t="s">
        <v>1269</v>
      </c>
      <c r="G775" s="3" t="s">
        <v>19</v>
      </c>
      <c r="H775" s="3" t="s">
        <v>1270</v>
      </c>
      <c r="I775" s="3">
        <v>24</v>
      </c>
      <c r="J775" s="3" t="s">
        <v>22</v>
      </c>
      <c r="K775" s="3" t="s">
        <v>1271</v>
      </c>
      <c r="L775" s="3" t="s">
        <v>24</v>
      </c>
      <c r="M775" s="3">
        <v>6</v>
      </c>
      <c r="N775" s="6"/>
      <c r="O775" s="3">
        <v>0.4</v>
      </c>
      <c r="P775" s="3">
        <v>0.4</v>
      </c>
      <c r="Q775" s="3">
        <v>0</v>
      </c>
      <c r="R775" s="3">
        <v>0</v>
      </c>
      <c r="S775" s="3">
        <v>0.4</v>
      </c>
      <c r="T775" s="3">
        <v>0</v>
      </c>
      <c r="U775" s="3">
        <v>0</v>
      </c>
      <c r="V775" s="3">
        <f t="shared" si="167"/>
        <v>0.4</v>
      </c>
      <c r="W775" s="3">
        <v>0</v>
      </c>
      <c r="X775" s="3">
        <v>0</v>
      </c>
      <c r="Y775" s="3">
        <v>6</v>
      </c>
      <c r="Z775" s="3">
        <v>0</v>
      </c>
      <c r="AA775" s="3">
        <v>0</v>
      </c>
      <c r="AB775" s="3">
        <f t="shared" si="168"/>
        <v>6</v>
      </c>
      <c r="AC775" s="6">
        <f t="shared" si="176"/>
        <v>0</v>
      </c>
      <c r="AD775" s="6">
        <f t="shared" si="177"/>
        <v>0</v>
      </c>
      <c r="AE775" s="6">
        <f t="shared" si="178"/>
        <v>-6</v>
      </c>
      <c r="AF775" s="6">
        <f t="shared" si="179"/>
        <v>0</v>
      </c>
      <c r="AG775" s="6">
        <f t="shared" si="180"/>
        <v>0</v>
      </c>
      <c r="AH775" s="6">
        <f t="shared" si="169"/>
        <v>-6</v>
      </c>
      <c r="AI775" s="3"/>
      <c r="AJ775" s="3" t="e">
        <f>_xlfn.XLOOKUP(K775,工作表1!A:A,工作表1!C:C)</f>
        <v>#N/A</v>
      </c>
      <c r="AK775" s="3"/>
      <c r="AL775" s="6">
        <f t="shared" si="170"/>
        <v>0</v>
      </c>
      <c r="AM775" s="6">
        <f t="shared" si="171"/>
        <v>0</v>
      </c>
      <c r="AN775" s="6">
        <f t="shared" si="172"/>
        <v>0</v>
      </c>
      <c r="AO775" s="6">
        <f t="shared" si="173"/>
        <v>0</v>
      </c>
      <c r="AP775" s="6">
        <f t="shared" si="174"/>
        <v>0</v>
      </c>
      <c r="AQ775" s="6">
        <f t="shared" si="175"/>
        <v>0</v>
      </c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  <c r="BC775" s="6"/>
      <c r="BD775" s="6"/>
      <c r="BE775" s="6"/>
      <c r="BF775" s="6"/>
      <c r="BG775" s="6"/>
      <c r="BH775" s="6"/>
      <c r="BI775" s="6"/>
      <c r="BJ775" s="6"/>
      <c r="BK775" s="6"/>
      <c r="BL775" s="6"/>
      <c r="BM775" s="6"/>
      <c r="BN775" s="6"/>
      <c r="BO775" s="6"/>
      <c r="BP775" s="3">
        <v>6</v>
      </c>
      <c r="BQ775" s="6">
        <f t="shared" ref="BQ775:BQ838" si="181">SUM(BR775:FN775)</f>
        <v>0</v>
      </c>
    </row>
    <row r="776" spans="1:69" x14ac:dyDescent="0.3">
      <c r="A776" s="3" t="s">
        <v>1259</v>
      </c>
      <c r="B776" s="3">
        <v>303</v>
      </c>
      <c r="C776" s="3" t="s">
        <v>1272</v>
      </c>
      <c r="D776" s="3">
        <v>0.75</v>
      </c>
      <c r="E776" s="3" t="s">
        <v>19</v>
      </c>
      <c r="F776" s="3" t="s">
        <v>63</v>
      </c>
      <c r="G776" s="3" t="s">
        <v>19</v>
      </c>
      <c r="H776" s="3" t="s">
        <v>64</v>
      </c>
      <c r="I776" s="3">
        <v>7.82</v>
      </c>
      <c r="J776" s="3" t="s">
        <v>91</v>
      </c>
      <c r="K776" s="3" t="s">
        <v>1273</v>
      </c>
      <c r="L776" s="3" t="s">
        <v>24</v>
      </c>
      <c r="M776" s="3">
        <v>187</v>
      </c>
      <c r="N776" s="6"/>
      <c r="O776" s="3">
        <v>2</v>
      </c>
      <c r="P776" s="3">
        <v>2</v>
      </c>
      <c r="Q776" s="3">
        <v>0</v>
      </c>
      <c r="R776" s="3">
        <v>0</v>
      </c>
      <c r="S776" s="3">
        <v>0</v>
      </c>
      <c r="T776" s="3">
        <v>2</v>
      </c>
      <c r="U776" s="3">
        <v>0</v>
      </c>
      <c r="V776" s="3">
        <f t="shared" ref="V776:V839" si="182">SUM(Q776:U776)</f>
        <v>2</v>
      </c>
      <c r="W776" s="3">
        <v>0</v>
      </c>
      <c r="X776" s="3">
        <v>0</v>
      </c>
      <c r="Y776" s="3">
        <v>0</v>
      </c>
      <c r="Z776" s="3">
        <v>2</v>
      </c>
      <c r="AA776" s="3">
        <v>0</v>
      </c>
      <c r="AB776" s="3">
        <f t="shared" ref="AB776:AB839" si="183">SUM(W776:AA776)</f>
        <v>2</v>
      </c>
      <c r="AC776" s="6">
        <f t="shared" si="176"/>
        <v>0</v>
      </c>
      <c r="AD776" s="6">
        <f t="shared" si="177"/>
        <v>0</v>
      </c>
      <c r="AE776" s="6">
        <f t="shared" si="178"/>
        <v>0</v>
      </c>
      <c r="AF776" s="6">
        <f t="shared" si="179"/>
        <v>-2</v>
      </c>
      <c r="AG776" s="6">
        <f t="shared" si="180"/>
        <v>0</v>
      </c>
      <c r="AH776" s="6">
        <f t="shared" ref="AH776:AH839" si="184">AQ776-AB776</f>
        <v>-2</v>
      </c>
      <c r="AI776" s="3"/>
      <c r="AJ776" s="3" t="e">
        <f>_xlfn.XLOOKUP(K776,工作表1!A:A,工作表1!C:C)</f>
        <v>#N/A</v>
      </c>
      <c r="AK776" s="3"/>
      <c r="AL776" s="6">
        <f t="shared" ref="AL776:AL839" si="185">SUM(AR776:AV776)</f>
        <v>0</v>
      </c>
      <c r="AM776" s="6">
        <f t="shared" ref="AM776:AM839" si="186">SUM(AW776:AZ776)</f>
        <v>0</v>
      </c>
      <c r="AN776" s="6">
        <f t="shared" ref="AN776:AN839" si="187">SUM(BA776:BE776)</f>
        <v>0</v>
      </c>
      <c r="AO776" s="6">
        <f t="shared" ref="AO776:AO839" si="188">SUM(BF776:BI776)</f>
        <v>0</v>
      </c>
      <c r="AP776" s="6">
        <f t="shared" ref="AP776:AP839" si="189">SUM(BJ776:BN776)</f>
        <v>0</v>
      </c>
      <c r="AQ776" s="6">
        <f t="shared" ref="AQ776:AQ839" si="190">SUM(AL776:AP776)</f>
        <v>0</v>
      </c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  <c r="BC776" s="6"/>
      <c r="BD776" s="6"/>
      <c r="BE776" s="6"/>
      <c r="BF776" s="6"/>
      <c r="BG776" s="6"/>
      <c r="BH776" s="6"/>
      <c r="BI776" s="6"/>
      <c r="BJ776" s="6"/>
      <c r="BK776" s="6"/>
      <c r="BL776" s="6"/>
      <c r="BM776" s="6"/>
      <c r="BN776" s="6"/>
      <c r="BO776" s="6"/>
      <c r="BP776" s="3">
        <v>2</v>
      </c>
      <c r="BQ776" s="6">
        <f t="shared" si="181"/>
        <v>0</v>
      </c>
    </row>
    <row r="777" spans="1:69" x14ac:dyDescent="0.3">
      <c r="A777" s="3" t="s">
        <v>1259</v>
      </c>
      <c r="B777" s="3">
        <v>303</v>
      </c>
      <c r="C777" s="3" t="s">
        <v>1274</v>
      </c>
      <c r="D777" s="3">
        <v>8</v>
      </c>
      <c r="E777" s="3" t="s">
        <v>19</v>
      </c>
      <c r="F777" s="3" t="s">
        <v>1266</v>
      </c>
      <c r="G777" s="3" t="s">
        <v>19</v>
      </c>
      <c r="H777" s="3" t="s">
        <v>1267</v>
      </c>
      <c r="I777" s="3">
        <v>18.260000000000002</v>
      </c>
      <c r="J777" s="3" t="s">
        <v>91</v>
      </c>
      <c r="K777" s="3" t="s">
        <v>1275</v>
      </c>
      <c r="L777" s="3" t="s">
        <v>24</v>
      </c>
      <c r="M777" s="3">
        <v>4</v>
      </c>
      <c r="N777" s="6"/>
      <c r="O777" s="3">
        <v>4</v>
      </c>
      <c r="P777" s="3">
        <v>4</v>
      </c>
      <c r="Q777" s="3">
        <v>0</v>
      </c>
      <c r="R777" s="3">
        <v>0</v>
      </c>
      <c r="S777" s="3">
        <v>0</v>
      </c>
      <c r="T777" s="3">
        <v>4</v>
      </c>
      <c r="U777" s="3">
        <v>0</v>
      </c>
      <c r="V777" s="3">
        <f t="shared" si="182"/>
        <v>4</v>
      </c>
      <c r="W777" s="3">
        <v>0</v>
      </c>
      <c r="X777" s="3">
        <v>0</v>
      </c>
      <c r="Y777" s="3">
        <v>0</v>
      </c>
      <c r="Z777" s="3">
        <v>4</v>
      </c>
      <c r="AA777" s="3">
        <v>0</v>
      </c>
      <c r="AB777" s="3">
        <f t="shared" si="183"/>
        <v>4</v>
      </c>
      <c r="AC777" s="6">
        <f t="shared" si="176"/>
        <v>0</v>
      </c>
      <c r="AD777" s="6">
        <f t="shared" si="177"/>
        <v>0</v>
      </c>
      <c r="AE777" s="6">
        <f t="shared" si="178"/>
        <v>0</v>
      </c>
      <c r="AF777" s="6">
        <f t="shared" si="179"/>
        <v>-4</v>
      </c>
      <c r="AG777" s="6">
        <f t="shared" si="180"/>
        <v>0</v>
      </c>
      <c r="AH777" s="6">
        <f t="shared" si="184"/>
        <v>-4</v>
      </c>
      <c r="AI777" s="3"/>
      <c r="AJ777" s="3" t="e">
        <f>_xlfn.XLOOKUP(K777,工作表1!A:A,工作表1!C:C)</f>
        <v>#N/A</v>
      </c>
      <c r="AK777" s="3"/>
      <c r="AL777" s="6">
        <f t="shared" si="185"/>
        <v>0</v>
      </c>
      <c r="AM777" s="6">
        <f t="shared" si="186"/>
        <v>0</v>
      </c>
      <c r="AN777" s="6">
        <f t="shared" si="187"/>
        <v>0</v>
      </c>
      <c r="AO777" s="6">
        <f t="shared" si="188"/>
        <v>0</v>
      </c>
      <c r="AP777" s="6">
        <f t="shared" si="189"/>
        <v>0</v>
      </c>
      <c r="AQ777" s="6">
        <f t="shared" si="190"/>
        <v>0</v>
      </c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  <c r="BC777" s="6"/>
      <c r="BD777" s="6"/>
      <c r="BE777" s="6"/>
      <c r="BF777" s="6"/>
      <c r="BG777" s="6"/>
      <c r="BH777" s="6"/>
      <c r="BI777" s="6"/>
      <c r="BJ777" s="6"/>
      <c r="BK777" s="6"/>
      <c r="BL777" s="6"/>
      <c r="BM777" s="6"/>
      <c r="BN777" s="6"/>
      <c r="BO777" s="6"/>
      <c r="BP777" s="3">
        <v>4</v>
      </c>
      <c r="BQ777" s="6">
        <f t="shared" si="181"/>
        <v>0</v>
      </c>
    </row>
    <row r="778" spans="1:69" x14ac:dyDescent="0.3">
      <c r="A778" s="3" t="s">
        <v>1259</v>
      </c>
      <c r="B778" s="3">
        <v>363</v>
      </c>
      <c r="C778" s="3" t="s">
        <v>1276</v>
      </c>
      <c r="D778" s="3">
        <v>10</v>
      </c>
      <c r="E778" s="3">
        <v>8</v>
      </c>
      <c r="F778" s="3" t="s">
        <v>1263</v>
      </c>
      <c r="G778" s="3" t="s">
        <v>1266</v>
      </c>
      <c r="H778" s="3" t="s">
        <v>1277</v>
      </c>
      <c r="I778" s="3"/>
      <c r="J778" s="3" t="s">
        <v>91</v>
      </c>
      <c r="K778" s="3" t="s">
        <v>1278</v>
      </c>
      <c r="L778" s="3" t="s">
        <v>24</v>
      </c>
      <c r="M778" s="3">
        <v>1</v>
      </c>
      <c r="N778" s="6"/>
      <c r="O778" s="3">
        <v>1</v>
      </c>
      <c r="P778" s="3">
        <v>1</v>
      </c>
      <c r="Q778" s="3">
        <v>0</v>
      </c>
      <c r="R778" s="3">
        <v>0</v>
      </c>
      <c r="S778" s="3">
        <v>0</v>
      </c>
      <c r="T778" s="3">
        <v>1</v>
      </c>
      <c r="U778" s="3">
        <v>0</v>
      </c>
      <c r="V778" s="3">
        <f t="shared" si="182"/>
        <v>1</v>
      </c>
      <c r="W778" s="3">
        <v>0</v>
      </c>
      <c r="X778" s="3">
        <v>0</v>
      </c>
      <c r="Y778" s="3">
        <v>0</v>
      </c>
      <c r="Z778" s="3">
        <v>1</v>
      </c>
      <c r="AA778" s="3">
        <v>0</v>
      </c>
      <c r="AB778" s="3">
        <f t="shared" si="183"/>
        <v>1</v>
      </c>
      <c r="AC778" s="6">
        <f t="shared" si="176"/>
        <v>0</v>
      </c>
      <c r="AD778" s="6">
        <f t="shared" si="177"/>
        <v>0</v>
      </c>
      <c r="AE778" s="6">
        <f t="shared" si="178"/>
        <v>0</v>
      </c>
      <c r="AF778" s="6">
        <f t="shared" si="179"/>
        <v>-1</v>
      </c>
      <c r="AG778" s="6">
        <f t="shared" si="180"/>
        <v>0</v>
      </c>
      <c r="AH778" s="6">
        <f t="shared" si="184"/>
        <v>-1</v>
      </c>
      <c r="AI778" s="3"/>
      <c r="AJ778" s="3" t="e">
        <f>_xlfn.XLOOKUP(K778,工作表1!A:A,工作表1!C:C)</f>
        <v>#N/A</v>
      </c>
      <c r="AK778" s="3"/>
      <c r="AL778" s="6">
        <f t="shared" si="185"/>
        <v>0</v>
      </c>
      <c r="AM778" s="6">
        <f t="shared" si="186"/>
        <v>0</v>
      </c>
      <c r="AN778" s="6">
        <f t="shared" si="187"/>
        <v>0</v>
      </c>
      <c r="AO778" s="6">
        <f t="shared" si="188"/>
        <v>0</v>
      </c>
      <c r="AP778" s="6">
        <f t="shared" si="189"/>
        <v>0</v>
      </c>
      <c r="AQ778" s="6">
        <f t="shared" si="190"/>
        <v>0</v>
      </c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  <c r="BC778" s="6"/>
      <c r="BD778" s="6"/>
      <c r="BE778" s="6"/>
      <c r="BF778" s="6"/>
      <c r="BG778" s="6"/>
      <c r="BH778" s="6"/>
      <c r="BI778" s="6"/>
      <c r="BJ778" s="6"/>
      <c r="BK778" s="6"/>
      <c r="BL778" s="6"/>
      <c r="BM778" s="6"/>
      <c r="BN778" s="6"/>
      <c r="BO778" s="6"/>
      <c r="BP778" s="3">
        <v>1</v>
      </c>
      <c r="BQ778" s="6">
        <f t="shared" si="181"/>
        <v>0</v>
      </c>
    </row>
    <row r="779" spans="1:69" x14ac:dyDescent="0.3">
      <c r="A779" s="3" t="s">
        <v>1259</v>
      </c>
      <c r="B779" s="3">
        <v>363</v>
      </c>
      <c r="C779" s="3" t="s">
        <v>1276</v>
      </c>
      <c r="D779" s="3">
        <v>8</v>
      </c>
      <c r="E779" s="3">
        <v>6</v>
      </c>
      <c r="F779" s="3" t="s">
        <v>1266</v>
      </c>
      <c r="G779" s="3" t="s">
        <v>1269</v>
      </c>
      <c r="H779" s="3" t="s">
        <v>1279</v>
      </c>
      <c r="I779" s="3"/>
      <c r="J779" s="3" t="s">
        <v>91</v>
      </c>
      <c r="K779" s="3" t="s">
        <v>1280</v>
      </c>
      <c r="L779" s="3" t="s">
        <v>24</v>
      </c>
      <c r="M779" s="3">
        <v>1</v>
      </c>
      <c r="N779" s="6"/>
      <c r="O779" s="3">
        <v>1</v>
      </c>
      <c r="P779" s="3">
        <v>1</v>
      </c>
      <c r="Q779" s="3">
        <v>0</v>
      </c>
      <c r="R779" s="3">
        <v>0</v>
      </c>
      <c r="S779" s="3">
        <v>0</v>
      </c>
      <c r="T779" s="3">
        <v>1</v>
      </c>
      <c r="U779" s="3">
        <v>0</v>
      </c>
      <c r="V779" s="3">
        <f t="shared" si="182"/>
        <v>1</v>
      </c>
      <c r="W779" s="3">
        <v>0</v>
      </c>
      <c r="X779" s="3">
        <v>0</v>
      </c>
      <c r="Y779" s="3">
        <v>0</v>
      </c>
      <c r="Z779" s="3">
        <v>1</v>
      </c>
      <c r="AA779" s="3">
        <v>0</v>
      </c>
      <c r="AB779" s="3">
        <f t="shared" si="183"/>
        <v>1</v>
      </c>
      <c r="AC779" s="6">
        <f t="shared" si="176"/>
        <v>0</v>
      </c>
      <c r="AD779" s="6">
        <f t="shared" si="177"/>
        <v>0</v>
      </c>
      <c r="AE779" s="6">
        <f t="shared" si="178"/>
        <v>0</v>
      </c>
      <c r="AF779" s="6">
        <f t="shared" si="179"/>
        <v>-1</v>
      </c>
      <c r="AG779" s="6">
        <f t="shared" si="180"/>
        <v>0</v>
      </c>
      <c r="AH779" s="6">
        <f t="shared" si="184"/>
        <v>-1</v>
      </c>
      <c r="AI779" s="3"/>
      <c r="AJ779" s="3" t="e">
        <f>_xlfn.XLOOKUP(K779,工作表1!A:A,工作表1!C:C)</f>
        <v>#N/A</v>
      </c>
      <c r="AK779" s="3"/>
      <c r="AL779" s="6">
        <f t="shared" si="185"/>
        <v>0</v>
      </c>
      <c r="AM779" s="6">
        <f t="shared" si="186"/>
        <v>0</v>
      </c>
      <c r="AN779" s="6">
        <f t="shared" si="187"/>
        <v>0</v>
      </c>
      <c r="AO779" s="6">
        <f t="shared" si="188"/>
        <v>0</v>
      </c>
      <c r="AP779" s="6">
        <f t="shared" si="189"/>
        <v>0</v>
      </c>
      <c r="AQ779" s="6">
        <f t="shared" si="190"/>
        <v>0</v>
      </c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  <c r="BC779" s="6"/>
      <c r="BD779" s="6"/>
      <c r="BE779" s="6"/>
      <c r="BF779" s="6"/>
      <c r="BG779" s="6"/>
      <c r="BH779" s="6"/>
      <c r="BI779" s="6"/>
      <c r="BJ779" s="6"/>
      <c r="BK779" s="6"/>
      <c r="BL779" s="6"/>
      <c r="BM779" s="6"/>
      <c r="BN779" s="6"/>
      <c r="BO779" s="6"/>
      <c r="BP779" s="3">
        <v>1</v>
      </c>
      <c r="BQ779" s="6">
        <f t="shared" si="181"/>
        <v>0</v>
      </c>
    </row>
    <row r="780" spans="1:69" x14ac:dyDescent="0.3">
      <c r="A780" s="3" t="s">
        <v>1259</v>
      </c>
      <c r="B780" s="3">
        <v>415</v>
      </c>
      <c r="C780" s="3" t="s">
        <v>1281</v>
      </c>
      <c r="D780" s="3">
        <v>0.75</v>
      </c>
      <c r="E780" s="3" t="s">
        <v>19</v>
      </c>
      <c r="F780" s="3" t="s">
        <v>63</v>
      </c>
      <c r="G780" s="3" t="s">
        <v>19</v>
      </c>
      <c r="H780" s="3" t="s">
        <v>64</v>
      </c>
      <c r="I780" s="3">
        <v>7.82</v>
      </c>
      <c r="J780" s="3" t="s">
        <v>91</v>
      </c>
      <c r="K780" s="3" t="s">
        <v>1282</v>
      </c>
      <c r="L780" s="3" t="s">
        <v>24</v>
      </c>
      <c r="M780" s="3">
        <v>112</v>
      </c>
      <c r="N780" s="6"/>
      <c r="O780" s="3">
        <v>2</v>
      </c>
      <c r="P780" s="3">
        <v>2</v>
      </c>
      <c r="Q780" s="3">
        <v>0</v>
      </c>
      <c r="R780" s="3">
        <v>0</v>
      </c>
      <c r="S780" s="3">
        <v>0</v>
      </c>
      <c r="T780" s="3">
        <v>2</v>
      </c>
      <c r="U780" s="3">
        <v>0</v>
      </c>
      <c r="V780" s="3">
        <f t="shared" si="182"/>
        <v>2</v>
      </c>
      <c r="W780" s="3">
        <v>0</v>
      </c>
      <c r="X780" s="3">
        <v>0</v>
      </c>
      <c r="Y780" s="3">
        <v>0</v>
      </c>
      <c r="Z780" s="3">
        <v>2</v>
      </c>
      <c r="AA780" s="3">
        <v>0</v>
      </c>
      <c r="AB780" s="3">
        <f t="shared" si="183"/>
        <v>2</v>
      </c>
      <c r="AC780" s="6">
        <f t="shared" si="176"/>
        <v>0</v>
      </c>
      <c r="AD780" s="6">
        <f t="shared" si="177"/>
        <v>0</v>
      </c>
      <c r="AE780" s="6">
        <f t="shared" si="178"/>
        <v>0</v>
      </c>
      <c r="AF780" s="6">
        <f t="shared" si="179"/>
        <v>-2</v>
      </c>
      <c r="AG780" s="6">
        <f t="shared" si="180"/>
        <v>0</v>
      </c>
      <c r="AH780" s="6">
        <f t="shared" si="184"/>
        <v>-2</v>
      </c>
      <c r="AI780" s="3"/>
      <c r="AJ780" s="3" t="e">
        <f>_xlfn.XLOOKUP(K780,工作表1!A:A,工作表1!C:C)</f>
        <v>#N/A</v>
      </c>
      <c r="AK780" s="3"/>
      <c r="AL780" s="6">
        <f t="shared" si="185"/>
        <v>0</v>
      </c>
      <c r="AM780" s="6">
        <f t="shared" si="186"/>
        <v>0</v>
      </c>
      <c r="AN780" s="6">
        <f t="shared" si="187"/>
        <v>0</v>
      </c>
      <c r="AO780" s="6">
        <f t="shared" si="188"/>
        <v>0</v>
      </c>
      <c r="AP780" s="6">
        <f t="shared" si="189"/>
        <v>0</v>
      </c>
      <c r="AQ780" s="6">
        <f t="shared" si="190"/>
        <v>0</v>
      </c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  <c r="BC780" s="6"/>
      <c r="BD780" s="6"/>
      <c r="BE780" s="6"/>
      <c r="BF780" s="6"/>
      <c r="BG780" s="6"/>
      <c r="BH780" s="6"/>
      <c r="BI780" s="6"/>
      <c r="BJ780" s="6"/>
      <c r="BK780" s="6"/>
      <c r="BL780" s="6"/>
      <c r="BM780" s="6"/>
      <c r="BN780" s="6"/>
      <c r="BO780" s="6"/>
      <c r="BP780" s="3">
        <v>2</v>
      </c>
      <c r="BQ780" s="6">
        <f t="shared" si="181"/>
        <v>0</v>
      </c>
    </row>
    <row r="781" spans="1:69" x14ac:dyDescent="0.3">
      <c r="A781" s="3" t="s">
        <v>1259</v>
      </c>
      <c r="B781" s="3">
        <v>415</v>
      </c>
      <c r="C781" s="3" t="s">
        <v>1283</v>
      </c>
      <c r="D781" s="3">
        <v>6</v>
      </c>
      <c r="E781" s="3" t="s">
        <v>19</v>
      </c>
      <c r="F781" s="3" t="s">
        <v>1269</v>
      </c>
      <c r="G781" s="3" t="s">
        <v>19</v>
      </c>
      <c r="H781" s="3" t="s">
        <v>1270</v>
      </c>
      <c r="I781" s="3">
        <v>24</v>
      </c>
      <c r="J781" s="3" t="s">
        <v>91</v>
      </c>
      <c r="K781" s="3" t="s">
        <v>1284</v>
      </c>
      <c r="L781" s="3" t="s">
        <v>24</v>
      </c>
      <c r="M781" s="3">
        <v>1</v>
      </c>
      <c r="N781" s="6"/>
      <c r="O781" s="3">
        <v>1</v>
      </c>
      <c r="P781" s="3">
        <v>1</v>
      </c>
      <c r="Q781" s="3">
        <v>0</v>
      </c>
      <c r="R781" s="3">
        <v>0</v>
      </c>
      <c r="S781" s="3">
        <v>0</v>
      </c>
      <c r="T781" s="3">
        <v>1</v>
      </c>
      <c r="U781" s="3">
        <v>0</v>
      </c>
      <c r="V781" s="3">
        <f t="shared" si="182"/>
        <v>1</v>
      </c>
      <c r="W781" s="3">
        <v>0</v>
      </c>
      <c r="X781" s="3">
        <v>0</v>
      </c>
      <c r="Y781" s="3">
        <v>0</v>
      </c>
      <c r="Z781" s="3">
        <v>1</v>
      </c>
      <c r="AA781" s="3">
        <v>0</v>
      </c>
      <c r="AB781" s="3">
        <f t="shared" si="183"/>
        <v>1</v>
      </c>
      <c r="AC781" s="6">
        <f t="shared" si="176"/>
        <v>0</v>
      </c>
      <c r="AD781" s="6">
        <f t="shared" si="177"/>
        <v>0</v>
      </c>
      <c r="AE781" s="6">
        <f t="shared" si="178"/>
        <v>0</v>
      </c>
      <c r="AF781" s="6">
        <f t="shared" si="179"/>
        <v>-1</v>
      </c>
      <c r="AG781" s="6">
        <f t="shared" si="180"/>
        <v>0</v>
      </c>
      <c r="AH781" s="6">
        <f t="shared" si="184"/>
        <v>-1</v>
      </c>
      <c r="AI781" s="3"/>
      <c r="AJ781" s="3" t="e">
        <f>_xlfn.XLOOKUP(K781,工作表1!A:A,工作表1!C:C)</f>
        <v>#N/A</v>
      </c>
      <c r="AK781" s="3"/>
      <c r="AL781" s="6">
        <f t="shared" si="185"/>
        <v>0</v>
      </c>
      <c r="AM781" s="6">
        <f t="shared" si="186"/>
        <v>0</v>
      </c>
      <c r="AN781" s="6">
        <f t="shared" si="187"/>
        <v>0</v>
      </c>
      <c r="AO781" s="6">
        <f t="shared" si="188"/>
        <v>0</v>
      </c>
      <c r="AP781" s="6">
        <f t="shared" si="189"/>
        <v>0</v>
      </c>
      <c r="AQ781" s="6">
        <f t="shared" si="190"/>
        <v>0</v>
      </c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  <c r="BC781" s="6"/>
      <c r="BD781" s="6"/>
      <c r="BE781" s="6"/>
      <c r="BF781" s="6"/>
      <c r="BG781" s="6"/>
      <c r="BH781" s="6"/>
      <c r="BI781" s="6"/>
      <c r="BJ781" s="6"/>
      <c r="BK781" s="6"/>
      <c r="BL781" s="6"/>
      <c r="BM781" s="6"/>
      <c r="BN781" s="6"/>
      <c r="BO781" s="6"/>
      <c r="BP781" s="3">
        <v>1</v>
      </c>
      <c r="BQ781" s="6">
        <f t="shared" si="181"/>
        <v>0</v>
      </c>
    </row>
    <row r="782" spans="1:69" x14ac:dyDescent="0.3">
      <c r="A782" s="3" t="s">
        <v>1259</v>
      </c>
      <c r="B782" s="3">
        <v>453</v>
      </c>
      <c r="C782" s="3" t="s">
        <v>1285</v>
      </c>
      <c r="D782" s="3">
        <v>10</v>
      </c>
      <c r="E782" s="3" t="s">
        <v>19</v>
      </c>
      <c r="F782" s="3" t="s">
        <v>1263</v>
      </c>
      <c r="G782" s="3" t="s">
        <v>19</v>
      </c>
      <c r="H782" s="3" t="s">
        <v>1264</v>
      </c>
      <c r="I782" s="3">
        <v>35</v>
      </c>
      <c r="J782" s="3" t="s">
        <v>413</v>
      </c>
      <c r="K782" s="3" t="s">
        <v>1286</v>
      </c>
      <c r="L782" s="3" t="s">
        <v>24</v>
      </c>
      <c r="M782" s="3">
        <v>1</v>
      </c>
      <c r="N782" s="6"/>
      <c r="O782" s="3">
        <v>1</v>
      </c>
      <c r="P782" s="3">
        <v>1</v>
      </c>
      <c r="Q782" s="3">
        <v>0</v>
      </c>
      <c r="R782" s="3">
        <v>0</v>
      </c>
      <c r="S782" s="3">
        <v>0</v>
      </c>
      <c r="T782" s="3">
        <v>1</v>
      </c>
      <c r="U782" s="3">
        <v>0</v>
      </c>
      <c r="V782" s="3">
        <f t="shared" si="182"/>
        <v>1</v>
      </c>
      <c r="W782" s="3">
        <v>0</v>
      </c>
      <c r="X782" s="3">
        <v>0</v>
      </c>
      <c r="Y782" s="3">
        <v>0</v>
      </c>
      <c r="Z782" s="3">
        <v>1</v>
      </c>
      <c r="AA782" s="3">
        <v>0</v>
      </c>
      <c r="AB782" s="3">
        <f t="shared" si="183"/>
        <v>1</v>
      </c>
      <c r="AC782" s="6">
        <f t="shared" si="176"/>
        <v>0</v>
      </c>
      <c r="AD782" s="6">
        <f t="shared" si="177"/>
        <v>0</v>
      </c>
      <c r="AE782" s="6">
        <f t="shared" si="178"/>
        <v>0</v>
      </c>
      <c r="AF782" s="6">
        <f t="shared" si="179"/>
        <v>-1</v>
      </c>
      <c r="AG782" s="6">
        <f t="shared" si="180"/>
        <v>0</v>
      </c>
      <c r="AH782" s="6">
        <f t="shared" si="184"/>
        <v>-1</v>
      </c>
      <c r="AI782" s="3"/>
      <c r="AJ782" s="3" t="e">
        <f>_xlfn.XLOOKUP(K782,工作表1!A:A,工作表1!C:C)</f>
        <v>#N/A</v>
      </c>
      <c r="AK782" s="3"/>
      <c r="AL782" s="6">
        <f t="shared" si="185"/>
        <v>0</v>
      </c>
      <c r="AM782" s="6">
        <f t="shared" si="186"/>
        <v>0</v>
      </c>
      <c r="AN782" s="6">
        <f t="shared" si="187"/>
        <v>0</v>
      </c>
      <c r="AO782" s="6">
        <f t="shared" si="188"/>
        <v>0</v>
      </c>
      <c r="AP782" s="6">
        <f t="shared" si="189"/>
        <v>0</v>
      </c>
      <c r="AQ782" s="6">
        <f t="shared" si="190"/>
        <v>0</v>
      </c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  <c r="BC782" s="6"/>
      <c r="BD782" s="6"/>
      <c r="BE782" s="6"/>
      <c r="BF782" s="6"/>
      <c r="BG782" s="6"/>
      <c r="BH782" s="6"/>
      <c r="BI782" s="6"/>
      <c r="BJ782" s="6"/>
      <c r="BK782" s="6"/>
      <c r="BL782" s="6"/>
      <c r="BM782" s="6"/>
      <c r="BN782" s="6"/>
      <c r="BO782" s="6"/>
      <c r="BP782" s="3">
        <v>1</v>
      </c>
      <c r="BQ782" s="6">
        <f t="shared" si="181"/>
        <v>0</v>
      </c>
    </row>
    <row r="783" spans="1:69" x14ac:dyDescent="0.3">
      <c r="A783" s="3" t="s">
        <v>1259</v>
      </c>
      <c r="B783" s="3">
        <v>471</v>
      </c>
      <c r="C783" s="3" t="s">
        <v>1287</v>
      </c>
      <c r="D783" s="3">
        <v>8</v>
      </c>
      <c r="E783" s="3" t="s">
        <v>19</v>
      </c>
      <c r="F783" s="3" t="s">
        <v>19</v>
      </c>
      <c r="G783" s="3" t="s">
        <v>19</v>
      </c>
      <c r="H783" s="3" t="s">
        <v>348</v>
      </c>
      <c r="I783" s="3"/>
      <c r="J783" s="3" t="s">
        <v>91</v>
      </c>
      <c r="K783" s="3" t="s">
        <v>1288</v>
      </c>
      <c r="L783" s="3" t="s">
        <v>335</v>
      </c>
      <c r="M783" s="3">
        <v>4</v>
      </c>
      <c r="N783" s="6"/>
      <c r="O783" s="3">
        <v>2</v>
      </c>
      <c r="P783" s="3">
        <v>2</v>
      </c>
      <c r="Q783" s="3">
        <v>0</v>
      </c>
      <c r="R783" s="3">
        <v>0</v>
      </c>
      <c r="S783" s="3">
        <v>0</v>
      </c>
      <c r="T783" s="3">
        <v>2</v>
      </c>
      <c r="U783" s="3">
        <v>0</v>
      </c>
      <c r="V783" s="3">
        <f t="shared" si="182"/>
        <v>2</v>
      </c>
      <c r="W783" s="3">
        <v>0</v>
      </c>
      <c r="X783" s="3">
        <v>0</v>
      </c>
      <c r="Y783" s="3">
        <v>0</v>
      </c>
      <c r="Z783" s="3">
        <v>2</v>
      </c>
      <c r="AA783" s="3">
        <v>0</v>
      </c>
      <c r="AB783" s="3">
        <f t="shared" si="183"/>
        <v>2</v>
      </c>
      <c r="AC783" s="6">
        <f t="shared" si="176"/>
        <v>0</v>
      </c>
      <c r="AD783" s="6">
        <f t="shared" si="177"/>
        <v>0</v>
      </c>
      <c r="AE783" s="6">
        <f t="shared" si="178"/>
        <v>0</v>
      </c>
      <c r="AF783" s="6">
        <f t="shared" si="179"/>
        <v>-2</v>
      </c>
      <c r="AG783" s="6">
        <f t="shared" si="180"/>
        <v>0</v>
      </c>
      <c r="AH783" s="6">
        <f t="shared" si="184"/>
        <v>-2</v>
      </c>
      <c r="AI783" s="3"/>
      <c r="AJ783" s="3" t="e">
        <f>_xlfn.XLOOKUP(K783,工作表1!A:A,工作表1!C:C)</f>
        <v>#N/A</v>
      </c>
      <c r="AK783" s="3"/>
      <c r="AL783" s="6">
        <f t="shared" si="185"/>
        <v>0</v>
      </c>
      <c r="AM783" s="6">
        <f t="shared" si="186"/>
        <v>0</v>
      </c>
      <c r="AN783" s="6">
        <f t="shared" si="187"/>
        <v>0</v>
      </c>
      <c r="AO783" s="6">
        <f t="shared" si="188"/>
        <v>0</v>
      </c>
      <c r="AP783" s="6">
        <f t="shared" si="189"/>
        <v>0</v>
      </c>
      <c r="AQ783" s="6">
        <f t="shared" si="190"/>
        <v>0</v>
      </c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  <c r="BC783" s="6"/>
      <c r="BD783" s="6"/>
      <c r="BE783" s="6"/>
      <c r="BF783" s="6"/>
      <c r="BG783" s="6"/>
      <c r="BH783" s="6"/>
      <c r="BI783" s="6"/>
      <c r="BJ783" s="6"/>
      <c r="BK783" s="6"/>
      <c r="BL783" s="6"/>
      <c r="BM783" s="6"/>
      <c r="BN783" s="6"/>
      <c r="BO783" s="6"/>
      <c r="BP783" s="3">
        <v>2</v>
      </c>
      <c r="BQ783" s="6">
        <f t="shared" si="181"/>
        <v>0</v>
      </c>
    </row>
    <row r="784" spans="1:69" x14ac:dyDescent="0.3">
      <c r="A784" s="3" t="s">
        <v>1259</v>
      </c>
      <c r="B784" s="3">
        <v>471</v>
      </c>
      <c r="C784" s="3" t="s">
        <v>1287</v>
      </c>
      <c r="D784" s="3">
        <v>6</v>
      </c>
      <c r="E784" s="3" t="s">
        <v>19</v>
      </c>
      <c r="F784" s="3" t="s">
        <v>19</v>
      </c>
      <c r="G784" s="3" t="s">
        <v>19</v>
      </c>
      <c r="H784" s="3" t="s">
        <v>443</v>
      </c>
      <c r="I784" s="3"/>
      <c r="J784" s="3" t="s">
        <v>91</v>
      </c>
      <c r="K784" s="3" t="s">
        <v>1289</v>
      </c>
      <c r="L784" s="3" t="s">
        <v>335</v>
      </c>
      <c r="M784" s="3">
        <v>0</v>
      </c>
      <c r="N784" s="6"/>
      <c r="O784" s="3">
        <v>1</v>
      </c>
      <c r="P784" s="3">
        <v>1</v>
      </c>
      <c r="Q784" s="3">
        <v>0</v>
      </c>
      <c r="R784" s="3">
        <v>0</v>
      </c>
      <c r="S784" s="3">
        <v>0</v>
      </c>
      <c r="T784" s="3">
        <v>1</v>
      </c>
      <c r="U784" s="3">
        <v>0</v>
      </c>
      <c r="V784" s="3">
        <f t="shared" si="182"/>
        <v>1</v>
      </c>
      <c r="W784" s="3">
        <v>0</v>
      </c>
      <c r="X784" s="3">
        <v>0</v>
      </c>
      <c r="Y784" s="3">
        <v>0</v>
      </c>
      <c r="Z784" s="3">
        <v>1</v>
      </c>
      <c r="AA784" s="3">
        <v>0</v>
      </c>
      <c r="AB784" s="3">
        <f t="shared" si="183"/>
        <v>1</v>
      </c>
      <c r="AC784" s="6">
        <f t="shared" si="176"/>
        <v>0</v>
      </c>
      <c r="AD784" s="6">
        <f t="shared" si="177"/>
        <v>0</v>
      </c>
      <c r="AE784" s="6">
        <f t="shared" si="178"/>
        <v>0</v>
      </c>
      <c r="AF784" s="6">
        <f t="shared" si="179"/>
        <v>-1</v>
      </c>
      <c r="AG784" s="6">
        <f t="shared" si="180"/>
        <v>0</v>
      </c>
      <c r="AH784" s="6">
        <f t="shared" si="184"/>
        <v>-1</v>
      </c>
      <c r="AI784" s="3"/>
      <c r="AJ784" s="3" t="e">
        <f>_xlfn.XLOOKUP(K784,工作表1!A:A,工作表1!C:C)</f>
        <v>#N/A</v>
      </c>
      <c r="AK784" s="3"/>
      <c r="AL784" s="6">
        <f t="shared" si="185"/>
        <v>0</v>
      </c>
      <c r="AM784" s="6">
        <f t="shared" si="186"/>
        <v>0</v>
      </c>
      <c r="AN784" s="6">
        <f t="shared" si="187"/>
        <v>0</v>
      </c>
      <c r="AO784" s="6">
        <f t="shared" si="188"/>
        <v>0</v>
      </c>
      <c r="AP784" s="6">
        <f t="shared" si="189"/>
        <v>0</v>
      </c>
      <c r="AQ784" s="6">
        <f t="shared" si="190"/>
        <v>0</v>
      </c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  <c r="BC784" s="6"/>
      <c r="BD784" s="6"/>
      <c r="BE784" s="6"/>
      <c r="BF784" s="6"/>
      <c r="BG784" s="6"/>
      <c r="BH784" s="6"/>
      <c r="BI784" s="6"/>
      <c r="BJ784" s="6"/>
      <c r="BK784" s="6"/>
      <c r="BL784" s="6"/>
      <c r="BM784" s="6"/>
      <c r="BN784" s="6"/>
      <c r="BO784" s="6"/>
      <c r="BP784" s="3">
        <v>1</v>
      </c>
      <c r="BQ784" s="6">
        <f t="shared" si="181"/>
        <v>0</v>
      </c>
    </row>
    <row r="785" spans="1:69" x14ac:dyDescent="0.3">
      <c r="A785" s="3" t="s">
        <v>1259</v>
      </c>
      <c r="B785" s="3">
        <v>481</v>
      </c>
      <c r="C785" s="3" t="s">
        <v>1290</v>
      </c>
      <c r="D785" s="3">
        <v>2.5</v>
      </c>
      <c r="E785" s="3">
        <v>605</v>
      </c>
      <c r="F785" s="3" t="s">
        <v>19</v>
      </c>
      <c r="G785" s="3" t="s">
        <v>19</v>
      </c>
      <c r="H785" s="3" t="s">
        <v>1291</v>
      </c>
      <c r="I785" s="3"/>
      <c r="J785" s="3" t="s">
        <v>486</v>
      </c>
      <c r="K785" s="3" t="s">
        <v>1292</v>
      </c>
      <c r="L785" s="3" t="s">
        <v>335</v>
      </c>
      <c r="M785" s="3">
        <v>13</v>
      </c>
      <c r="N785" s="6"/>
      <c r="O785" s="3">
        <v>12</v>
      </c>
      <c r="P785" s="3">
        <v>12</v>
      </c>
      <c r="Q785" s="3">
        <v>0</v>
      </c>
      <c r="R785" s="3">
        <v>0</v>
      </c>
      <c r="S785" s="3">
        <v>0</v>
      </c>
      <c r="T785" s="3">
        <v>12</v>
      </c>
      <c r="U785" s="3">
        <v>0</v>
      </c>
      <c r="V785" s="3">
        <f t="shared" si="182"/>
        <v>12</v>
      </c>
      <c r="W785" s="3">
        <v>0</v>
      </c>
      <c r="X785" s="3">
        <v>0</v>
      </c>
      <c r="Y785" s="3">
        <v>0</v>
      </c>
      <c r="Z785" s="3">
        <v>12</v>
      </c>
      <c r="AA785" s="3">
        <v>0</v>
      </c>
      <c r="AB785" s="3">
        <f t="shared" si="183"/>
        <v>12</v>
      </c>
      <c r="AC785" s="6">
        <f t="shared" si="176"/>
        <v>0</v>
      </c>
      <c r="AD785" s="6">
        <f t="shared" si="177"/>
        <v>0</v>
      </c>
      <c r="AE785" s="6">
        <f t="shared" si="178"/>
        <v>0</v>
      </c>
      <c r="AF785" s="6">
        <f t="shared" si="179"/>
        <v>-12</v>
      </c>
      <c r="AG785" s="6">
        <f t="shared" si="180"/>
        <v>0</v>
      </c>
      <c r="AH785" s="6">
        <f t="shared" si="184"/>
        <v>-12</v>
      </c>
      <c r="AI785" s="3"/>
      <c r="AJ785" s="3" t="e">
        <f>_xlfn.XLOOKUP(K785,工作表1!A:A,工作表1!C:C)</f>
        <v>#N/A</v>
      </c>
      <c r="AK785" s="3"/>
      <c r="AL785" s="6">
        <f t="shared" si="185"/>
        <v>0</v>
      </c>
      <c r="AM785" s="6">
        <f t="shared" si="186"/>
        <v>0</v>
      </c>
      <c r="AN785" s="6">
        <f t="shared" si="187"/>
        <v>0</v>
      </c>
      <c r="AO785" s="6">
        <f t="shared" si="188"/>
        <v>0</v>
      </c>
      <c r="AP785" s="6">
        <f t="shared" si="189"/>
        <v>0</v>
      </c>
      <c r="AQ785" s="6">
        <f t="shared" si="190"/>
        <v>0</v>
      </c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  <c r="BC785" s="6"/>
      <c r="BD785" s="6"/>
      <c r="BE785" s="6"/>
      <c r="BF785" s="6"/>
      <c r="BG785" s="6"/>
      <c r="BH785" s="6"/>
      <c r="BI785" s="6"/>
      <c r="BJ785" s="6"/>
      <c r="BK785" s="6"/>
      <c r="BL785" s="6"/>
      <c r="BM785" s="6"/>
      <c r="BN785" s="6"/>
      <c r="BO785" s="6"/>
      <c r="BP785" s="3">
        <v>12</v>
      </c>
      <c r="BQ785" s="6">
        <f t="shared" si="181"/>
        <v>0</v>
      </c>
    </row>
    <row r="786" spans="1:69" x14ac:dyDescent="0.3">
      <c r="A786" s="3" t="s">
        <v>1259</v>
      </c>
      <c r="B786" s="3">
        <v>481</v>
      </c>
      <c r="C786" s="3" t="s">
        <v>1290</v>
      </c>
      <c r="D786" s="3">
        <v>2</v>
      </c>
      <c r="E786" s="3">
        <v>430</v>
      </c>
      <c r="F786" s="3" t="s">
        <v>19</v>
      </c>
      <c r="G786" s="3" t="s">
        <v>19</v>
      </c>
      <c r="H786" s="3" t="s">
        <v>1183</v>
      </c>
      <c r="I786" s="3"/>
      <c r="J786" s="3" t="s">
        <v>486</v>
      </c>
      <c r="K786" s="3" t="s">
        <v>1293</v>
      </c>
      <c r="L786" s="3" t="s">
        <v>335</v>
      </c>
      <c r="M786" s="3">
        <v>0</v>
      </c>
      <c r="N786" s="6"/>
      <c r="O786" s="3">
        <v>8</v>
      </c>
      <c r="P786" s="3">
        <v>8</v>
      </c>
      <c r="Q786" s="3">
        <v>0</v>
      </c>
      <c r="R786" s="3">
        <v>0</v>
      </c>
      <c r="S786" s="3">
        <v>0</v>
      </c>
      <c r="T786" s="3">
        <v>8</v>
      </c>
      <c r="U786" s="3">
        <v>0</v>
      </c>
      <c r="V786" s="3">
        <f t="shared" si="182"/>
        <v>8</v>
      </c>
      <c r="W786" s="3">
        <v>0</v>
      </c>
      <c r="X786" s="3">
        <v>0</v>
      </c>
      <c r="Y786" s="3">
        <v>0</v>
      </c>
      <c r="Z786" s="3">
        <v>8</v>
      </c>
      <c r="AA786" s="3">
        <v>0</v>
      </c>
      <c r="AB786" s="3">
        <f t="shared" si="183"/>
        <v>8</v>
      </c>
      <c r="AC786" s="6">
        <f t="shared" si="176"/>
        <v>0</v>
      </c>
      <c r="AD786" s="6">
        <f t="shared" si="177"/>
        <v>0</v>
      </c>
      <c r="AE786" s="6">
        <f t="shared" si="178"/>
        <v>0</v>
      </c>
      <c r="AF786" s="6">
        <f t="shared" si="179"/>
        <v>-8</v>
      </c>
      <c r="AG786" s="6">
        <f t="shared" si="180"/>
        <v>0</v>
      </c>
      <c r="AH786" s="6">
        <f t="shared" si="184"/>
        <v>-8</v>
      </c>
      <c r="AI786" s="3"/>
      <c r="AJ786" s="3" t="e">
        <f>_xlfn.XLOOKUP(K786,工作表1!A:A,工作表1!C:C)</f>
        <v>#N/A</v>
      </c>
      <c r="AK786" s="3"/>
      <c r="AL786" s="6">
        <f t="shared" si="185"/>
        <v>0</v>
      </c>
      <c r="AM786" s="6">
        <f t="shared" si="186"/>
        <v>0</v>
      </c>
      <c r="AN786" s="6">
        <f t="shared" si="187"/>
        <v>0</v>
      </c>
      <c r="AO786" s="6">
        <f t="shared" si="188"/>
        <v>0</v>
      </c>
      <c r="AP786" s="6">
        <f t="shared" si="189"/>
        <v>0</v>
      </c>
      <c r="AQ786" s="6">
        <f t="shared" si="190"/>
        <v>0</v>
      </c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  <c r="BC786" s="6"/>
      <c r="BD786" s="6"/>
      <c r="BE786" s="6"/>
      <c r="BF786" s="6"/>
      <c r="BG786" s="6"/>
      <c r="BH786" s="6"/>
      <c r="BI786" s="6"/>
      <c r="BJ786" s="6"/>
      <c r="BK786" s="6"/>
      <c r="BL786" s="6"/>
      <c r="BM786" s="6"/>
      <c r="BN786" s="6"/>
      <c r="BO786" s="6"/>
      <c r="BP786" s="3">
        <v>8</v>
      </c>
      <c r="BQ786" s="6">
        <f t="shared" si="181"/>
        <v>0</v>
      </c>
    </row>
    <row r="787" spans="1:69" x14ac:dyDescent="0.3">
      <c r="A787" s="3" t="s">
        <v>1259</v>
      </c>
      <c r="B787" s="3">
        <v>481</v>
      </c>
      <c r="C787" s="3" t="s">
        <v>1290</v>
      </c>
      <c r="D787" s="3">
        <v>2</v>
      </c>
      <c r="E787" s="3">
        <v>470</v>
      </c>
      <c r="F787" s="3" t="s">
        <v>19</v>
      </c>
      <c r="G787" s="3" t="s">
        <v>19</v>
      </c>
      <c r="H787" s="3" t="s">
        <v>1187</v>
      </c>
      <c r="I787" s="3"/>
      <c r="J787" s="3" t="s">
        <v>486</v>
      </c>
      <c r="K787" s="3" t="s">
        <v>1294</v>
      </c>
      <c r="L787" s="3" t="s">
        <v>335</v>
      </c>
      <c r="M787" s="3">
        <v>26</v>
      </c>
      <c r="N787" s="6"/>
      <c r="O787" s="3">
        <v>24</v>
      </c>
      <c r="P787" s="3">
        <v>24</v>
      </c>
      <c r="Q787" s="3">
        <v>0</v>
      </c>
      <c r="R787" s="3">
        <v>0</v>
      </c>
      <c r="S787" s="3">
        <v>0</v>
      </c>
      <c r="T787" s="3">
        <v>24</v>
      </c>
      <c r="U787" s="3">
        <v>0</v>
      </c>
      <c r="V787" s="3">
        <f t="shared" si="182"/>
        <v>24</v>
      </c>
      <c r="W787" s="3">
        <v>0</v>
      </c>
      <c r="X787" s="3">
        <v>0</v>
      </c>
      <c r="Y787" s="3">
        <v>0</v>
      </c>
      <c r="Z787" s="3">
        <v>24</v>
      </c>
      <c r="AA787" s="3">
        <v>0</v>
      </c>
      <c r="AB787" s="3">
        <f t="shared" si="183"/>
        <v>24</v>
      </c>
      <c r="AC787" s="6">
        <f t="shared" si="176"/>
        <v>0</v>
      </c>
      <c r="AD787" s="6">
        <f t="shared" si="177"/>
        <v>0</v>
      </c>
      <c r="AE787" s="6">
        <f t="shared" si="178"/>
        <v>0</v>
      </c>
      <c r="AF787" s="6">
        <f t="shared" si="179"/>
        <v>-24</v>
      </c>
      <c r="AG787" s="6">
        <f t="shared" si="180"/>
        <v>0</v>
      </c>
      <c r="AH787" s="6">
        <f t="shared" si="184"/>
        <v>-24</v>
      </c>
      <c r="AI787" s="3"/>
      <c r="AJ787" s="3" t="e">
        <f>_xlfn.XLOOKUP(K787,工作表1!A:A,工作表1!C:C)</f>
        <v>#N/A</v>
      </c>
      <c r="AK787" s="3"/>
      <c r="AL787" s="6">
        <f t="shared" si="185"/>
        <v>0</v>
      </c>
      <c r="AM787" s="6">
        <f t="shared" si="186"/>
        <v>0</v>
      </c>
      <c r="AN787" s="6">
        <f t="shared" si="187"/>
        <v>0</v>
      </c>
      <c r="AO787" s="6">
        <f t="shared" si="188"/>
        <v>0</v>
      </c>
      <c r="AP787" s="6">
        <f t="shared" si="189"/>
        <v>0</v>
      </c>
      <c r="AQ787" s="6">
        <f t="shared" si="190"/>
        <v>0</v>
      </c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  <c r="BC787" s="6"/>
      <c r="BD787" s="6"/>
      <c r="BE787" s="6"/>
      <c r="BF787" s="6"/>
      <c r="BG787" s="6"/>
      <c r="BH787" s="6"/>
      <c r="BI787" s="6"/>
      <c r="BJ787" s="6"/>
      <c r="BK787" s="6"/>
      <c r="BL787" s="6"/>
      <c r="BM787" s="6"/>
      <c r="BN787" s="6"/>
      <c r="BO787" s="6"/>
      <c r="BP787" s="3">
        <v>24</v>
      </c>
      <c r="BQ787" s="6">
        <f t="shared" si="181"/>
        <v>0</v>
      </c>
    </row>
    <row r="788" spans="1:69" x14ac:dyDescent="0.3">
      <c r="A788" s="3" t="s">
        <v>1259</v>
      </c>
      <c r="B788" s="3">
        <v>620</v>
      </c>
      <c r="C788" s="3" t="s">
        <v>1295</v>
      </c>
      <c r="D788" s="3">
        <v>0.75</v>
      </c>
      <c r="E788" s="3" t="s">
        <v>19</v>
      </c>
      <c r="F788" s="3" t="s">
        <v>19</v>
      </c>
      <c r="G788" s="3" t="s">
        <v>19</v>
      </c>
      <c r="H788" s="3" t="s">
        <v>103</v>
      </c>
      <c r="I788" s="3"/>
      <c r="J788" s="3" t="s">
        <v>91</v>
      </c>
      <c r="K788" s="3" t="s">
        <v>1296</v>
      </c>
      <c r="L788" s="3" t="s">
        <v>24</v>
      </c>
      <c r="M788" s="3">
        <v>4</v>
      </c>
      <c r="N788" s="6"/>
      <c r="O788" s="3">
        <v>4</v>
      </c>
      <c r="P788" s="3">
        <v>4</v>
      </c>
      <c r="Q788" s="3">
        <v>0</v>
      </c>
      <c r="R788" s="3">
        <v>0</v>
      </c>
      <c r="S788" s="3">
        <v>0</v>
      </c>
      <c r="T788" s="3">
        <v>4</v>
      </c>
      <c r="U788" s="3">
        <v>0</v>
      </c>
      <c r="V788" s="3">
        <f t="shared" si="182"/>
        <v>4</v>
      </c>
      <c r="W788" s="3">
        <v>0</v>
      </c>
      <c r="X788" s="3">
        <v>0</v>
      </c>
      <c r="Y788" s="3">
        <v>0</v>
      </c>
      <c r="Z788" s="3">
        <v>4</v>
      </c>
      <c r="AA788" s="3">
        <v>0</v>
      </c>
      <c r="AB788" s="3">
        <f t="shared" si="183"/>
        <v>4</v>
      </c>
      <c r="AC788" s="6">
        <f t="shared" si="176"/>
        <v>0</v>
      </c>
      <c r="AD788" s="6">
        <f t="shared" si="177"/>
        <v>0</v>
      </c>
      <c r="AE788" s="6">
        <f t="shared" si="178"/>
        <v>0</v>
      </c>
      <c r="AF788" s="6">
        <f t="shared" si="179"/>
        <v>-4</v>
      </c>
      <c r="AG788" s="6">
        <f t="shared" si="180"/>
        <v>0</v>
      </c>
      <c r="AH788" s="6">
        <f t="shared" si="184"/>
        <v>-4</v>
      </c>
      <c r="AI788" s="3"/>
      <c r="AJ788" s="3" t="e">
        <f>_xlfn.XLOOKUP(K788,工作表1!A:A,工作表1!C:C)</f>
        <v>#N/A</v>
      </c>
      <c r="AK788" s="3"/>
      <c r="AL788" s="6">
        <f t="shared" si="185"/>
        <v>0</v>
      </c>
      <c r="AM788" s="6">
        <f t="shared" si="186"/>
        <v>0</v>
      </c>
      <c r="AN788" s="6">
        <f t="shared" si="187"/>
        <v>0</v>
      </c>
      <c r="AO788" s="6">
        <f t="shared" si="188"/>
        <v>0</v>
      </c>
      <c r="AP788" s="6">
        <f t="shared" si="189"/>
        <v>0</v>
      </c>
      <c r="AQ788" s="6">
        <f t="shared" si="190"/>
        <v>0</v>
      </c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  <c r="BC788" s="6"/>
      <c r="BD788" s="6"/>
      <c r="BE788" s="6"/>
      <c r="BF788" s="6"/>
      <c r="BG788" s="6"/>
      <c r="BH788" s="6"/>
      <c r="BI788" s="6"/>
      <c r="BJ788" s="6"/>
      <c r="BK788" s="6"/>
      <c r="BL788" s="6"/>
      <c r="BM788" s="6"/>
      <c r="BN788" s="6"/>
      <c r="BO788" s="6"/>
      <c r="BP788" s="3">
        <v>4</v>
      </c>
      <c r="BQ788" s="6">
        <f t="shared" si="181"/>
        <v>0</v>
      </c>
    </row>
    <row r="789" spans="1:69" x14ac:dyDescent="0.3">
      <c r="A789" s="3" t="s">
        <v>1297</v>
      </c>
      <c r="B789" s="3">
        <v>102</v>
      </c>
      <c r="C789" s="3" t="s">
        <v>1298</v>
      </c>
      <c r="D789" s="3">
        <v>8</v>
      </c>
      <c r="E789" s="3" t="s">
        <v>19</v>
      </c>
      <c r="F789" s="3" t="s">
        <v>25</v>
      </c>
      <c r="G789" s="3" t="s">
        <v>19</v>
      </c>
      <c r="H789" s="3" t="s">
        <v>26</v>
      </c>
      <c r="I789" s="3">
        <v>12.7</v>
      </c>
      <c r="J789" s="3" t="s">
        <v>22</v>
      </c>
      <c r="K789" s="3" t="s">
        <v>1299</v>
      </c>
      <c r="L789" s="3" t="s">
        <v>24</v>
      </c>
      <c r="M789" s="3">
        <v>66</v>
      </c>
      <c r="N789" s="6"/>
      <c r="O789" s="3">
        <v>59.5</v>
      </c>
      <c r="P789" s="3">
        <v>59.5</v>
      </c>
      <c r="Q789" s="3">
        <v>0</v>
      </c>
      <c r="R789" s="3">
        <v>0</v>
      </c>
      <c r="S789" s="3">
        <v>0</v>
      </c>
      <c r="T789" s="3">
        <v>59.5</v>
      </c>
      <c r="U789" s="3">
        <v>0</v>
      </c>
      <c r="V789" s="3">
        <f t="shared" si="182"/>
        <v>59.5</v>
      </c>
      <c r="W789" s="3">
        <v>0</v>
      </c>
      <c r="X789" s="3">
        <v>0</v>
      </c>
      <c r="Y789" s="3">
        <v>0</v>
      </c>
      <c r="Z789" s="3">
        <v>66</v>
      </c>
      <c r="AA789" s="3">
        <v>0</v>
      </c>
      <c r="AB789" s="3">
        <f t="shared" si="183"/>
        <v>66</v>
      </c>
      <c r="AC789" s="6">
        <f t="shared" si="176"/>
        <v>0</v>
      </c>
      <c r="AD789" s="6">
        <f t="shared" si="177"/>
        <v>0</v>
      </c>
      <c r="AE789" s="6">
        <f t="shared" si="178"/>
        <v>0</v>
      </c>
      <c r="AF789" s="6">
        <f t="shared" si="179"/>
        <v>-66</v>
      </c>
      <c r="AG789" s="6">
        <f t="shared" si="180"/>
        <v>0</v>
      </c>
      <c r="AH789" s="6">
        <f t="shared" si="184"/>
        <v>-66</v>
      </c>
      <c r="AI789" s="3"/>
      <c r="AJ789" s="3" t="e">
        <f>_xlfn.XLOOKUP(K789,工作表1!A:A,工作表1!C:C)</f>
        <v>#N/A</v>
      </c>
      <c r="AK789" s="3"/>
      <c r="AL789" s="6">
        <f t="shared" si="185"/>
        <v>0</v>
      </c>
      <c r="AM789" s="6">
        <f t="shared" si="186"/>
        <v>0</v>
      </c>
      <c r="AN789" s="6">
        <f t="shared" si="187"/>
        <v>0</v>
      </c>
      <c r="AO789" s="6">
        <f t="shared" si="188"/>
        <v>0</v>
      </c>
      <c r="AP789" s="6">
        <f t="shared" si="189"/>
        <v>0</v>
      </c>
      <c r="AQ789" s="6">
        <f t="shared" si="190"/>
        <v>0</v>
      </c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  <c r="BC789" s="6"/>
      <c r="BD789" s="6"/>
      <c r="BE789" s="6"/>
      <c r="BF789" s="6"/>
      <c r="BG789" s="6"/>
      <c r="BH789" s="6"/>
      <c r="BI789" s="6"/>
      <c r="BJ789" s="6"/>
      <c r="BK789" s="6"/>
      <c r="BL789" s="6"/>
      <c r="BM789" s="6"/>
      <c r="BN789" s="6"/>
      <c r="BO789" s="6"/>
      <c r="BP789" s="3">
        <v>66</v>
      </c>
      <c r="BQ789" s="6">
        <f t="shared" si="181"/>
        <v>0</v>
      </c>
    </row>
    <row r="790" spans="1:69" x14ac:dyDescent="0.3">
      <c r="A790" s="3" t="s">
        <v>1297</v>
      </c>
      <c r="B790" s="3">
        <v>102</v>
      </c>
      <c r="C790" s="3" t="s">
        <v>1298</v>
      </c>
      <c r="D790" s="3">
        <v>6</v>
      </c>
      <c r="E790" s="3" t="s">
        <v>19</v>
      </c>
      <c r="F790" s="3" t="s">
        <v>25</v>
      </c>
      <c r="G790" s="3" t="s">
        <v>19</v>
      </c>
      <c r="H790" s="3" t="s">
        <v>1300</v>
      </c>
      <c r="I790" s="3">
        <v>10.97</v>
      </c>
      <c r="J790" s="3" t="s">
        <v>22</v>
      </c>
      <c r="K790" s="3" t="s">
        <v>1301</v>
      </c>
      <c r="L790" s="3" t="s">
        <v>24</v>
      </c>
      <c r="M790" s="3">
        <v>30</v>
      </c>
      <c r="N790" s="6"/>
      <c r="O790" s="3">
        <v>28.3</v>
      </c>
      <c r="P790" s="3">
        <v>28.3</v>
      </c>
      <c r="Q790" s="3">
        <v>0</v>
      </c>
      <c r="R790" s="3">
        <v>0</v>
      </c>
      <c r="S790" s="3">
        <v>0.4</v>
      </c>
      <c r="T790" s="3">
        <v>27.9</v>
      </c>
      <c r="U790" s="3">
        <v>0</v>
      </c>
      <c r="V790" s="3">
        <f t="shared" si="182"/>
        <v>28.299999999999997</v>
      </c>
      <c r="W790" s="3">
        <v>0</v>
      </c>
      <c r="X790" s="3">
        <v>0</v>
      </c>
      <c r="Y790" s="4">
        <v>0</v>
      </c>
      <c r="Z790" s="3">
        <v>36</v>
      </c>
      <c r="AA790" s="3">
        <v>0</v>
      </c>
      <c r="AB790" s="3">
        <f t="shared" si="183"/>
        <v>36</v>
      </c>
      <c r="AC790" s="6">
        <f t="shared" si="176"/>
        <v>0</v>
      </c>
      <c r="AD790" s="6">
        <f t="shared" si="177"/>
        <v>0</v>
      </c>
      <c r="AE790" s="6">
        <f t="shared" si="178"/>
        <v>0</v>
      </c>
      <c r="AF790" s="6">
        <f t="shared" si="179"/>
        <v>-36</v>
      </c>
      <c r="AG790" s="6">
        <f t="shared" si="180"/>
        <v>0</v>
      </c>
      <c r="AH790" s="6">
        <f t="shared" si="184"/>
        <v>-36</v>
      </c>
      <c r="AI790" s="3"/>
      <c r="AJ790" s="3" t="e">
        <f>_xlfn.XLOOKUP(K790,工作表1!A:A,工作表1!C:C)</f>
        <v>#N/A</v>
      </c>
      <c r="AK790" s="3"/>
      <c r="AL790" s="6">
        <f t="shared" si="185"/>
        <v>0</v>
      </c>
      <c r="AM790" s="6">
        <f t="shared" si="186"/>
        <v>0</v>
      </c>
      <c r="AN790" s="6">
        <f t="shared" si="187"/>
        <v>0</v>
      </c>
      <c r="AO790" s="6">
        <f t="shared" si="188"/>
        <v>0</v>
      </c>
      <c r="AP790" s="6">
        <f t="shared" si="189"/>
        <v>0</v>
      </c>
      <c r="AQ790" s="6">
        <f t="shared" si="190"/>
        <v>0</v>
      </c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  <c r="BC790" s="6"/>
      <c r="BD790" s="6"/>
      <c r="BE790" s="6"/>
      <c r="BF790" s="6"/>
      <c r="BG790" s="6"/>
      <c r="BH790" s="6"/>
      <c r="BI790" s="6"/>
      <c r="BJ790" s="6"/>
      <c r="BK790" s="6"/>
      <c r="BL790" s="6"/>
      <c r="BM790" s="6"/>
      <c r="BN790" s="6"/>
      <c r="BO790" s="6"/>
      <c r="BP790" s="3">
        <v>36</v>
      </c>
      <c r="BQ790" s="6">
        <f t="shared" si="181"/>
        <v>0</v>
      </c>
    </row>
    <row r="791" spans="1:69" x14ac:dyDescent="0.3">
      <c r="A791" s="3" t="s">
        <v>1297</v>
      </c>
      <c r="B791" s="3">
        <v>121</v>
      </c>
      <c r="C791" s="3" t="s">
        <v>1302</v>
      </c>
      <c r="D791" s="3">
        <v>1</v>
      </c>
      <c r="E791" s="3" t="s">
        <v>19</v>
      </c>
      <c r="F791" s="3" t="s">
        <v>41</v>
      </c>
      <c r="G791" s="3" t="s">
        <v>19</v>
      </c>
      <c r="H791" s="3" t="s">
        <v>59</v>
      </c>
      <c r="I791" s="3">
        <v>6.35</v>
      </c>
      <c r="J791" s="3" t="s">
        <v>91</v>
      </c>
      <c r="K791" s="3" t="s">
        <v>1303</v>
      </c>
      <c r="L791" s="3" t="s">
        <v>24</v>
      </c>
      <c r="M791" s="3">
        <v>1</v>
      </c>
      <c r="N791" s="6"/>
      <c r="O791" s="3">
        <v>1</v>
      </c>
      <c r="P791" s="3">
        <v>1</v>
      </c>
      <c r="Q791" s="3">
        <v>0</v>
      </c>
      <c r="R791" s="3">
        <v>0</v>
      </c>
      <c r="S791" s="3">
        <v>0</v>
      </c>
      <c r="T791" s="3">
        <v>1</v>
      </c>
      <c r="U791" s="3">
        <v>0</v>
      </c>
      <c r="V791" s="3">
        <f t="shared" si="182"/>
        <v>1</v>
      </c>
      <c r="W791" s="3">
        <v>0</v>
      </c>
      <c r="X791" s="3">
        <v>0</v>
      </c>
      <c r="Y791" s="3">
        <v>0</v>
      </c>
      <c r="Z791" s="3">
        <v>1</v>
      </c>
      <c r="AA791" s="3">
        <v>0</v>
      </c>
      <c r="AB791" s="3">
        <f t="shared" si="183"/>
        <v>1</v>
      </c>
      <c r="AC791" s="6">
        <f t="shared" ref="AC791:AC854" si="191">AL791-W791</f>
        <v>0</v>
      </c>
      <c r="AD791" s="6">
        <f t="shared" ref="AD791:AD854" si="192">AM791-X791</f>
        <v>0</v>
      </c>
      <c r="AE791" s="6">
        <f t="shared" ref="AE791:AE854" si="193">AN791-Y791</f>
        <v>0</v>
      </c>
      <c r="AF791" s="6">
        <f t="shared" ref="AF791:AF854" si="194">AO791-Z791</f>
        <v>-1</v>
      </c>
      <c r="AG791" s="6">
        <f t="shared" ref="AG791:AG854" si="195">AP791-AA791</f>
        <v>0</v>
      </c>
      <c r="AH791" s="6">
        <f t="shared" si="184"/>
        <v>-1</v>
      </c>
      <c r="AI791" s="3"/>
      <c r="AJ791" s="3" t="e">
        <f>_xlfn.XLOOKUP(K791,工作表1!A:A,工作表1!C:C)</f>
        <v>#N/A</v>
      </c>
      <c r="AK791" s="3"/>
      <c r="AL791" s="6">
        <f t="shared" si="185"/>
        <v>0</v>
      </c>
      <c r="AM791" s="6">
        <f t="shared" si="186"/>
        <v>0</v>
      </c>
      <c r="AN791" s="6">
        <f t="shared" si="187"/>
        <v>0</v>
      </c>
      <c r="AO791" s="6">
        <f t="shared" si="188"/>
        <v>0</v>
      </c>
      <c r="AP791" s="6">
        <f t="shared" si="189"/>
        <v>0</v>
      </c>
      <c r="AQ791" s="6">
        <f t="shared" si="190"/>
        <v>0</v>
      </c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  <c r="BC791" s="6"/>
      <c r="BD791" s="6"/>
      <c r="BE791" s="6"/>
      <c r="BF791" s="6"/>
      <c r="BG791" s="6"/>
      <c r="BH791" s="6"/>
      <c r="BI791" s="6"/>
      <c r="BJ791" s="6"/>
      <c r="BK791" s="6"/>
      <c r="BL791" s="6"/>
      <c r="BM791" s="6"/>
      <c r="BN791" s="6"/>
      <c r="BO791" s="6"/>
      <c r="BP791" s="3">
        <v>1</v>
      </c>
      <c r="BQ791" s="6">
        <f t="shared" si="181"/>
        <v>0</v>
      </c>
    </row>
    <row r="792" spans="1:69" x14ac:dyDescent="0.3">
      <c r="A792" s="3" t="s">
        <v>1297</v>
      </c>
      <c r="B792" s="3">
        <v>301</v>
      </c>
      <c r="C792" s="3" t="s">
        <v>1304</v>
      </c>
      <c r="D792" s="3">
        <v>8</v>
      </c>
      <c r="E792" s="3" t="s">
        <v>19</v>
      </c>
      <c r="F792" s="3" t="s">
        <v>25</v>
      </c>
      <c r="G792" s="3" t="s">
        <v>19</v>
      </c>
      <c r="H792" s="3" t="s">
        <v>26</v>
      </c>
      <c r="I792" s="3">
        <v>12.7</v>
      </c>
      <c r="J792" s="3" t="s">
        <v>91</v>
      </c>
      <c r="K792" s="3" t="s">
        <v>1305</v>
      </c>
      <c r="L792" s="3" t="s">
        <v>24</v>
      </c>
      <c r="M792" s="3">
        <v>3</v>
      </c>
      <c r="N792" s="6"/>
      <c r="O792" s="3">
        <v>3</v>
      </c>
      <c r="P792" s="3">
        <v>3</v>
      </c>
      <c r="Q792" s="3">
        <v>0</v>
      </c>
      <c r="R792" s="3">
        <v>0</v>
      </c>
      <c r="S792" s="3">
        <v>0</v>
      </c>
      <c r="T792" s="3">
        <v>3</v>
      </c>
      <c r="U792" s="3">
        <v>0</v>
      </c>
      <c r="V792" s="3">
        <f t="shared" si="182"/>
        <v>3</v>
      </c>
      <c r="W792" s="3">
        <v>0</v>
      </c>
      <c r="X792" s="3">
        <v>0</v>
      </c>
      <c r="Y792" s="3">
        <v>0</v>
      </c>
      <c r="Z792" s="3">
        <v>3</v>
      </c>
      <c r="AA792" s="3">
        <v>0</v>
      </c>
      <c r="AB792" s="3">
        <f t="shared" si="183"/>
        <v>3</v>
      </c>
      <c r="AC792" s="6">
        <f t="shared" si="191"/>
        <v>0</v>
      </c>
      <c r="AD792" s="6">
        <f t="shared" si="192"/>
        <v>0</v>
      </c>
      <c r="AE792" s="6">
        <f t="shared" si="193"/>
        <v>0</v>
      </c>
      <c r="AF792" s="6">
        <f t="shared" si="194"/>
        <v>-3</v>
      </c>
      <c r="AG792" s="6">
        <f t="shared" si="195"/>
        <v>0</v>
      </c>
      <c r="AH792" s="6">
        <f t="shared" si="184"/>
        <v>-3</v>
      </c>
      <c r="AI792" s="3"/>
      <c r="AJ792" s="3" t="e">
        <f>_xlfn.XLOOKUP(K792,工作表1!A:A,工作表1!C:C)</f>
        <v>#N/A</v>
      </c>
      <c r="AK792" s="3"/>
      <c r="AL792" s="6">
        <f t="shared" si="185"/>
        <v>0</v>
      </c>
      <c r="AM792" s="6">
        <f t="shared" si="186"/>
        <v>0</v>
      </c>
      <c r="AN792" s="6">
        <f t="shared" si="187"/>
        <v>0</v>
      </c>
      <c r="AO792" s="6">
        <f t="shared" si="188"/>
        <v>0</v>
      </c>
      <c r="AP792" s="6">
        <f t="shared" si="189"/>
        <v>0</v>
      </c>
      <c r="AQ792" s="6">
        <f t="shared" si="190"/>
        <v>0</v>
      </c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  <c r="BC792" s="6"/>
      <c r="BD792" s="6"/>
      <c r="BE792" s="6"/>
      <c r="BF792" s="6"/>
      <c r="BG792" s="6"/>
      <c r="BH792" s="6"/>
      <c r="BI792" s="6"/>
      <c r="BJ792" s="6"/>
      <c r="BK792" s="6"/>
      <c r="BL792" s="6"/>
      <c r="BM792" s="6"/>
      <c r="BN792" s="6"/>
      <c r="BO792" s="6"/>
      <c r="BP792" s="3">
        <v>3</v>
      </c>
      <c r="BQ792" s="6">
        <f t="shared" si="181"/>
        <v>0</v>
      </c>
    </row>
    <row r="793" spans="1:69" x14ac:dyDescent="0.3">
      <c r="A793" s="3" t="s">
        <v>1297</v>
      </c>
      <c r="B793" s="3">
        <v>303</v>
      </c>
      <c r="C793" s="3" t="s">
        <v>1306</v>
      </c>
      <c r="D793" s="3">
        <v>8</v>
      </c>
      <c r="E793" s="3" t="s">
        <v>19</v>
      </c>
      <c r="F793" s="3" t="s">
        <v>25</v>
      </c>
      <c r="G793" s="3" t="s">
        <v>19</v>
      </c>
      <c r="H793" s="3" t="s">
        <v>26</v>
      </c>
      <c r="I793" s="3">
        <v>12.7</v>
      </c>
      <c r="J793" s="3" t="s">
        <v>91</v>
      </c>
      <c r="K793" s="3" t="s">
        <v>1307</v>
      </c>
      <c r="L793" s="3" t="s">
        <v>24</v>
      </c>
      <c r="M793" s="3">
        <v>13</v>
      </c>
      <c r="N793" s="6"/>
      <c r="O793" s="3">
        <v>13</v>
      </c>
      <c r="P793" s="3">
        <v>13</v>
      </c>
      <c r="Q793" s="3">
        <v>0</v>
      </c>
      <c r="R793" s="3">
        <v>0</v>
      </c>
      <c r="S793" s="3">
        <v>0</v>
      </c>
      <c r="T793" s="3">
        <v>13</v>
      </c>
      <c r="U793" s="3">
        <v>0</v>
      </c>
      <c r="V793" s="3">
        <f t="shared" si="182"/>
        <v>13</v>
      </c>
      <c r="W793" s="3">
        <v>0</v>
      </c>
      <c r="X793" s="3">
        <v>0</v>
      </c>
      <c r="Y793" s="3">
        <v>0</v>
      </c>
      <c r="Z793" s="3">
        <v>13</v>
      </c>
      <c r="AA793" s="3">
        <v>0</v>
      </c>
      <c r="AB793" s="3">
        <f t="shared" si="183"/>
        <v>13</v>
      </c>
      <c r="AC793" s="6">
        <f t="shared" si="191"/>
        <v>0</v>
      </c>
      <c r="AD793" s="6">
        <f t="shared" si="192"/>
        <v>0</v>
      </c>
      <c r="AE793" s="6">
        <f t="shared" si="193"/>
        <v>0</v>
      </c>
      <c r="AF793" s="6">
        <f t="shared" si="194"/>
        <v>-13</v>
      </c>
      <c r="AG793" s="6">
        <f t="shared" si="195"/>
        <v>0</v>
      </c>
      <c r="AH793" s="6">
        <f t="shared" si="184"/>
        <v>-13</v>
      </c>
      <c r="AI793" s="3"/>
      <c r="AJ793" s="3" t="e">
        <f>_xlfn.XLOOKUP(K793,工作表1!A:A,工作表1!C:C)</f>
        <v>#N/A</v>
      </c>
      <c r="AK793" s="3"/>
      <c r="AL793" s="6">
        <f t="shared" si="185"/>
        <v>0</v>
      </c>
      <c r="AM793" s="6">
        <f t="shared" si="186"/>
        <v>0</v>
      </c>
      <c r="AN793" s="6">
        <f t="shared" si="187"/>
        <v>0</v>
      </c>
      <c r="AO793" s="6">
        <f t="shared" si="188"/>
        <v>0</v>
      </c>
      <c r="AP793" s="6">
        <f t="shared" si="189"/>
        <v>0</v>
      </c>
      <c r="AQ793" s="6">
        <f t="shared" si="190"/>
        <v>0</v>
      </c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  <c r="BC793" s="6"/>
      <c r="BD793" s="6"/>
      <c r="BE793" s="6"/>
      <c r="BF793" s="6"/>
      <c r="BG793" s="6"/>
      <c r="BH793" s="6"/>
      <c r="BI793" s="6"/>
      <c r="BJ793" s="6"/>
      <c r="BK793" s="6"/>
      <c r="BL793" s="6"/>
      <c r="BM793" s="6"/>
      <c r="BN793" s="6"/>
      <c r="BO793" s="6"/>
      <c r="BP793" s="3">
        <v>13</v>
      </c>
      <c r="BQ793" s="6">
        <f t="shared" si="181"/>
        <v>0</v>
      </c>
    </row>
    <row r="794" spans="1:69" x14ac:dyDescent="0.3">
      <c r="A794" s="3" t="s">
        <v>1297</v>
      </c>
      <c r="B794" s="3">
        <v>303</v>
      </c>
      <c r="C794" s="3" t="s">
        <v>1306</v>
      </c>
      <c r="D794" s="3">
        <v>6</v>
      </c>
      <c r="E794" s="3" t="s">
        <v>19</v>
      </c>
      <c r="F794" s="3" t="s">
        <v>25</v>
      </c>
      <c r="G794" s="3" t="s">
        <v>19</v>
      </c>
      <c r="H794" s="3" t="s">
        <v>1300</v>
      </c>
      <c r="I794" s="3">
        <v>10.97</v>
      </c>
      <c r="J794" s="3" t="s">
        <v>91</v>
      </c>
      <c r="K794" s="3" t="s">
        <v>1308</v>
      </c>
      <c r="L794" s="3" t="s">
        <v>24</v>
      </c>
      <c r="M794" s="3">
        <v>2</v>
      </c>
      <c r="N794" s="6"/>
      <c r="O794" s="3">
        <v>2</v>
      </c>
      <c r="P794" s="3">
        <v>2</v>
      </c>
      <c r="Q794" s="3">
        <v>0</v>
      </c>
      <c r="R794" s="3">
        <v>0</v>
      </c>
      <c r="S794" s="3">
        <v>0</v>
      </c>
      <c r="T794" s="3">
        <v>2</v>
      </c>
      <c r="U794" s="3">
        <v>0</v>
      </c>
      <c r="V794" s="3">
        <f t="shared" si="182"/>
        <v>2</v>
      </c>
      <c r="W794" s="3">
        <v>0</v>
      </c>
      <c r="X794" s="3">
        <v>0</v>
      </c>
      <c r="Y794" s="3">
        <v>0</v>
      </c>
      <c r="Z794" s="3">
        <v>2</v>
      </c>
      <c r="AA794" s="3">
        <v>0</v>
      </c>
      <c r="AB794" s="3">
        <f t="shared" si="183"/>
        <v>2</v>
      </c>
      <c r="AC794" s="6">
        <f t="shared" si="191"/>
        <v>0</v>
      </c>
      <c r="AD794" s="6">
        <f t="shared" si="192"/>
        <v>0</v>
      </c>
      <c r="AE794" s="6">
        <f t="shared" si="193"/>
        <v>0</v>
      </c>
      <c r="AF794" s="6">
        <f t="shared" si="194"/>
        <v>-2</v>
      </c>
      <c r="AG794" s="6">
        <f t="shared" si="195"/>
        <v>0</v>
      </c>
      <c r="AH794" s="6">
        <f t="shared" si="184"/>
        <v>-2</v>
      </c>
      <c r="AI794" s="3"/>
      <c r="AJ794" s="3" t="e">
        <f>_xlfn.XLOOKUP(K794,工作表1!A:A,工作表1!C:C)</f>
        <v>#N/A</v>
      </c>
      <c r="AK794" s="3"/>
      <c r="AL794" s="6">
        <f t="shared" si="185"/>
        <v>0</v>
      </c>
      <c r="AM794" s="6">
        <f t="shared" si="186"/>
        <v>0</v>
      </c>
      <c r="AN794" s="6">
        <f t="shared" si="187"/>
        <v>0</v>
      </c>
      <c r="AO794" s="6">
        <f t="shared" si="188"/>
        <v>0</v>
      </c>
      <c r="AP794" s="6">
        <f t="shared" si="189"/>
        <v>0</v>
      </c>
      <c r="AQ794" s="6">
        <f t="shared" si="190"/>
        <v>0</v>
      </c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  <c r="BC794" s="6"/>
      <c r="BD794" s="6"/>
      <c r="BE794" s="6"/>
      <c r="BF794" s="6"/>
      <c r="BG794" s="6"/>
      <c r="BH794" s="6"/>
      <c r="BI794" s="6"/>
      <c r="BJ794" s="6"/>
      <c r="BK794" s="6"/>
      <c r="BL794" s="6"/>
      <c r="BM794" s="6"/>
      <c r="BN794" s="6"/>
      <c r="BO794" s="6"/>
      <c r="BP794" s="3">
        <v>2</v>
      </c>
      <c r="BQ794" s="6">
        <f t="shared" si="181"/>
        <v>0</v>
      </c>
    </row>
    <row r="795" spans="1:69" x14ac:dyDescent="0.3">
      <c r="A795" s="3" t="s">
        <v>1297</v>
      </c>
      <c r="B795" s="3">
        <v>331</v>
      </c>
      <c r="C795" s="3" t="s">
        <v>1309</v>
      </c>
      <c r="D795" s="3">
        <v>8</v>
      </c>
      <c r="E795" s="3">
        <v>1</v>
      </c>
      <c r="F795" s="3" t="s">
        <v>19</v>
      </c>
      <c r="G795" s="3" t="s">
        <v>19</v>
      </c>
      <c r="H795" s="3" t="s">
        <v>213</v>
      </c>
      <c r="I795" s="3"/>
      <c r="J795" s="3" t="s">
        <v>91</v>
      </c>
      <c r="K795" s="3" t="s">
        <v>1310</v>
      </c>
      <c r="L795" s="3" t="s">
        <v>24</v>
      </c>
      <c r="M795" s="3">
        <v>1</v>
      </c>
      <c r="N795" s="6"/>
      <c r="O795" s="3">
        <v>1</v>
      </c>
      <c r="P795" s="3">
        <v>1</v>
      </c>
      <c r="Q795" s="3">
        <v>0</v>
      </c>
      <c r="R795" s="3">
        <v>0</v>
      </c>
      <c r="S795" s="3">
        <v>0</v>
      </c>
      <c r="T795" s="3">
        <v>1</v>
      </c>
      <c r="U795" s="3">
        <v>0</v>
      </c>
      <c r="V795" s="3">
        <f t="shared" si="182"/>
        <v>1</v>
      </c>
      <c r="W795" s="3">
        <v>0</v>
      </c>
      <c r="X795" s="3">
        <v>0</v>
      </c>
      <c r="Y795" s="3">
        <v>0</v>
      </c>
      <c r="Z795" s="3">
        <v>1</v>
      </c>
      <c r="AA795" s="3">
        <v>0</v>
      </c>
      <c r="AB795" s="3">
        <f t="shared" si="183"/>
        <v>1</v>
      </c>
      <c r="AC795" s="6">
        <f t="shared" si="191"/>
        <v>0</v>
      </c>
      <c r="AD795" s="6">
        <f t="shared" si="192"/>
        <v>0</v>
      </c>
      <c r="AE795" s="6">
        <f t="shared" si="193"/>
        <v>0</v>
      </c>
      <c r="AF795" s="6">
        <f t="shared" si="194"/>
        <v>-1</v>
      </c>
      <c r="AG795" s="6">
        <f t="shared" si="195"/>
        <v>0</v>
      </c>
      <c r="AH795" s="6">
        <f t="shared" si="184"/>
        <v>-1</v>
      </c>
      <c r="AI795" s="3"/>
      <c r="AJ795" s="3" t="e">
        <f>_xlfn.XLOOKUP(K795,工作表1!A:A,工作表1!C:C)</f>
        <v>#N/A</v>
      </c>
      <c r="AK795" s="3"/>
      <c r="AL795" s="6">
        <f t="shared" si="185"/>
        <v>0</v>
      </c>
      <c r="AM795" s="6">
        <f t="shared" si="186"/>
        <v>0</v>
      </c>
      <c r="AN795" s="6">
        <f t="shared" si="187"/>
        <v>0</v>
      </c>
      <c r="AO795" s="6">
        <f t="shared" si="188"/>
        <v>0</v>
      </c>
      <c r="AP795" s="6">
        <f t="shared" si="189"/>
        <v>0</v>
      </c>
      <c r="AQ795" s="6">
        <f t="shared" si="190"/>
        <v>0</v>
      </c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  <c r="BC795" s="6"/>
      <c r="BD795" s="6"/>
      <c r="BE795" s="6"/>
      <c r="BF795" s="6"/>
      <c r="BG795" s="6"/>
      <c r="BH795" s="6"/>
      <c r="BI795" s="6"/>
      <c r="BJ795" s="6"/>
      <c r="BK795" s="6"/>
      <c r="BL795" s="6"/>
      <c r="BM795" s="6"/>
      <c r="BN795" s="6"/>
      <c r="BO795" s="6"/>
      <c r="BP795" s="3">
        <v>1</v>
      </c>
      <c r="BQ795" s="6">
        <f t="shared" si="181"/>
        <v>0</v>
      </c>
    </row>
    <row r="796" spans="1:69" x14ac:dyDescent="0.3">
      <c r="A796" s="3" t="s">
        <v>1297</v>
      </c>
      <c r="B796" s="3">
        <v>372</v>
      </c>
      <c r="C796" s="3" t="s">
        <v>1311</v>
      </c>
      <c r="D796" s="3">
        <v>1</v>
      </c>
      <c r="E796" s="3" t="s">
        <v>19</v>
      </c>
      <c r="F796" s="3" t="s">
        <v>19</v>
      </c>
      <c r="G796" s="3" t="s">
        <v>19</v>
      </c>
      <c r="H796" s="3" t="s">
        <v>101</v>
      </c>
      <c r="I796" s="3"/>
      <c r="J796" s="3" t="s">
        <v>91</v>
      </c>
      <c r="K796" s="3" t="s">
        <v>1312</v>
      </c>
      <c r="L796" s="3" t="s">
        <v>24</v>
      </c>
      <c r="M796" s="3">
        <v>1</v>
      </c>
      <c r="N796" s="6"/>
      <c r="O796" s="3">
        <v>1</v>
      </c>
      <c r="P796" s="3">
        <v>1</v>
      </c>
      <c r="Q796" s="3">
        <v>0</v>
      </c>
      <c r="R796" s="3">
        <v>0</v>
      </c>
      <c r="S796" s="3">
        <v>0</v>
      </c>
      <c r="T796" s="3">
        <v>1</v>
      </c>
      <c r="U796" s="3">
        <v>0</v>
      </c>
      <c r="V796" s="3">
        <f t="shared" si="182"/>
        <v>1</v>
      </c>
      <c r="W796" s="3">
        <v>0</v>
      </c>
      <c r="X796" s="3">
        <v>0</v>
      </c>
      <c r="Y796" s="3">
        <v>0</v>
      </c>
      <c r="Z796" s="3">
        <v>1</v>
      </c>
      <c r="AA796" s="3">
        <v>0</v>
      </c>
      <c r="AB796" s="3">
        <f t="shared" si="183"/>
        <v>1</v>
      </c>
      <c r="AC796" s="6">
        <f t="shared" si="191"/>
        <v>0</v>
      </c>
      <c r="AD796" s="6">
        <f t="shared" si="192"/>
        <v>0</v>
      </c>
      <c r="AE796" s="6">
        <f t="shared" si="193"/>
        <v>0</v>
      </c>
      <c r="AF796" s="6">
        <f t="shared" si="194"/>
        <v>-1</v>
      </c>
      <c r="AG796" s="6">
        <f t="shared" si="195"/>
        <v>0</v>
      </c>
      <c r="AH796" s="6">
        <f t="shared" si="184"/>
        <v>-1</v>
      </c>
      <c r="AI796" s="3"/>
      <c r="AJ796" s="3" t="e">
        <f>_xlfn.XLOOKUP(K796,工作表1!A:A,工作表1!C:C)</f>
        <v>#N/A</v>
      </c>
      <c r="AK796" s="3"/>
      <c r="AL796" s="6">
        <f t="shared" si="185"/>
        <v>0</v>
      </c>
      <c r="AM796" s="6">
        <f t="shared" si="186"/>
        <v>0</v>
      </c>
      <c r="AN796" s="6">
        <f t="shared" si="187"/>
        <v>0</v>
      </c>
      <c r="AO796" s="6">
        <f t="shared" si="188"/>
        <v>0</v>
      </c>
      <c r="AP796" s="6">
        <f t="shared" si="189"/>
        <v>0</v>
      </c>
      <c r="AQ796" s="6">
        <f t="shared" si="190"/>
        <v>0</v>
      </c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  <c r="BC796" s="6"/>
      <c r="BD796" s="6"/>
      <c r="BE796" s="6"/>
      <c r="BF796" s="6"/>
      <c r="BG796" s="6"/>
      <c r="BH796" s="6"/>
      <c r="BI796" s="6"/>
      <c r="BJ796" s="6"/>
      <c r="BK796" s="6"/>
      <c r="BL796" s="6"/>
      <c r="BM796" s="6"/>
      <c r="BN796" s="6"/>
      <c r="BO796" s="6"/>
      <c r="BP796" s="3">
        <v>1</v>
      </c>
      <c r="BQ796" s="6">
        <f t="shared" si="181"/>
        <v>0</v>
      </c>
    </row>
    <row r="797" spans="1:69" x14ac:dyDescent="0.3">
      <c r="A797" s="3" t="s">
        <v>1297</v>
      </c>
      <c r="B797" s="3">
        <v>471</v>
      </c>
      <c r="C797" s="3" t="s">
        <v>483</v>
      </c>
      <c r="D797" s="3">
        <v>8</v>
      </c>
      <c r="E797" s="3" t="s">
        <v>19</v>
      </c>
      <c r="F797" s="3" t="s">
        <v>19</v>
      </c>
      <c r="G797" s="3" t="s">
        <v>19</v>
      </c>
      <c r="H797" s="3" t="s">
        <v>348</v>
      </c>
      <c r="I797" s="3"/>
      <c r="J797" s="3" t="s">
        <v>91</v>
      </c>
      <c r="K797" s="3" t="s">
        <v>1313</v>
      </c>
      <c r="L797" s="3" t="s">
        <v>335</v>
      </c>
      <c r="M797" s="3">
        <v>32</v>
      </c>
      <c r="N797" s="6"/>
      <c r="O797" s="3">
        <v>2</v>
      </c>
      <c r="P797" s="3">
        <v>2</v>
      </c>
      <c r="Q797" s="3">
        <v>0</v>
      </c>
      <c r="R797" s="3">
        <v>0</v>
      </c>
      <c r="S797" s="3">
        <v>0</v>
      </c>
      <c r="T797" s="3">
        <v>2</v>
      </c>
      <c r="U797" s="3">
        <v>0</v>
      </c>
      <c r="V797" s="3">
        <f t="shared" si="182"/>
        <v>2</v>
      </c>
      <c r="W797" s="3">
        <v>0</v>
      </c>
      <c r="X797" s="3">
        <v>0</v>
      </c>
      <c r="Y797" s="3">
        <v>0</v>
      </c>
      <c r="Z797" s="3">
        <v>2</v>
      </c>
      <c r="AA797" s="3">
        <v>0</v>
      </c>
      <c r="AB797" s="3">
        <f t="shared" si="183"/>
        <v>2</v>
      </c>
      <c r="AC797" s="6">
        <f t="shared" si="191"/>
        <v>0</v>
      </c>
      <c r="AD797" s="6">
        <f t="shared" si="192"/>
        <v>0</v>
      </c>
      <c r="AE797" s="6">
        <f t="shared" si="193"/>
        <v>0</v>
      </c>
      <c r="AF797" s="6">
        <f t="shared" si="194"/>
        <v>-2</v>
      </c>
      <c r="AG797" s="6">
        <f t="shared" si="195"/>
        <v>0</v>
      </c>
      <c r="AH797" s="6">
        <f t="shared" si="184"/>
        <v>-2</v>
      </c>
      <c r="AI797" s="3"/>
      <c r="AJ797" s="3" t="e">
        <f>_xlfn.XLOOKUP(K797,工作表1!A:A,工作表1!C:C)</f>
        <v>#N/A</v>
      </c>
      <c r="AK797" s="3"/>
      <c r="AL797" s="6">
        <f t="shared" si="185"/>
        <v>0</v>
      </c>
      <c r="AM797" s="6">
        <f t="shared" si="186"/>
        <v>0</v>
      </c>
      <c r="AN797" s="6">
        <f t="shared" si="187"/>
        <v>0</v>
      </c>
      <c r="AO797" s="6">
        <f t="shared" si="188"/>
        <v>0</v>
      </c>
      <c r="AP797" s="6">
        <f t="shared" si="189"/>
        <v>0</v>
      </c>
      <c r="AQ797" s="6">
        <f t="shared" si="190"/>
        <v>0</v>
      </c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  <c r="BC797" s="6"/>
      <c r="BD797" s="6"/>
      <c r="BE797" s="6"/>
      <c r="BF797" s="6"/>
      <c r="BG797" s="6"/>
      <c r="BH797" s="6"/>
      <c r="BI797" s="6"/>
      <c r="BJ797" s="6"/>
      <c r="BK797" s="6"/>
      <c r="BL797" s="6"/>
      <c r="BM797" s="6"/>
      <c r="BN797" s="6"/>
      <c r="BO797" s="6"/>
      <c r="BP797" s="3">
        <v>2</v>
      </c>
      <c r="BQ797" s="6">
        <f t="shared" si="181"/>
        <v>0</v>
      </c>
    </row>
    <row r="798" spans="1:69" x14ac:dyDescent="0.3">
      <c r="A798" s="3" t="s">
        <v>1297</v>
      </c>
      <c r="B798" s="3">
        <v>471</v>
      </c>
      <c r="C798" s="3" t="s">
        <v>483</v>
      </c>
      <c r="D798" s="3">
        <v>4</v>
      </c>
      <c r="E798" s="3" t="s">
        <v>19</v>
      </c>
      <c r="F798" s="3" t="s">
        <v>19</v>
      </c>
      <c r="G798" s="3" t="s">
        <v>19</v>
      </c>
      <c r="H798" s="3" t="s">
        <v>336</v>
      </c>
      <c r="I798" s="3"/>
      <c r="J798" s="3" t="s">
        <v>91</v>
      </c>
      <c r="K798" s="3" t="s">
        <v>1314</v>
      </c>
      <c r="L798" s="3" t="s">
        <v>335</v>
      </c>
      <c r="M798" s="3">
        <v>20</v>
      </c>
      <c r="N798" s="6"/>
      <c r="O798" s="3">
        <v>4</v>
      </c>
      <c r="P798" s="3">
        <v>4</v>
      </c>
      <c r="Q798" s="3">
        <v>0</v>
      </c>
      <c r="R798" s="3">
        <v>0</v>
      </c>
      <c r="S798" s="3">
        <v>0</v>
      </c>
      <c r="T798" s="3">
        <v>4</v>
      </c>
      <c r="U798" s="3">
        <v>0</v>
      </c>
      <c r="V798" s="3">
        <f t="shared" si="182"/>
        <v>4</v>
      </c>
      <c r="W798" s="3">
        <v>0</v>
      </c>
      <c r="X798" s="3">
        <v>0</v>
      </c>
      <c r="Y798" s="3">
        <v>0</v>
      </c>
      <c r="Z798" s="3">
        <v>4</v>
      </c>
      <c r="AA798" s="3">
        <v>0</v>
      </c>
      <c r="AB798" s="3">
        <f t="shared" si="183"/>
        <v>4</v>
      </c>
      <c r="AC798" s="6">
        <f t="shared" si="191"/>
        <v>0</v>
      </c>
      <c r="AD798" s="6">
        <f t="shared" si="192"/>
        <v>0</v>
      </c>
      <c r="AE798" s="6">
        <f t="shared" si="193"/>
        <v>0</v>
      </c>
      <c r="AF798" s="6">
        <f t="shared" si="194"/>
        <v>-4</v>
      </c>
      <c r="AG798" s="6">
        <f t="shared" si="195"/>
        <v>0</v>
      </c>
      <c r="AH798" s="6">
        <f t="shared" si="184"/>
        <v>-4</v>
      </c>
      <c r="AI798" s="3"/>
      <c r="AJ798" s="3" t="e">
        <f>_xlfn.XLOOKUP(K798,工作表1!A:A,工作表1!C:C)</f>
        <v>#N/A</v>
      </c>
      <c r="AK798" s="3"/>
      <c r="AL798" s="6">
        <f t="shared" si="185"/>
        <v>0</v>
      </c>
      <c r="AM798" s="6">
        <f t="shared" si="186"/>
        <v>0</v>
      </c>
      <c r="AN798" s="6">
        <f t="shared" si="187"/>
        <v>0</v>
      </c>
      <c r="AO798" s="6">
        <f t="shared" si="188"/>
        <v>0</v>
      </c>
      <c r="AP798" s="6">
        <f t="shared" si="189"/>
        <v>0</v>
      </c>
      <c r="AQ798" s="6">
        <f t="shared" si="190"/>
        <v>0</v>
      </c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  <c r="BC798" s="6"/>
      <c r="BD798" s="6"/>
      <c r="BE798" s="6"/>
      <c r="BF798" s="6"/>
      <c r="BG798" s="6"/>
      <c r="BH798" s="6"/>
      <c r="BI798" s="6"/>
      <c r="BJ798" s="6"/>
      <c r="BK798" s="6"/>
      <c r="BL798" s="6"/>
      <c r="BM798" s="6"/>
      <c r="BN798" s="6"/>
      <c r="BO798" s="6"/>
      <c r="BP798" s="3">
        <v>4</v>
      </c>
      <c r="BQ798" s="6">
        <f t="shared" si="181"/>
        <v>0</v>
      </c>
    </row>
    <row r="799" spans="1:69" x14ac:dyDescent="0.3">
      <c r="A799" s="3" t="s">
        <v>1297</v>
      </c>
      <c r="B799" s="3">
        <v>471</v>
      </c>
      <c r="C799" s="3" t="s">
        <v>483</v>
      </c>
      <c r="D799" s="3">
        <v>2</v>
      </c>
      <c r="E799" s="3" t="s">
        <v>19</v>
      </c>
      <c r="F799" s="3" t="s">
        <v>19</v>
      </c>
      <c r="G799" s="3" t="s">
        <v>19</v>
      </c>
      <c r="H799" s="3" t="s">
        <v>340</v>
      </c>
      <c r="I799" s="3"/>
      <c r="J799" s="3" t="s">
        <v>91</v>
      </c>
      <c r="K799" s="3" t="s">
        <v>484</v>
      </c>
      <c r="L799" s="3" t="s">
        <v>335</v>
      </c>
      <c r="M799" s="3">
        <v>6</v>
      </c>
      <c r="N799" s="6"/>
      <c r="O799" s="3">
        <v>3</v>
      </c>
      <c r="P799" s="3">
        <v>3</v>
      </c>
      <c r="Q799" s="3">
        <v>0</v>
      </c>
      <c r="R799" s="3">
        <v>0</v>
      </c>
      <c r="S799" s="3">
        <v>0</v>
      </c>
      <c r="T799" s="3">
        <v>3</v>
      </c>
      <c r="U799" s="3">
        <v>0</v>
      </c>
      <c r="V799" s="3">
        <f t="shared" si="182"/>
        <v>3</v>
      </c>
      <c r="W799" s="3">
        <v>0</v>
      </c>
      <c r="X799" s="3">
        <v>0</v>
      </c>
      <c r="Y799" s="3">
        <v>0</v>
      </c>
      <c r="Z799" s="3">
        <v>3</v>
      </c>
      <c r="AA799" s="3">
        <v>0</v>
      </c>
      <c r="AB799" s="3">
        <f t="shared" si="183"/>
        <v>3</v>
      </c>
      <c r="AC799" s="6">
        <f t="shared" si="191"/>
        <v>0</v>
      </c>
      <c r="AD799" s="6">
        <f t="shared" si="192"/>
        <v>0</v>
      </c>
      <c r="AE799" s="6">
        <f t="shared" si="193"/>
        <v>0</v>
      </c>
      <c r="AF799" s="6">
        <f t="shared" si="194"/>
        <v>-3</v>
      </c>
      <c r="AG799" s="6">
        <f t="shared" si="195"/>
        <v>0</v>
      </c>
      <c r="AH799" s="6">
        <f t="shared" si="184"/>
        <v>-3</v>
      </c>
      <c r="AI799" s="3"/>
      <c r="AJ799" s="3" t="e">
        <f>_xlfn.XLOOKUP(K799,工作表1!A:A,工作表1!C:C)</f>
        <v>#N/A</v>
      </c>
      <c r="AK799" s="3"/>
      <c r="AL799" s="6">
        <f t="shared" si="185"/>
        <v>0</v>
      </c>
      <c r="AM799" s="6">
        <f t="shared" si="186"/>
        <v>0</v>
      </c>
      <c r="AN799" s="6">
        <f t="shared" si="187"/>
        <v>0</v>
      </c>
      <c r="AO799" s="6">
        <f t="shared" si="188"/>
        <v>0</v>
      </c>
      <c r="AP799" s="6">
        <f t="shared" si="189"/>
        <v>0</v>
      </c>
      <c r="AQ799" s="6">
        <f t="shared" si="190"/>
        <v>0</v>
      </c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  <c r="BC799" s="6"/>
      <c r="BD799" s="6"/>
      <c r="BE799" s="6"/>
      <c r="BF799" s="6"/>
      <c r="BG799" s="6"/>
      <c r="BH799" s="6"/>
      <c r="BI799" s="6"/>
      <c r="BJ799" s="6"/>
      <c r="BK799" s="6"/>
      <c r="BL799" s="6"/>
      <c r="BM799" s="6"/>
      <c r="BN799" s="6"/>
      <c r="BO799" s="6"/>
      <c r="BP799" s="3">
        <v>3</v>
      </c>
      <c r="BQ799" s="6">
        <f t="shared" si="181"/>
        <v>0</v>
      </c>
    </row>
    <row r="800" spans="1:69" x14ac:dyDescent="0.3">
      <c r="A800" s="5" t="s">
        <v>1297</v>
      </c>
      <c r="B800" s="3">
        <v>481</v>
      </c>
      <c r="C800" s="3" t="s">
        <v>1488</v>
      </c>
      <c r="D800" s="3">
        <v>0.875</v>
      </c>
      <c r="E800" s="3">
        <v>150</v>
      </c>
      <c r="F800" s="3" t="s">
        <v>19</v>
      </c>
      <c r="G800" s="3" t="s">
        <v>19</v>
      </c>
      <c r="H800" s="3" t="s">
        <v>1489</v>
      </c>
      <c r="I800" s="3"/>
      <c r="J800" s="3" t="s">
        <v>486</v>
      </c>
      <c r="K800" s="3" t="s">
        <v>1490</v>
      </c>
      <c r="L800" s="3" t="s">
        <v>335</v>
      </c>
      <c r="M800" s="3">
        <v>0</v>
      </c>
      <c r="N800" s="6"/>
      <c r="O800" s="3">
        <v>0</v>
      </c>
      <c r="P800" s="3">
        <v>12</v>
      </c>
      <c r="Q800" s="3">
        <v>0</v>
      </c>
      <c r="R800" s="3">
        <v>0</v>
      </c>
      <c r="S800" s="3">
        <v>0</v>
      </c>
      <c r="T800" s="3">
        <v>12</v>
      </c>
      <c r="U800" s="3">
        <v>0</v>
      </c>
      <c r="V800" s="3">
        <f t="shared" si="182"/>
        <v>12</v>
      </c>
      <c r="W800" s="3">
        <v>0</v>
      </c>
      <c r="X800" s="3">
        <v>0</v>
      </c>
      <c r="Y800" s="3">
        <v>0</v>
      </c>
      <c r="Z800" s="3">
        <v>12</v>
      </c>
      <c r="AA800" s="3">
        <v>0</v>
      </c>
      <c r="AB800" s="3">
        <f t="shared" si="183"/>
        <v>12</v>
      </c>
      <c r="AC800" s="6">
        <f t="shared" si="191"/>
        <v>0</v>
      </c>
      <c r="AD800" s="6">
        <f t="shared" si="192"/>
        <v>0</v>
      </c>
      <c r="AE800" s="6">
        <f t="shared" si="193"/>
        <v>0</v>
      </c>
      <c r="AF800" s="6">
        <f t="shared" si="194"/>
        <v>-12</v>
      </c>
      <c r="AG800" s="6">
        <f t="shared" si="195"/>
        <v>0</v>
      </c>
      <c r="AH800" s="6">
        <f t="shared" si="184"/>
        <v>-12</v>
      </c>
      <c r="AI800" s="3"/>
      <c r="AJ800" s="3" t="e">
        <f>_xlfn.XLOOKUP(K800,工作表1!A:A,工作表1!C:C)</f>
        <v>#N/A</v>
      </c>
      <c r="AK800" s="3"/>
      <c r="AL800" s="6">
        <f t="shared" si="185"/>
        <v>0</v>
      </c>
      <c r="AM800" s="6">
        <f t="shared" si="186"/>
        <v>0</v>
      </c>
      <c r="AN800" s="6">
        <f t="shared" si="187"/>
        <v>0</v>
      </c>
      <c r="AO800" s="6">
        <f t="shared" si="188"/>
        <v>0</v>
      </c>
      <c r="AP800" s="6">
        <f t="shared" si="189"/>
        <v>0</v>
      </c>
      <c r="AQ800" s="6">
        <f t="shared" si="190"/>
        <v>0</v>
      </c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  <c r="BC800" s="6"/>
      <c r="BD800" s="6"/>
      <c r="BE800" s="6"/>
      <c r="BF800" s="6"/>
      <c r="BG800" s="6"/>
      <c r="BH800" s="6"/>
      <c r="BI800" s="6"/>
      <c r="BJ800" s="6"/>
      <c r="BK800" s="6"/>
      <c r="BL800" s="6"/>
      <c r="BM800" s="6"/>
      <c r="BN800" s="6"/>
      <c r="BO800" s="6"/>
      <c r="BP800" s="3">
        <v>12</v>
      </c>
      <c r="BQ800" s="6">
        <f t="shared" si="181"/>
        <v>0</v>
      </c>
    </row>
    <row r="801" spans="1:69" x14ac:dyDescent="0.3">
      <c r="A801" s="3" t="s">
        <v>1297</v>
      </c>
      <c r="B801" s="3">
        <v>481</v>
      </c>
      <c r="C801" s="3" t="s">
        <v>1315</v>
      </c>
      <c r="D801" s="3">
        <v>0.875</v>
      </c>
      <c r="E801" s="3">
        <v>150</v>
      </c>
      <c r="F801" s="3" t="s">
        <v>19</v>
      </c>
      <c r="G801" s="3" t="s">
        <v>19</v>
      </c>
      <c r="H801" s="3" t="s">
        <v>542</v>
      </c>
      <c r="I801" s="3"/>
      <c r="J801" s="3" t="s">
        <v>486</v>
      </c>
      <c r="K801" s="3" t="s">
        <v>1316</v>
      </c>
      <c r="L801" s="3" t="s">
        <v>335</v>
      </c>
      <c r="M801" s="3">
        <v>19</v>
      </c>
      <c r="N801" s="6"/>
      <c r="O801" s="3">
        <v>16</v>
      </c>
      <c r="P801" s="3">
        <v>16</v>
      </c>
      <c r="Q801" s="3">
        <v>0</v>
      </c>
      <c r="R801" s="3">
        <v>0</v>
      </c>
      <c r="S801" s="3">
        <v>0</v>
      </c>
      <c r="T801" s="3">
        <v>16</v>
      </c>
      <c r="U801" s="3">
        <v>0</v>
      </c>
      <c r="V801" s="3">
        <f t="shared" si="182"/>
        <v>16</v>
      </c>
      <c r="W801" s="3">
        <v>0</v>
      </c>
      <c r="X801" s="3">
        <v>0</v>
      </c>
      <c r="Y801" s="3">
        <v>0</v>
      </c>
      <c r="Z801" s="3">
        <v>16</v>
      </c>
      <c r="AA801" s="3">
        <v>0</v>
      </c>
      <c r="AB801" s="3">
        <f t="shared" si="183"/>
        <v>16</v>
      </c>
      <c r="AC801" s="6">
        <f t="shared" si="191"/>
        <v>0</v>
      </c>
      <c r="AD801" s="6">
        <f t="shared" si="192"/>
        <v>0</v>
      </c>
      <c r="AE801" s="6">
        <f t="shared" si="193"/>
        <v>0</v>
      </c>
      <c r="AF801" s="6">
        <f t="shared" si="194"/>
        <v>-16</v>
      </c>
      <c r="AG801" s="6">
        <f t="shared" si="195"/>
        <v>0</v>
      </c>
      <c r="AH801" s="6">
        <f t="shared" si="184"/>
        <v>-16</v>
      </c>
      <c r="AI801" s="3"/>
      <c r="AJ801" s="3" t="e">
        <f>_xlfn.XLOOKUP(K801,工作表1!A:A,工作表1!C:C)</f>
        <v>#N/A</v>
      </c>
      <c r="AK801" s="3"/>
      <c r="AL801" s="6">
        <f t="shared" si="185"/>
        <v>0</v>
      </c>
      <c r="AM801" s="6">
        <f t="shared" si="186"/>
        <v>0</v>
      </c>
      <c r="AN801" s="6">
        <f t="shared" si="187"/>
        <v>0</v>
      </c>
      <c r="AO801" s="6">
        <f t="shared" si="188"/>
        <v>0</v>
      </c>
      <c r="AP801" s="6">
        <f t="shared" si="189"/>
        <v>0</v>
      </c>
      <c r="AQ801" s="6">
        <f t="shared" si="190"/>
        <v>0</v>
      </c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  <c r="BC801" s="6"/>
      <c r="BD801" s="6"/>
      <c r="BE801" s="6"/>
      <c r="BF801" s="6"/>
      <c r="BG801" s="6"/>
      <c r="BH801" s="6"/>
      <c r="BI801" s="6"/>
      <c r="BJ801" s="6"/>
      <c r="BK801" s="6"/>
      <c r="BL801" s="6"/>
      <c r="BM801" s="6"/>
      <c r="BN801" s="6"/>
      <c r="BO801" s="6"/>
      <c r="BP801" s="3">
        <v>16</v>
      </c>
      <c r="BQ801" s="6">
        <f t="shared" si="181"/>
        <v>0</v>
      </c>
    </row>
    <row r="802" spans="1:69" x14ac:dyDescent="0.3">
      <c r="A802" s="3" t="s">
        <v>1297</v>
      </c>
      <c r="B802" s="3">
        <v>481</v>
      </c>
      <c r="C802" s="3" t="s">
        <v>1315</v>
      </c>
      <c r="D802" s="3">
        <v>0.875</v>
      </c>
      <c r="E802" s="3">
        <v>160</v>
      </c>
      <c r="F802" s="3" t="s">
        <v>19</v>
      </c>
      <c r="G802" s="3" t="s">
        <v>19</v>
      </c>
      <c r="H802" s="3" t="s">
        <v>544</v>
      </c>
      <c r="I802" s="3"/>
      <c r="J802" s="3" t="s">
        <v>486</v>
      </c>
      <c r="K802" s="3" t="s">
        <v>1317</v>
      </c>
      <c r="L802" s="3" t="s">
        <v>335</v>
      </c>
      <c r="M802" s="3">
        <v>10</v>
      </c>
      <c r="N802" s="6"/>
      <c r="O802" s="3">
        <v>8</v>
      </c>
      <c r="P802" s="3">
        <v>8</v>
      </c>
      <c r="Q802" s="3">
        <v>0</v>
      </c>
      <c r="R802" s="3">
        <v>0</v>
      </c>
      <c r="S802" s="3">
        <v>0</v>
      </c>
      <c r="T802" s="3">
        <v>8</v>
      </c>
      <c r="U802" s="3">
        <v>0</v>
      </c>
      <c r="V802" s="3">
        <f t="shared" si="182"/>
        <v>8</v>
      </c>
      <c r="W802" s="3">
        <v>0</v>
      </c>
      <c r="X802" s="3">
        <v>0</v>
      </c>
      <c r="Y802" s="3">
        <v>0</v>
      </c>
      <c r="Z802" s="3">
        <v>8</v>
      </c>
      <c r="AA802" s="3">
        <v>0</v>
      </c>
      <c r="AB802" s="3">
        <f t="shared" si="183"/>
        <v>8</v>
      </c>
      <c r="AC802" s="6">
        <f t="shared" si="191"/>
        <v>0</v>
      </c>
      <c r="AD802" s="6">
        <f t="shared" si="192"/>
        <v>0</v>
      </c>
      <c r="AE802" s="6">
        <f t="shared" si="193"/>
        <v>0</v>
      </c>
      <c r="AF802" s="6">
        <f t="shared" si="194"/>
        <v>-8</v>
      </c>
      <c r="AG802" s="6">
        <f t="shared" si="195"/>
        <v>0</v>
      </c>
      <c r="AH802" s="6">
        <f t="shared" si="184"/>
        <v>-8</v>
      </c>
      <c r="AI802" s="3"/>
      <c r="AJ802" s="3" t="e">
        <f>_xlfn.XLOOKUP(K802,工作表1!A:A,工作表1!C:C)</f>
        <v>#N/A</v>
      </c>
      <c r="AK802" s="3"/>
      <c r="AL802" s="6">
        <f t="shared" si="185"/>
        <v>0</v>
      </c>
      <c r="AM802" s="6">
        <f t="shared" si="186"/>
        <v>0</v>
      </c>
      <c r="AN802" s="6">
        <f t="shared" si="187"/>
        <v>0</v>
      </c>
      <c r="AO802" s="6">
        <f t="shared" si="188"/>
        <v>0</v>
      </c>
      <c r="AP802" s="6">
        <f t="shared" si="189"/>
        <v>0</v>
      </c>
      <c r="AQ802" s="6">
        <f t="shared" si="190"/>
        <v>0</v>
      </c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  <c r="BC802" s="6"/>
      <c r="BD802" s="6"/>
      <c r="BE802" s="6"/>
      <c r="BF802" s="6"/>
      <c r="BG802" s="6"/>
      <c r="BH802" s="6"/>
      <c r="BI802" s="6"/>
      <c r="BJ802" s="6"/>
      <c r="BK802" s="6"/>
      <c r="BL802" s="6"/>
      <c r="BM802" s="6"/>
      <c r="BN802" s="6"/>
      <c r="BO802" s="6"/>
      <c r="BP802" s="3">
        <v>8</v>
      </c>
      <c r="BQ802" s="6">
        <f t="shared" si="181"/>
        <v>0</v>
      </c>
    </row>
    <row r="803" spans="1:69" x14ac:dyDescent="0.3">
      <c r="A803" s="3" t="s">
        <v>1297</v>
      </c>
      <c r="B803" s="3">
        <v>481</v>
      </c>
      <c r="C803" s="3" t="s">
        <v>1315</v>
      </c>
      <c r="D803" s="3">
        <v>0.625</v>
      </c>
      <c r="E803" s="3">
        <v>110</v>
      </c>
      <c r="F803" s="3" t="s">
        <v>19</v>
      </c>
      <c r="G803" s="3" t="s">
        <v>19</v>
      </c>
      <c r="H803" s="3" t="s">
        <v>528</v>
      </c>
      <c r="I803" s="3"/>
      <c r="J803" s="3" t="s">
        <v>486</v>
      </c>
      <c r="K803" s="3" t="s">
        <v>1318</v>
      </c>
      <c r="L803" s="3" t="s">
        <v>335</v>
      </c>
      <c r="M803" s="3">
        <v>19</v>
      </c>
      <c r="N803" s="6"/>
      <c r="O803" s="3">
        <v>16</v>
      </c>
      <c r="P803" s="3">
        <v>16</v>
      </c>
      <c r="Q803" s="3">
        <v>0</v>
      </c>
      <c r="R803" s="3">
        <v>0</v>
      </c>
      <c r="S803" s="3">
        <v>0</v>
      </c>
      <c r="T803" s="3">
        <v>16</v>
      </c>
      <c r="U803" s="3">
        <v>0</v>
      </c>
      <c r="V803" s="3">
        <f t="shared" si="182"/>
        <v>16</v>
      </c>
      <c r="W803" s="3">
        <v>0</v>
      </c>
      <c r="X803" s="3">
        <v>0</v>
      </c>
      <c r="Y803" s="3">
        <v>0</v>
      </c>
      <c r="Z803" s="3">
        <v>16</v>
      </c>
      <c r="AA803" s="3">
        <v>0</v>
      </c>
      <c r="AB803" s="3">
        <f t="shared" si="183"/>
        <v>16</v>
      </c>
      <c r="AC803" s="6">
        <f t="shared" si="191"/>
        <v>0</v>
      </c>
      <c r="AD803" s="6">
        <f t="shared" si="192"/>
        <v>0</v>
      </c>
      <c r="AE803" s="6">
        <f t="shared" si="193"/>
        <v>0</v>
      </c>
      <c r="AF803" s="6">
        <f t="shared" si="194"/>
        <v>-16</v>
      </c>
      <c r="AG803" s="6">
        <f t="shared" si="195"/>
        <v>0</v>
      </c>
      <c r="AH803" s="6">
        <f t="shared" si="184"/>
        <v>-16</v>
      </c>
      <c r="AI803" s="3"/>
      <c r="AJ803" s="3" t="e">
        <f>_xlfn.XLOOKUP(K803,工作表1!A:A,工作表1!C:C)</f>
        <v>#N/A</v>
      </c>
      <c r="AK803" s="3"/>
      <c r="AL803" s="6">
        <f t="shared" si="185"/>
        <v>0</v>
      </c>
      <c r="AM803" s="6">
        <f t="shared" si="186"/>
        <v>0</v>
      </c>
      <c r="AN803" s="6">
        <f t="shared" si="187"/>
        <v>0</v>
      </c>
      <c r="AO803" s="6">
        <f t="shared" si="188"/>
        <v>0</v>
      </c>
      <c r="AP803" s="6">
        <f t="shared" si="189"/>
        <v>0</v>
      </c>
      <c r="AQ803" s="6">
        <f t="shared" si="190"/>
        <v>0</v>
      </c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  <c r="BC803" s="6"/>
      <c r="BD803" s="6"/>
      <c r="BE803" s="6"/>
      <c r="BF803" s="6"/>
      <c r="BG803" s="6"/>
      <c r="BH803" s="6"/>
      <c r="BI803" s="6"/>
      <c r="BJ803" s="6"/>
      <c r="BK803" s="6"/>
      <c r="BL803" s="6"/>
      <c r="BM803" s="6"/>
      <c r="BN803" s="6"/>
      <c r="BO803" s="6"/>
      <c r="BP803" s="3">
        <v>16</v>
      </c>
      <c r="BQ803" s="6">
        <f t="shared" si="181"/>
        <v>0</v>
      </c>
    </row>
    <row r="804" spans="1:69" x14ac:dyDescent="0.3">
      <c r="A804" s="3" t="s">
        <v>1297</v>
      </c>
      <c r="B804" s="3">
        <v>610</v>
      </c>
      <c r="C804" s="3" t="s">
        <v>1319</v>
      </c>
      <c r="D804" s="3">
        <v>1</v>
      </c>
      <c r="E804" s="3" t="s">
        <v>19</v>
      </c>
      <c r="F804" s="3" t="s">
        <v>19</v>
      </c>
      <c r="G804" s="3" t="s">
        <v>19</v>
      </c>
      <c r="H804" s="3" t="s">
        <v>101</v>
      </c>
      <c r="I804" s="3"/>
      <c r="J804" s="3" t="s">
        <v>91</v>
      </c>
      <c r="K804" s="3" t="s">
        <v>1320</v>
      </c>
      <c r="L804" s="3" t="s">
        <v>24</v>
      </c>
      <c r="M804" s="3">
        <v>1</v>
      </c>
      <c r="N804" s="6"/>
      <c r="O804" s="3">
        <v>1</v>
      </c>
      <c r="P804" s="3">
        <v>1</v>
      </c>
      <c r="Q804" s="3">
        <v>0</v>
      </c>
      <c r="R804" s="3">
        <v>0</v>
      </c>
      <c r="S804" s="3">
        <v>0</v>
      </c>
      <c r="T804" s="3">
        <v>1</v>
      </c>
      <c r="U804" s="3">
        <v>0</v>
      </c>
      <c r="V804" s="3">
        <f t="shared" si="182"/>
        <v>1</v>
      </c>
      <c r="W804" s="3">
        <v>0</v>
      </c>
      <c r="X804" s="3">
        <v>0</v>
      </c>
      <c r="Y804" s="3">
        <v>0</v>
      </c>
      <c r="Z804" s="3">
        <v>1</v>
      </c>
      <c r="AA804" s="3">
        <v>0</v>
      </c>
      <c r="AB804" s="3">
        <f t="shared" si="183"/>
        <v>1</v>
      </c>
      <c r="AC804" s="6">
        <f t="shared" si="191"/>
        <v>0</v>
      </c>
      <c r="AD804" s="6">
        <f t="shared" si="192"/>
        <v>0</v>
      </c>
      <c r="AE804" s="6">
        <f t="shared" si="193"/>
        <v>0</v>
      </c>
      <c r="AF804" s="6">
        <f t="shared" si="194"/>
        <v>-1</v>
      </c>
      <c r="AG804" s="6">
        <f t="shared" si="195"/>
        <v>0</v>
      </c>
      <c r="AH804" s="6">
        <f t="shared" si="184"/>
        <v>-1</v>
      </c>
      <c r="AI804" s="3"/>
      <c r="AJ804" s="3" t="e">
        <f>_xlfn.XLOOKUP(K804,工作表1!A:A,工作表1!C:C)</f>
        <v>#N/A</v>
      </c>
      <c r="AK804" s="3"/>
      <c r="AL804" s="6">
        <f t="shared" si="185"/>
        <v>0</v>
      </c>
      <c r="AM804" s="6">
        <f t="shared" si="186"/>
        <v>0</v>
      </c>
      <c r="AN804" s="6">
        <f t="shared" si="187"/>
        <v>0</v>
      </c>
      <c r="AO804" s="6">
        <f t="shared" si="188"/>
        <v>0</v>
      </c>
      <c r="AP804" s="6">
        <f t="shared" si="189"/>
        <v>0</v>
      </c>
      <c r="AQ804" s="6">
        <f t="shared" si="190"/>
        <v>0</v>
      </c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  <c r="BC804" s="6"/>
      <c r="BD804" s="6"/>
      <c r="BE804" s="6"/>
      <c r="BF804" s="6"/>
      <c r="BG804" s="6"/>
      <c r="BH804" s="6"/>
      <c r="BI804" s="6"/>
      <c r="BJ804" s="6"/>
      <c r="BK804" s="6"/>
      <c r="BL804" s="6"/>
      <c r="BM804" s="6"/>
      <c r="BN804" s="6"/>
      <c r="BO804" s="6"/>
      <c r="BP804" s="3">
        <v>1</v>
      </c>
      <c r="BQ804" s="6">
        <f t="shared" si="181"/>
        <v>0</v>
      </c>
    </row>
    <row r="805" spans="1:69" x14ac:dyDescent="0.3">
      <c r="A805" s="3" t="s">
        <v>1321</v>
      </c>
      <c r="B805" s="3">
        <v>102</v>
      </c>
      <c r="C805" s="3" t="s">
        <v>1322</v>
      </c>
      <c r="D805" s="3">
        <v>2</v>
      </c>
      <c r="E805" s="3" t="s">
        <v>19</v>
      </c>
      <c r="F805" s="3" t="s">
        <v>752</v>
      </c>
      <c r="G805" s="3" t="s">
        <v>19</v>
      </c>
      <c r="H805" s="3" t="s">
        <v>790</v>
      </c>
      <c r="I805" s="3">
        <v>5.54</v>
      </c>
      <c r="J805" s="3" t="s">
        <v>22</v>
      </c>
      <c r="K805" s="3" t="s">
        <v>1323</v>
      </c>
      <c r="L805" s="3" t="s">
        <v>24</v>
      </c>
      <c r="M805" s="3">
        <v>12</v>
      </c>
      <c r="N805" s="6"/>
      <c r="O805" s="3">
        <v>8.6999999999999993</v>
      </c>
      <c r="P805" s="3">
        <v>8.6999999999999993</v>
      </c>
      <c r="Q805" s="3">
        <v>8.6999999999999993</v>
      </c>
      <c r="R805" s="3">
        <v>0</v>
      </c>
      <c r="S805" s="3">
        <v>0</v>
      </c>
      <c r="T805" s="3">
        <v>0</v>
      </c>
      <c r="U805" s="3">
        <v>0</v>
      </c>
      <c r="V805" s="3">
        <f t="shared" si="182"/>
        <v>8.6999999999999993</v>
      </c>
      <c r="W805" s="3">
        <v>12</v>
      </c>
      <c r="X805" s="3">
        <v>0</v>
      </c>
      <c r="Y805" s="3">
        <v>0</v>
      </c>
      <c r="Z805" s="3">
        <v>0</v>
      </c>
      <c r="AA805" s="3">
        <v>0</v>
      </c>
      <c r="AB805" s="3">
        <f t="shared" si="183"/>
        <v>12</v>
      </c>
      <c r="AC805" s="6">
        <f t="shared" si="191"/>
        <v>-12</v>
      </c>
      <c r="AD805" s="6">
        <f t="shared" si="192"/>
        <v>0</v>
      </c>
      <c r="AE805" s="6">
        <f t="shared" si="193"/>
        <v>0</v>
      </c>
      <c r="AF805" s="6">
        <f t="shared" si="194"/>
        <v>0</v>
      </c>
      <c r="AG805" s="6">
        <f t="shared" si="195"/>
        <v>0</v>
      </c>
      <c r="AH805" s="6">
        <f t="shared" si="184"/>
        <v>-12</v>
      </c>
      <c r="AI805" s="3"/>
      <c r="AJ805" s="3" t="e">
        <f>_xlfn.XLOOKUP(K805,工作表1!A:A,工作表1!C:C)</f>
        <v>#N/A</v>
      </c>
      <c r="AK805" s="3"/>
      <c r="AL805" s="6">
        <f t="shared" si="185"/>
        <v>0</v>
      </c>
      <c r="AM805" s="6">
        <f t="shared" si="186"/>
        <v>0</v>
      </c>
      <c r="AN805" s="6">
        <f t="shared" si="187"/>
        <v>0</v>
      </c>
      <c r="AO805" s="6">
        <f t="shared" si="188"/>
        <v>0</v>
      </c>
      <c r="AP805" s="6">
        <f t="shared" si="189"/>
        <v>0</v>
      </c>
      <c r="AQ805" s="6">
        <f t="shared" si="190"/>
        <v>0</v>
      </c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  <c r="BC805" s="6"/>
      <c r="BD805" s="6"/>
      <c r="BE805" s="6"/>
      <c r="BF805" s="6"/>
      <c r="BG805" s="6"/>
      <c r="BH805" s="6"/>
      <c r="BI805" s="6"/>
      <c r="BJ805" s="6"/>
      <c r="BK805" s="6"/>
      <c r="BL805" s="6"/>
      <c r="BM805" s="6"/>
      <c r="BN805" s="6"/>
      <c r="BO805" s="6"/>
      <c r="BP805" s="3">
        <v>12</v>
      </c>
      <c r="BQ805" s="6">
        <f t="shared" si="181"/>
        <v>0</v>
      </c>
    </row>
    <row r="806" spans="1:69" x14ac:dyDescent="0.3">
      <c r="A806" s="3" t="s">
        <v>1321</v>
      </c>
      <c r="B806" s="3">
        <v>102</v>
      </c>
      <c r="C806" s="3" t="s">
        <v>1322</v>
      </c>
      <c r="D806" s="3">
        <v>1.5</v>
      </c>
      <c r="E806" s="3" t="s">
        <v>19</v>
      </c>
      <c r="F806" s="3" t="s">
        <v>752</v>
      </c>
      <c r="G806" s="3" t="s">
        <v>19</v>
      </c>
      <c r="H806" s="3" t="s">
        <v>753</v>
      </c>
      <c r="I806" s="3">
        <v>5.08</v>
      </c>
      <c r="J806" s="3" t="s">
        <v>22</v>
      </c>
      <c r="K806" s="3" t="s">
        <v>1324</v>
      </c>
      <c r="L806" s="3" t="s">
        <v>24</v>
      </c>
      <c r="M806" s="3">
        <v>6</v>
      </c>
      <c r="N806" s="6"/>
      <c r="O806" s="3">
        <v>3.4</v>
      </c>
      <c r="P806" s="3">
        <v>3.4000000000000004</v>
      </c>
      <c r="Q806" s="3">
        <v>3.4000000000000004</v>
      </c>
      <c r="R806" s="3">
        <v>0</v>
      </c>
      <c r="S806" s="3">
        <v>0</v>
      </c>
      <c r="T806" s="3">
        <v>0</v>
      </c>
      <c r="U806" s="3">
        <v>0</v>
      </c>
      <c r="V806" s="3">
        <f t="shared" si="182"/>
        <v>3.4000000000000004</v>
      </c>
      <c r="W806" s="3">
        <v>6</v>
      </c>
      <c r="X806" s="3">
        <v>0</v>
      </c>
      <c r="Y806" s="3">
        <v>0</v>
      </c>
      <c r="Z806" s="3">
        <v>0</v>
      </c>
      <c r="AA806" s="3">
        <v>0</v>
      </c>
      <c r="AB806" s="3">
        <f t="shared" si="183"/>
        <v>6</v>
      </c>
      <c r="AC806" s="6">
        <f t="shared" si="191"/>
        <v>-6</v>
      </c>
      <c r="AD806" s="6">
        <f t="shared" si="192"/>
        <v>0</v>
      </c>
      <c r="AE806" s="6">
        <f t="shared" si="193"/>
        <v>0</v>
      </c>
      <c r="AF806" s="6">
        <f t="shared" si="194"/>
        <v>0</v>
      </c>
      <c r="AG806" s="6">
        <f t="shared" si="195"/>
        <v>0</v>
      </c>
      <c r="AH806" s="6">
        <f t="shared" si="184"/>
        <v>-6</v>
      </c>
      <c r="AI806" s="3"/>
      <c r="AJ806" s="3" t="e">
        <f>_xlfn.XLOOKUP(K806,工作表1!A:A,工作表1!C:C)</f>
        <v>#N/A</v>
      </c>
      <c r="AK806" s="3"/>
      <c r="AL806" s="6">
        <f t="shared" si="185"/>
        <v>0</v>
      </c>
      <c r="AM806" s="6">
        <f t="shared" si="186"/>
        <v>0</v>
      </c>
      <c r="AN806" s="6">
        <f t="shared" si="187"/>
        <v>0</v>
      </c>
      <c r="AO806" s="6">
        <f t="shared" si="188"/>
        <v>0</v>
      </c>
      <c r="AP806" s="6">
        <f t="shared" si="189"/>
        <v>0</v>
      </c>
      <c r="AQ806" s="6">
        <f t="shared" si="190"/>
        <v>0</v>
      </c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  <c r="BC806" s="6"/>
      <c r="BD806" s="6"/>
      <c r="BE806" s="6"/>
      <c r="BF806" s="6"/>
      <c r="BG806" s="6"/>
      <c r="BH806" s="6"/>
      <c r="BI806" s="6"/>
      <c r="BJ806" s="6"/>
      <c r="BK806" s="6"/>
      <c r="BL806" s="6"/>
      <c r="BM806" s="6"/>
      <c r="BN806" s="6"/>
      <c r="BO806" s="6"/>
      <c r="BP806" s="3">
        <v>6</v>
      </c>
      <c r="BQ806" s="6">
        <f t="shared" si="181"/>
        <v>0</v>
      </c>
    </row>
    <row r="807" spans="1:69" x14ac:dyDescent="0.3">
      <c r="A807" s="3" t="s">
        <v>1321</v>
      </c>
      <c r="B807" s="3">
        <v>102</v>
      </c>
      <c r="C807" s="3" t="s">
        <v>1322</v>
      </c>
      <c r="D807" s="3">
        <v>1</v>
      </c>
      <c r="E807" s="3" t="s">
        <v>19</v>
      </c>
      <c r="F807" s="3" t="s">
        <v>752</v>
      </c>
      <c r="G807" s="3" t="s">
        <v>19</v>
      </c>
      <c r="H807" s="3" t="s">
        <v>797</v>
      </c>
      <c r="I807" s="3">
        <v>4.55</v>
      </c>
      <c r="J807" s="3" t="s">
        <v>22</v>
      </c>
      <c r="K807" s="3" t="s">
        <v>1325</v>
      </c>
      <c r="L807" s="3" t="s">
        <v>24</v>
      </c>
      <c r="M807" s="3">
        <v>12</v>
      </c>
      <c r="N807" s="6"/>
      <c r="O807" s="3">
        <v>10.199999999999999</v>
      </c>
      <c r="P807" s="3">
        <v>10.199999999999999</v>
      </c>
      <c r="Q807" s="3">
        <v>10.199999999999999</v>
      </c>
      <c r="R807" s="3">
        <v>0</v>
      </c>
      <c r="S807" s="3">
        <v>0</v>
      </c>
      <c r="T807" s="3">
        <v>0</v>
      </c>
      <c r="U807" s="3">
        <v>0</v>
      </c>
      <c r="V807" s="3">
        <f t="shared" si="182"/>
        <v>10.199999999999999</v>
      </c>
      <c r="W807" s="3">
        <v>12</v>
      </c>
      <c r="X807" s="3">
        <v>0</v>
      </c>
      <c r="Y807" s="3">
        <v>0</v>
      </c>
      <c r="Z807" s="3">
        <v>0</v>
      </c>
      <c r="AA807" s="3">
        <v>0</v>
      </c>
      <c r="AB807" s="3">
        <f t="shared" si="183"/>
        <v>12</v>
      </c>
      <c r="AC807" s="6">
        <f t="shared" si="191"/>
        <v>-12</v>
      </c>
      <c r="AD807" s="6">
        <f t="shared" si="192"/>
        <v>0</v>
      </c>
      <c r="AE807" s="6">
        <f t="shared" si="193"/>
        <v>0</v>
      </c>
      <c r="AF807" s="6">
        <f t="shared" si="194"/>
        <v>0</v>
      </c>
      <c r="AG807" s="6">
        <f t="shared" si="195"/>
        <v>0</v>
      </c>
      <c r="AH807" s="6">
        <f t="shared" si="184"/>
        <v>-12</v>
      </c>
      <c r="AI807" s="3"/>
      <c r="AJ807" s="3" t="e">
        <f>_xlfn.XLOOKUP(K807,工作表1!A:A,工作表1!C:C)</f>
        <v>#N/A</v>
      </c>
      <c r="AK807" s="3"/>
      <c r="AL807" s="6">
        <f t="shared" si="185"/>
        <v>0</v>
      </c>
      <c r="AM807" s="6">
        <f t="shared" si="186"/>
        <v>0</v>
      </c>
      <c r="AN807" s="6">
        <f t="shared" si="187"/>
        <v>0</v>
      </c>
      <c r="AO807" s="6">
        <f t="shared" si="188"/>
        <v>0</v>
      </c>
      <c r="AP807" s="6">
        <f t="shared" si="189"/>
        <v>0</v>
      </c>
      <c r="AQ807" s="6">
        <f t="shared" si="190"/>
        <v>0</v>
      </c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  <c r="BC807" s="6"/>
      <c r="BD807" s="6"/>
      <c r="BE807" s="6"/>
      <c r="BF807" s="6"/>
      <c r="BG807" s="6"/>
      <c r="BH807" s="6"/>
      <c r="BI807" s="6"/>
      <c r="BJ807" s="6"/>
      <c r="BK807" s="6"/>
      <c r="BL807" s="6"/>
      <c r="BM807" s="6"/>
      <c r="BN807" s="6"/>
      <c r="BO807" s="6"/>
      <c r="BP807" s="3">
        <v>12</v>
      </c>
      <c r="BQ807" s="6">
        <f t="shared" si="181"/>
        <v>0</v>
      </c>
    </row>
    <row r="808" spans="1:69" x14ac:dyDescent="0.3">
      <c r="A808" s="3" t="s">
        <v>1321</v>
      </c>
      <c r="B808" s="3">
        <v>102</v>
      </c>
      <c r="C808" s="3" t="s">
        <v>1322</v>
      </c>
      <c r="D808" s="3">
        <v>0.75</v>
      </c>
      <c r="E808" s="3" t="s">
        <v>19</v>
      </c>
      <c r="F808" s="3" t="s">
        <v>752</v>
      </c>
      <c r="G808" s="3" t="s">
        <v>19</v>
      </c>
      <c r="H808" s="3" t="s">
        <v>799</v>
      </c>
      <c r="I808" s="3">
        <v>3.91</v>
      </c>
      <c r="J808" s="3" t="s">
        <v>22</v>
      </c>
      <c r="K808" s="3" t="s">
        <v>1326</v>
      </c>
      <c r="L808" s="3" t="s">
        <v>24</v>
      </c>
      <c r="M808" s="3">
        <v>6</v>
      </c>
      <c r="N808" s="6"/>
      <c r="O808" s="3">
        <v>0.30000000000000004</v>
      </c>
      <c r="P808" s="3">
        <v>0.30000000000000004</v>
      </c>
      <c r="Q808" s="3">
        <v>0.30000000000000004</v>
      </c>
      <c r="R808" s="3">
        <v>0</v>
      </c>
      <c r="S808" s="3">
        <v>0</v>
      </c>
      <c r="T808" s="3">
        <v>0</v>
      </c>
      <c r="U808" s="3">
        <v>0</v>
      </c>
      <c r="V808" s="3">
        <f t="shared" si="182"/>
        <v>0.30000000000000004</v>
      </c>
      <c r="W808" s="3">
        <v>6</v>
      </c>
      <c r="X808" s="3">
        <v>0</v>
      </c>
      <c r="Y808" s="3">
        <v>0</v>
      </c>
      <c r="Z808" s="3">
        <v>0</v>
      </c>
      <c r="AA808" s="3">
        <v>0</v>
      </c>
      <c r="AB808" s="3">
        <f t="shared" si="183"/>
        <v>6</v>
      </c>
      <c r="AC808" s="6">
        <f t="shared" si="191"/>
        <v>-6</v>
      </c>
      <c r="AD808" s="6">
        <f t="shared" si="192"/>
        <v>0</v>
      </c>
      <c r="AE808" s="6">
        <f t="shared" si="193"/>
        <v>0</v>
      </c>
      <c r="AF808" s="6">
        <f t="shared" si="194"/>
        <v>0</v>
      </c>
      <c r="AG808" s="6">
        <f t="shared" si="195"/>
        <v>0</v>
      </c>
      <c r="AH808" s="6">
        <f t="shared" si="184"/>
        <v>-6</v>
      </c>
      <c r="AI808" s="3"/>
      <c r="AJ808" s="3" t="e">
        <f>_xlfn.XLOOKUP(K808,工作表1!A:A,工作表1!C:C)</f>
        <v>#N/A</v>
      </c>
      <c r="AK808" s="3"/>
      <c r="AL808" s="6">
        <f t="shared" si="185"/>
        <v>0</v>
      </c>
      <c r="AM808" s="6">
        <f t="shared" si="186"/>
        <v>0</v>
      </c>
      <c r="AN808" s="6">
        <f t="shared" si="187"/>
        <v>0</v>
      </c>
      <c r="AO808" s="6">
        <f t="shared" si="188"/>
        <v>0</v>
      </c>
      <c r="AP808" s="6">
        <f t="shared" si="189"/>
        <v>0</v>
      </c>
      <c r="AQ808" s="6">
        <f t="shared" si="190"/>
        <v>0</v>
      </c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  <c r="BC808" s="6"/>
      <c r="BD808" s="6"/>
      <c r="BE808" s="6"/>
      <c r="BF808" s="6"/>
      <c r="BG808" s="6"/>
      <c r="BH808" s="6"/>
      <c r="BI808" s="6"/>
      <c r="BJ808" s="6"/>
      <c r="BK808" s="6"/>
      <c r="BL808" s="6"/>
      <c r="BM808" s="6"/>
      <c r="BN808" s="6"/>
      <c r="BO808" s="6"/>
      <c r="BP808" s="3">
        <v>6</v>
      </c>
      <c r="BQ808" s="6">
        <f t="shared" si="181"/>
        <v>0</v>
      </c>
    </row>
    <row r="809" spans="1:69" x14ac:dyDescent="0.3">
      <c r="A809" s="3" t="s">
        <v>1321</v>
      </c>
      <c r="B809" s="3">
        <v>102</v>
      </c>
      <c r="C809" s="3" t="s">
        <v>1327</v>
      </c>
      <c r="D809" s="3">
        <v>16</v>
      </c>
      <c r="E809" s="3" t="s">
        <v>19</v>
      </c>
      <c r="F809" s="3" t="s">
        <v>25</v>
      </c>
      <c r="G809" s="3" t="s">
        <v>19</v>
      </c>
      <c r="H809" s="3" t="s">
        <v>1328</v>
      </c>
      <c r="I809" s="3">
        <v>21.44</v>
      </c>
      <c r="J809" s="3" t="s">
        <v>22</v>
      </c>
      <c r="K809" s="3" t="s">
        <v>1329</v>
      </c>
      <c r="L809" s="3" t="s">
        <v>24</v>
      </c>
      <c r="M809" s="3">
        <v>36</v>
      </c>
      <c r="N809" s="6"/>
      <c r="O809" s="3">
        <v>31.6</v>
      </c>
      <c r="P809" s="3">
        <v>31.6</v>
      </c>
      <c r="Q809" s="3">
        <v>31.6</v>
      </c>
      <c r="R809" s="3">
        <v>0</v>
      </c>
      <c r="S809" s="3">
        <v>0</v>
      </c>
      <c r="T809" s="3">
        <v>0</v>
      </c>
      <c r="U809" s="3">
        <v>0</v>
      </c>
      <c r="V809" s="3">
        <f t="shared" si="182"/>
        <v>31.6</v>
      </c>
      <c r="W809" s="3">
        <v>36</v>
      </c>
      <c r="X809" s="3">
        <v>0</v>
      </c>
      <c r="Y809" s="3">
        <v>0</v>
      </c>
      <c r="Z809" s="3">
        <v>0</v>
      </c>
      <c r="AA809" s="3">
        <v>0</v>
      </c>
      <c r="AB809" s="3">
        <f t="shared" si="183"/>
        <v>36</v>
      </c>
      <c r="AC809" s="6">
        <f t="shared" si="191"/>
        <v>-36</v>
      </c>
      <c r="AD809" s="6">
        <f t="shared" si="192"/>
        <v>0</v>
      </c>
      <c r="AE809" s="6">
        <f t="shared" si="193"/>
        <v>0</v>
      </c>
      <c r="AF809" s="6">
        <f t="shared" si="194"/>
        <v>0</v>
      </c>
      <c r="AG809" s="6">
        <f t="shared" si="195"/>
        <v>0</v>
      </c>
      <c r="AH809" s="6">
        <f t="shared" si="184"/>
        <v>-36</v>
      </c>
      <c r="AI809" s="3"/>
      <c r="AJ809" s="3" t="e">
        <f>_xlfn.XLOOKUP(K809,工作表1!A:A,工作表1!C:C)</f>
        <v>#N/A</v>
      </c>
      <c r="AK809" s="3"/>
      <c r="AL809" s="6">
        <f t="shared" si="185"/>
        <v>0</v>
      </c>
      <c r="AM809" s="6">
        <f t="shared" si="186"/>
        <v>0</v>
      </c>
      <c r="AN809" s="6">
        <f t="shared" si="187"/>
        <v>0</v>
      </c>
      <c r="AO809" s="6">
        <f t="shared" si="188"/>
        <v>0</v>
      </c>
      <c r="AP809" s="6">
        <f t="shared" si="189"/>
        <v>0</v>
      </c>
      <c r="AQ809" s="6">
        <f t="shared" si="190"/>
        <v>0</v>
      </c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  <c r="BC809" s="6"/>
      <c r="BD809" s="6"/>
      <c r="BE809" s="6"/>
      <c r="BF809" s="6"/>
      <c r="BG809" s="6"/>
      <c r="BH809" s="6"/>
      <c r="BI809" s="6"/>
      <c r="BJ809" s="6"/>
      <c r="BK809" s="6"/>
      <c r="BL809" s="6"/>
      <c r="BM809" s="6"/>
      <c r="BN809" s="6"/>
      <c r="BO809" s="6"/>
      <c r="BP809" s="3">
        <v>36</v>
      </c>
      <c r="BQ809" s="6">
        <f t="shared" si="181"/>
        <v>0</v>
      </c>
    </row>
    <row r="810" spans="1:69" x14ac:dyDescent="0.3">
      <c r="A810" s="3" t="s">
        <v>1321</v>
      </c>
      <c r="B810" s="3">
        <v>102</v>
      </c>
      <c r="C810" s="3" t="s">
        <v>1327</v>
      </c>
      <c r="D810" s="3">
        <v>14</v>
      </c>
      <c r="E810" s="3" t="s">
        <v>19</v>
      </c>
      <c r="F810" s="3" t="s">
        <v>25</v>
      </c>
      <c r="G810" s="3" t="s">
        <v>19</v>
      </c>
      <c r="H810" s="3" t="s">
        <v>1330</v>
      </c>
      <c r="I810" s="3">
        <v>19.05</v>
      </c>
      <c r="J810" s="3" t="s">
        <v>22</v>
      </c>
      <c r="K810" s="3" t="s">
        <v>1331</v>
      </c>
      <c r="L810" s="3" t="s">
        <v>24</v>
      </c>
      <c r="M810" s="3">
        <v>12</v>
      </c>
      <c r="N810" s="6"/>
      <c r="O810" s="3">
        <v>8.1999999999999993</v>
      </c>
      <c r="P810" s="3">
        <v>8.2000000000000011</v>
      </c>
      <c r="Q810" s="3">
        <v>8.2000000000000011</v>
      </c>
      <c r="R810" s="3">
        <v>0</v>
      </c>
      <c r="S810" s="3">
        <v>0</v>
      </c>
      <c r="T810" s="3">
        <v>0</v>
      </c>
      <c r="U810" s="3">
        <v>0</v>
      </c>
      <c r="V810" s="3">
        <f t="shared" si="182"/>
        <v>8.2000000000000011</v>
      </c>
      <c r="W810" s="3">
        <v>12</v>
      </c>
      <c r="X810" s="3">
        <v>0</v>
      </c>
      <c r="Y810" s="3">
        <v>0</v>
      </c>
      <c r="Z810" s="3">
        <v>0</v>
      </c>
      <c r="AA810" s="3">
        <v>0</v>
      </c>
      <c r="AB810" s="3">
        <f t="shared" si="183"/>
        <v>12</v>
      </c>
      <c r="AC810" s="6">
        <f t="shared" si="191"/>
        <v>-12</v>
      </c>
      <c r="AD810" s="6">
        <f t="shared" si="192"/>
        <v>0</v>
      </c>
      <c r="AE810" s="6">
        <f t="shared" si="193"/>
        <v>0</v>
      </c>
      <c r="AF810" s="6">
        <f t="shared" si="194"/>
        <v>0</v>
      </c>
      <c r="AG810" s="6">
        <f t="shared" si="195"/>
        <v>0</v>
      </c>
      <c r="AH810" s="6">
        <f t="shared" si="184"/>
        <v>-12</v>
      </c>
      <c r="AI810" s="3"/>
      <c r="AJ810" s="3" t="e">
        <f>_xlfn.XLOOKUP(K810,工作表1!A:A,工作表1!C:C)</f>
        <v>#N/A</v>
      </c>
      <c r="AK810" s="3"/>
      <c r="AL810" s="6">
        <f t="shared" si="185"/>
        <v>0</v>
      </c>
      <c r="AM810" s="6">
        <f t="shared" si="186"/>
        <v>0</v>
      </c>
      <c r="AN810" s="6">
        <f t="shared" si="187"/>
        <v>0</v>
      </c>
      <c r="AO810" s="6">
        <f t="shared" si="188"/>
        <v>0</v>
      </c>
      <c r="AP810" s="6">
        <f t="shared" si="189"/>
        <v>0</v>
      </c>
      <c r="AQ810" s="6">
        <f t="shared" si="190"/>
        <v>0</v>
      </c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  <c r="BC810" s="6"/>
      <c r="BD810" s="6"/>
      <c r="BE810" s="6"/>
      <c r="BF810" s="6"/>
      <c r="BG810" s="6"/>
      <c r="BH810" s="6"/>
      <c r="BI810" s="6"/>
      <c r="BJ810" s="6"/>
      <c r="BK810" s="6"/>
      <c r="BL810" s="6"/>
      <c r="BM810" s="6"/>
      <c r="BN810" s="6"/>
      <c r="BO810" s="6"/>
      <c r="BP810" s="3">
        <v>12</v>
      </c>
      <c r="BQ810" s="6">
        <f t="shared" si="181"/>
        <v>0</v>
      </c>
    </row>
    <row r="811" spans="1:69" x14ac:dyDescent="0.3">
      <c r="A811" s="3" t="s">
        <v>1321</v>
      </c>
      <c r="B811" s="3">
        <v>102</v>
      </c>
      <c r="C811" s="3" t="s">
        <v>1327</v>
      </c>
      <c r="D811" s="3">
        <v>12</v>
      </c>
      <c r="E811" s="3" t="s">
        <v>19</v>
      </c>
      <c r="F811" s="3" t="s">
        <v>25</v>
      </c>
      <c r="G811" s="3" t="s">
        <v>19</v>
      </c>
      <c r="H811" s="3" t="s">
        <v>1332</v>
      </c>
      <c r="I811" s="3">
        <v>17.48</v>
      </c>
      <c r="J811" s="3" t="s">
        <v>22</v>
      </c>
      <c r="K811" s="3" t="s">
        <v>1333</v>
      </c>
      <c r="L811" s="3" t="s">
        <v>24</v>
      </c>
      <c r="M811" s="3">
        <v>18</v>
      </c>
      <c r="N811" s="6"/>
      <c r="O811" s="3">
        <v>17.199999999999996</v>
      </c>
      <c r="P811" s="3">
        <v>17.2</v>
      </c>
      <c r="Q811" s="3">
        <v>17.2</v>
      </c>
      <c r="R811" s="3">
        <v>0</v>
      </c>
      <c r="S811" s="3">
        <v>0</v>
      </c>
      <c r="T811" s="3">
        <v>0</v>
      </c>
      <c r="U811" s="3">
        <v>0</v>
      </c>
      <c r="V811" s="3">
        <f t="shared" si="182"/>
        <v>17.2</v>
      </c>
      <c r="W811" s="3">
        <v>24</v>
      </c>
      <c r="X811" s="3">
        <v>0</v>
      </c>
      <c r="Y811" s="3">
        <v>0</v>
      </c>
      <c r="Z811" s="3">
        <v>0</v>
      </c>
      <c r="AA811" s="3">
        <v>0</v>
      </c>
      <c r="AB811" s="3">
        <f t="shared" si="183"/>
        <v>24</v>
      </c>
      <c r="AC811" s="6">
        <f t="shared" si="191"/>
        <v>-24</v>
      </c>
      <c r="AD811" s="6">
        <f t="shared" si="192"/>
        <v>0</v>
      </c>
      <c r="AE811" s="6">
        <f t="shared" si="193"/>
        <v>0</v>
      </c>
      <c r="AF811" s="6">
        <f t="shared" si="194"/>
        <v>0</v>
      </c>
      <c r="AG811" s="6">
        <f t="shared" si="195"/>
        <v>0</v>
      </c>
      <c r="AH811" s="6">
        <f t="shared" si="184"/>
        <v>-24</v>
      </c>
      <c r="AI811" s="3"/>
      <c r="AJ811" s="3" t="e">
        <f>_xlfn.XLOOKUP(K811,工作表1!A:A,工作表1!C:C)</f>
        <v>#N/A</v>
      </c>
      <c r="AK811" s="3"/>
      <c r="AL811" s="6">
        <f t="shared" si="185"/>
        <v>0</v>
      </c>
      <c r="AM811" s="6">
        <f t="shared" si="186"/>
        <v>0</v>
      </c>
      <c r="AN811" s="6">
        <f t="shared" si="187"/>
        <v>0</v>
      </c>
      <c r="AO811" s="6">
        <f t="shared" si="188"/>
        <v>0</v>
      </c>
      <c r="AP811" s="6">
        <f t="shared" si="189"/>
        <v>0</v>
      </c>
      <c r="AQ811" s="6">
        <f t="shared" si="190"/>
        <v>0</v>
      </c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  <c r="BC811" s="6"/>
      <c r="BD811" s="6"/>
      <c r="BE811" s="6"/>
      <c r="BF811" s="6"/>
      <c r="BG811" s="6"/>
      <c r="BH811" s="6"/>
      <c r="BI811" s="6"/>
      <c r="BJ811" s="6"/>
      <c r="BK811" s="6"/>
      <c r="BL811" s="6"/>
      <c r="BM811" s="6"/>
      <c r="BN811" s="6"/>
      <c r="BO811" s="6"/>
      <c r="BP811" s="3">
        <v>24</v>
      </c>
      <c r="BQ811" s="6">
        <f t="shared" si="181"/>
        <v>0</v>
      </c>
    </row>
    <row r="812" spans="1:69" x14ac:dyDescent="0.3">
      <c r="A812" s="3" t="s">
        <v>1321</v>
      </c>
      <c r="B812" s="3">
        <v>102</v>
      </c>
      <c r="C812" s="3" t="s">
        <v>1327</v>
      </c>
      <c r="D812" s="3">
        <v>10</v>
      </c>
      <c r="E812" s="3" t="s">
        <v>19</v>
      </c>
      <c r="F812" s="3" t="s">
        <v>25</v>
      </c>
      <c r="G812" s="3" t="s">
        <v>19</v>
      </c>
      <c r="H812" s="3" t="s">
        <v>1334</v>
      </c>
      <c r="I812" s="3">
        <v>15.09</v>
      </c>
      <c r="J812" s="3" t="s">
        <v>22</v>
      </c>
      <c r="K812" s="3" t="s">
        <v>1335</v>
      </c>
      <c r="L812" s="3" t="s">
        <v>24</v>
      </c>
      <c r="M812" s="3">
        <v>18</v>
      </c>
      <c r="N812" s="6"/>
      <c r="O812" s="3">
        <v>11.4</v>
      </c>
      <c r="P812" s="3">
        <v>11.4</v>
      </c>
      <c r="Q812" s="3">
        <v>11.4</v>
      </c>
      <c r="R812" s="3">
        <v>0</v>
      </c>
      <c r="S812" s="3">
        <v>0</v>
      </c>
      <c r="T812" s="3">
        <v>0</v>
      </c>
      <c r="U812" s="3">
        <v>0</v>
      </c>
      <c r="V812" s="3">
        <f t="shared" si="182"/>
        <v>11.4</v>
      </c>
      <c r="W812" s="3">
        <v>18</v>
      </c>
      <c r="X812" s="3">
        <v>0</v>
      </c>
      <c r="Y812" s="3">
        <v>0</v>
      </c>
      <c r="Z812" s="3">
        <v>0</v>
      </c>
      <c r="AA812" s="3">
        <v>0</v>
      </c>
      <c r="AB812" s="3">
        <f t="shared" si="183"/>
        <v>18</v>
      </c>
      <c r="AC812" s="6">
        <f t="shared" si="191"/>
        <v>-18</v>
      </c>
      <c r="AD812" s="6">
        <f t="shared" si="192"/>
        <v>0</v>
      </c>
      <c r="AE812" s="6">
        <f t="shared" si="193"/>
        <v>0</v>
      </c>
      <c r="AF812" s="6">
        <f t="shared" si="194"/>
        <v>0</v>
      </c>
      <c r="AG812" s="6">
        <f t="shared" si="195"/>
        <v>0</v>
      </c>
      <c r="AH812" s="6">
        <f t="shared" si="184"/>
        <v>-18</v>
      </c>
      <c r="AI812" s="3"/>
      <c r="AJ812" s="3" t="e">
        <f>_xlfn.XLOOKUP(K812,工作表1!A:A,工作表1!C:C)</f>
        <v>#N/A</v>
      </c>
      <c r="AK812" s="3"/>
      <c r="AL812" s="6">
        <f t="shared" si="185"/>
        <v>0</v>
      </c>
      <c r="AM812" s="6">
        <f t="shared" si="186"/>
        <v>0</v>
      </c>
      <c r="AN812" s="6">
        <f t="shared" si="187"/>
        <v>0</v>
      </c>
      <c r="AO812" s="6">
        <f t="shared" si="188"/>
        <v>0</v>
      </c>
      <c r="AP812" s="6">
        <f t="shared" si="189"/>
        <v>0</v>
      </c>
      <c r="AQ812" s="6">
        <f t="shared" si="190"/>
        <v>0</v>
      </c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  <c r="BC812" s="6"/>
      <c r="BD812" s="6"/>
      <c r="BE812" s="6"/>
      <c r="BF812" s="6"/>
      <c r="BG812" s="6"/>
      <c r="BH812" s="6"/>
      <c r="BI812" s="6"/>
      <c r="BJ812" s="6"/>
      <c r="BK812" s="6"/>
      <c r="BL812" s="6"/>
      <c r="BM812" s="6"/>
      <c r="BN812" s="6"/>
      <c r="BO812" s="6"/>
      <c r="BP812" s="3">
        <v>18</v>
      </c>
      <c r="BQ812" s="6">
        <f t="shared" si="181"/>
        <v>0</v>
      </c>
    </row>
    <row r="813" spans="1:69" x14ac:dyDescent="0.3">
      <c r="A813" s="3" t="s">
        <v>1321</v>
      </c>
      <c r="B813" s="3">
        <v>102</v>
      </c>
      <c r="C813" s="3" t="s">
        <v>1327</v>
      </c>
      <c r="D813" s="3">
        <v>8</v>
      </c>
      <c r="E813" s="3" t="s">
        <v>19</v>
      </c>
      <c r="F813" s="3" t="s">
        <v>752</v>
      </c>
      <c r="G813" s="3" t="s">
        <v>19</v>
      </c>
      <c r="H813" s="3" t="s">
        <v>1336</v>
      </c>
      <c r="I813" s="3">
        <v>12.7</v>
      </c>
      <c r="J813" s="3" t="s">
        <v>22</v>
      </c>
      <c r="K813" s="3" t="s">
        <v>1337</v>
      </c>
      <c r="L813" s="3" t="s">
        <v>24</v>
      </c>
      <c r="M813" s="3">
        <v>12</v>
      </c>
      <c r="N813" s="6"/>
      <c r="O813" s="3">
        <v>6.7</v>
      </c>
      <c r="P813" s="3">
        <v>6.7</v>
      </c>
      <c r="Q813" s="3">
        <v>6.7</v>
      </c>
      <c r="R813" s="3">
        <v>0</v>
      </c>
      <c r="S813" s="3">
        <v>0</v>
      </c>
      <c r="T813" s="3">
        <v>0</v>
      </c>
      <c r="U813" s="3">
        <v>0</v>
      </c>
      <c r="V813" s="3">
        <f t="shared" si="182"/>
        <v>6.7</v>
      </c>
      <c r="W813" s="3">
        <v>12</v>
      </c>
      <c r="X813" s="3">
        <v>0</v>
      </c>
      <c r="Y813" s="3">
        <v>0</v>
      </c>
      <c r="Z813" s="3">
        <v>0</v>
      </c>
      <c r="AA813" s="3">
        <v>0</v>
      </c>
      <c r="AB813" s="3">
        <f t="shared" si="183"/>
        <v>12</v>
      </c>
      <c r="AC813" s="6">
        <f t="shared" si="191"/>
        <v>-12</v>
      </c>
      <c r="AD813" s="6">
        <f t="shared" si="192"/>
        <v>0</v>
      </c>
      <c r="AE813" s="6">
        <f t="shared" si="193"/>
        <v>0</v>
      </c>
      <c r="AF813" s="6">
        <f t="shared" si="194"/>
        <v>0</v>
      </c>
      <c r="AG813" s="6">
        <f t="shared" si="195"/>
        <v>0</v>
      </c>
      <c r="AH813" s="6">
        <f t="shared" si="184"/>
        <v>-12</v>
      </c>
      <c r="AI813" s="3"/>
      <c r="AJ813" s="3" t="e">
        <f>_xlfn.XLOOKUP(K813,工作表1!A:A,工作表1!C:C)</f>
        <v>#N/A</v>
      </c>
      <c r="AK813" s="3"/>
      <c r="AL813" s="6">
        <f t="shared" si="185"/>
        <v>0</v>
      </c>
      <c r="AM813" s="6">
        <f t="shared" si="186"/>
        <v>0</v>
      </c>
      <c r="AN813" s="6">
        <f t="shared" si="187"/>
        <v>0</v>
      </c>
      <c r="AO813" s="6">
        <f t="shared" si="188"/>
        <v>0</v>
      </c>
      <c r="AP813" s="6">
        <f t="shared" si="189"/>
        <v>0</v>
      </c>
      <c r="AQ813" s="6">
        <f t="shared" si="190"/>
        <v>0</v>
      </c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  <c r="BC813" s="6"/>
      <c r="BD813" s="6"/>
      <c r="BE813" s="6"/>
      <c r="BF813" s="6"/>
      <c r="BG813" s="6"/>
      <c r="BH813" s="6"/>
      <c r="BI813" s="6"/>
      <c r="BJ813" s="6"/>
      <c r="BK813" s="6"/>
      <c r="BL813" s="6"/>
      <c r="BM813" s="6"/>
      <c r="BN813" s="6"/>
      <c r="BO813" s="6"/>
      <c r="BP813" s="3">
        <v>12</v>
      </c>
      <c r="BQ813" s="6">
        <f t="shared" si="181"/>
        <v>0</v>
      </c>
    </row>
    <row r="814" spans="1:69" x14ac:dyDescent="0.3">
      <c r="A814" s="3" t="s">
        <v>1321</v>
      </c>
      <c r="B814" s="3">
        <v>102</v>
      </c>
      <c r="C814" s="3" t="s">
        <v>1327</v>
      </c>
      <c r="D814" s="3">
        <v>6</v>
      </c>
      <c r="E814" s="3" t="s">
        <v>19</v>
      </c>
      <c r="F814" s="3" t="s">
        <v>752</v>
      </c>
      <c r="G814" s="3" t="s">
        <v>19</v>
      </c>
      <c r="H814" s="3" t="s">
        <v>1338</v>
      </c>
      <c r="I814" s="3">
        <v>10.97</v>
      </c>
      <c r="J814" s="3" t="s">
        <v>22</v>
      </c>
      <c r="K814" s="3" t="s">
        <v>1339</v>
      </c>
      <c r="L814" s="3" t="s">
        <v>24</v>
      </c>
      <c r="M814" s="3">
        <v>18</v>
      </c>
      <c r="N814" s="6"/>
      <c r="O814" s="3">
        <v>17.099999999999998</v>
      </c>
      <c r="P814" s="3">
        <v>17.100000000000001</v>
      </c>
      <c r="Q814" s="3">
        <v>17.100000000000001</v>
      </c>
      <c r="R814" s="3">
        <v>0</v>
      </c>
      <c r="S814" s="3">
        <v>0</v>
      </c>
      <c r="T814" s="3">
        <v>0</v>
      </c>
      <c r="U814" s="3">
        <v>0</v>
      </c>
      <c r="V814" s="3">
        <f t="shared" si="182"/>
        <v>17.100000000000001</v>
      </c>
      <c r="W814" s="3">
        <v>24</v>
      </c>
      <c r="X814" s="3">
        <v>0</v>
      </c>
      <c r="Y814" s="3">
        <v>0</v>
      </c>
      <c r="Z814" s="3">
        <v>0</v>
      </c>
      <c r="AA814" s="3">
        <v>0</v>
      </c>
      <c r="AB814" s="3">
        <f t="shared" si="183"/>
        <v>24</v>
      </c>
      <c r="AC814" s="6">
        <f t="shared" si="191"/>
        <v>-24</v>
      </c>
      <c r="AD814" s="6">
        <f t="shared" si="192"/>
        <v>0</v>
      </c>
      <c r="AE814" s="6">
        <f t="shared" si="193"/>
        <v>0</v>
      </c>
      <c r="AF814" s="6">
        <f t="shared" si="194"/>
        <v>0</v>
      </c>
      <c r="AG814" s="6">
        <f t="shared" si="195"/>
        <v>0</v>
      </c>
      <c r="AH814" s="6">
        <f t="shared" si="184"/>
        <v>-24</v>
      </c>
      <c r="AI814" s="3"/>
      <c r="AJ814" s="3" t="e">
        <f>_xlfn.XLOOKUP(K814,工作表1!A:A,工作表1!C:C)</f>
        <v>#N/A</v>
      </c>
      <c r="AK814" s="3"/>
      <c r="AL814" s="6">
        <f t="shared" si="185"/>
        <v>0</v>
      </c>
      <c r="AM814" s="6">
        <f t="shared" si="186"/>
        <v>0</v>
      </c>
      <c r="AN814" s="6">
        <f t="shared" si="187"/>
        <v>0</v>
      </c>
      <c r="AO814" s="6">
        <f t="shared" si="188"/>
        <v>0</v>
      </c>
      <c r="AP814" s="6">
        <f t="shared" si="189"/>
        <v>0</v>
      </c>
      <c r="AQ814" s="6">
        <f t="shared" si="190"/>
        <v>0</v>
      </c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  <c r="BC814" s="6"/>
      <c r="BD814" s="6"/>
      <c r="BE814" s="6"/>
      <c r="BF814" s="6"/>
      <c r="BG814" s="6"/>
      <c r="BH814" s="6"/>
      <c r="BI814" s="6"/>
      <c r="BJ814" s="6"/>
      <c r="BK814" s="6"/>
      <c r="BL814" s="6"/>
      <c r="BM814" s="6"/>
      <c r="BN814" s="6"/>
      <c r="BO814" s="6"/>
      <c r="BP814" s="3">
        <v>24</v>
      </c>
      <c r="BQ814" s="6">
        <f t="shared" si="181"/>
        <v>0</v>
      </c>
    </row>
    <row r="815" spans="1:69" x14ac:dyDescent="0.3">
      <c r="A815" s="3" t="s">
        <v>1321</v>
      </c>
      <c r="B815" s="3">
        <v>301</v>
      </c>
      <c r="C815" s="3" t="s">
        <v>1340</v>
      </c>
      <c r="D815" s="3">
        <v>10</v>
      </c>
      <c r="E815" s="3" t="s">
        <v>19</v>
      </c>
      <c r="F815" s="3" t="s">
        <v>25</v>
      </c>
      <c r="G815" s="3" t="s">
        <v>19</v>
      </c>
      <c r="H815" s="3" t="s">
        <v>1334</v>
      </c>
      <c r="I815" s="3">
        <v>15.09</v>
      </c>
      <c r="J815" s="3" t="s">
        <v>91</v>
      </c>
      <c r="K815" s="3" t="s">
        <v>1341</v>
      </c>
      <c r="L815" s="3" t="s">
        <v>24</v>
      </c>
      <c r="M815" s="3">
        <v>2</v>
      </c>
      <c r="N815" s="6"/>
      <c r="O815" s="3">
        <v>2</v>
      </c>
      <c r="P815" s="3">
        <v>2</v>
      </c>
      <c r="Q815" s="3">
        <v>2</v>
      </c>
      <c r="R815" s="3">
        <v>0</v>
      </c>
      <c r="S815" s="3">
        <v>0</v>
      </c>
      <c r="T815" s="3">
        <v>0</v>
      </c>
      <c r="U815" s="3">
        <v>0</v>
      </c>
      <c r="V815" s="3">
        <f t="shared" si="182"/>
        <v>2</v>
      </c>
      <c r="W815" s="3">
        <v>2</v>
      </c>
      <c r="X815" s="3">
        <v>0</v>
      </c>
      <c r="Y815" s="3">
        <v>0</v>
      </c>
      <c r="Z815" s="3">
        <v>0</v>
      </c>
      <c r="AA815" s="3">
        <v>0</v>
      </c>
      <c r="AB815" s="3">
        <f t="shared" si="183"/>
        <v>2</v>
      </c>
      <c r="AC815" s="6">
        <f t="shared" si="191"/>
        <v>-2</v>
      </c>
      <c r="AD815" s="6">
        <f t="shared" si="192"/>
        <v>0</v>
      </c>
      <c r="AE815" s="6">
        <f t="shared" si="193"/>
        <v>0</v>
      </c>
      <c r="AF815" s="6">
        <f t="shared" si="194"/>
        <v>0</v>
      </c>
      <c r="AG815" s="6">
        <f t="shared" si="195"/>
        <v>0</v>
      </c>
      <c r="AH815" s="6">
        <f t="shared" si="184"/>
        <v>-2</v>
      </c>
      <c r="AI815" s="3"/>
      <c r="AJ815" s="3" t="e">
        <f>_xlfn.XLOOKUP(K815,工作表1!A:A,工作表1!C:C)</f>
        <v>#N/A</v>
      </c>
      <c r="AK815" s="3"/>
      <c r="AL815" s="6">
        <f t="shared" si="185"/>
        <v>0</v>
      </c>
      <c r="AM815" s="6">
        <f t="shared" si="186"/>
        <v>0</v>
      </c>
      <c r="AN815" s="6">
        <f t="shared" si="187"/>
        <v>0</v>
      </c>
      <c r="AO815" s="6">
        <f t="shared" si="188"/>
        <v>0</v>
      </c>
      <c r="AP815" s="6">
        <f t="shared" si="189"/>
        <v>0</v>
      </c>
      <c r="AQ815" s="6">
        <f t="shared" si="190"/>
        <v>0</v>
      </c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  <c r="BC815" s="6"/>
      <c r="BD815" s="6"/>
      <c r="BE815" s="6"/>
      <c r="BF815" s="6"/>
      <c r="BG815" s="6"/>
      <c r="BH815" s="6"/>
      <c r="BI815" s="6"/>
      <c r="BJ815" s="6"/>
      <c r="BK815" s="6"/>
      <c r="BL815" s="6"/>
      <c r="BM815" s="6"/>
      <c r="BN815" s="6"/>
      <c r="BO815" s="6"/>
      <c r="BP815" s="3">
        <v>2</v>
      </c>
      <c r="BQ815" s="6">
        <f t="shared" si="181"/>
        <v>0</v>
      </c>
    </row>
    <row r="816" spans="1:69" x14ac:dyDescent="0.3">
      <c r="A816" s="3" t="s">
        <v>1321</v>
      </c>
      <c r="B816" s="3">
        <v>303</v>
      </c>
      <c r="C816" s="3" t="s">
        <v>1342</v>
      </c>
      <c r="D816" s="3">
        <v>1.5</v>
      </c>
      <c r="E816" s="3" t="s">
        <v>19</v>
      </c>
      <c r="F816" s="3" t="s">
        <v>19</v>
      </c>
      <c r="G816" s="3" t="s">
        <v>19</v>
      </c>
      <c r="H816" s="3" t="s">
        <v>99</v>
      </c>
      <c r="I816" s="3"/>
      <c r="J816" s="3" t="s">
        <v>91</v>
      </c>
      <c r="K816" s="3" t="s">
        <v>1343</v>
      </c>
      <c r="L816" s="3" t="s">
        <v>24</v>
      </c>
      <c r="M816" s="3">
        <v>2</v>
      </c>
      <c r="N816" s="6"/>
      <c r="O816" s="3">
        <v>2</v>
      </c>
      <c r="P816" s="3">
        <v>2</v>
      </c>
      <c r="Q816" s="3">
        <v>2</v>
      </c>
      <c r="R816" s="3">
        <v>0</v>
      </c>
      <c r="S816" s="3">
        <v>0</v>
      </c>
      <c r="T816" s="3">
        <v>0</v>
      </c>
      <c r="U816" s="3">
        <v>0</v>
      </c>
      <c r="V816" s="3">
        <f t="shared" si="182"/>
        <v>2</v>
      </c>
      <c r="W816" s="3">
        <v>2</v>
      </c>
      <c r="X816" s="3">
        <v>0</v>
      </c>
      <c r="Y816" s="3">
        <v>0</v>
      </c>
      <c r="Z816" s="3">
        <v>0</v>
      </c>
      <c r="AA816" s="3">
        <v>0</v>
      </c>
      <c r="AB816" s="3">
        <f t="shared" si="183"/>
        <v>2</v>
      </c>
      <c r="AC816" s="6">
        <f t="shared" si="191"/>
        <v>-2</v>
      </c>
      <c r="AD816" s="6">
        <f t="shared" si="192"/>
        <v>0</v>
      </c>
      <c r="AE816" s="6">
        <f t="shared" si="193"/>
        <v>0</v>
      </c>
      <c r="AF816" s="6">
        <f t="shared" si="194"/>
        <v>0</v>
      </c>
      <c r="AG816" s="6">
        <f t="shared" si="195"/>
        <v>0</v>
      </c>
      <c r="AH816" s="6">
        <f t="shared" si="184"/>
        <v>-2</v>
      </c>
      <c r="AI816" s="3"/>
      <c r="AJ816" s="3" t="e">
        <f>_xlfn.XLOOKUP(K816,工作表1!A:A,工作表1!C:C)</f>
        <v>#N/A</v>
      </c>
      <c r="AK816" s="3"/>
      <c r="AL816" s="6">
        <f t="shared" si="185"/>
        <v>0</v>
      </c>
      <c r="AM816" s="6">
        <f t="shared" si="186"/>
        <v>0</v>
      </c>
      <c r="AN816" s="6">
        <f t="shared" si="187"/>
        <v>0</v>
      </c>
      <c r="AO816" s="6">
        <f t="shared" si="188"/>
        <v>0</v>
      </c>
      <c r="AP816" s="6">
        <f t="shared" si="189"/>
        <v>0</v>
      </c>
      <c r="AQ816" s="6">
        <f t="shared" si="190"/>
        <v>0</v>
      </c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  <c r="BC816" s="6"/>
      <c r="BD816" s="6"/>
      <c r="BE816" s="6"/>
      <c r="BF816" s="6"/>
      <c r="BG816" s="6"/>
      <c r="BH816" s="6"/>
      <c r="BI816" s="6"/>
      <c r="BJ816" s="6"/>
      <c r="BK816" s="6"/>
      <c r="BL816" s="6"/>
      <c r="BM816" s="6"/>
      <c r="BN816" s="6"/>
      <c r="BO816" s="6"/>
      <c r="BP816" s="3">
        <v>2</v>
      </c>
      <c r="BQ816" s="6">
        <f t="shared" si="181"/>
        <v>0</v>
      </c>
    </row>
    <row r="817" spans="1:69" x14ac:dyDescent="0.3">
      <c r="A817" s="3" t="s">
        <v>1321</v>
      </c>
      <c r="B817" s="3">
        <v>303</v>
      </c>
      <c r="C817" s="3" t="s">
        <v>1342</v>
      </c>
      <c r="D817" s="3">
        <v>1</v>
      </c>
      <c r="E817" s="3" t="s">
        <v>19</v>
      </c>
      <c r="F817" s="3" t="s">
        <v>19</v>
      </c>
      <c r="G817" s="3" t="s">
        <v>19</v>
      </c>
      <c r="H817" s="3" t="s">
        <v>101</v>
      </c>
      <c r="I817" s="3"/>
      <c r="J817" s="3" t="s">
        <v>91</v>
      </c>
      <c r="K817" s="3" t="s">
        <v>1344</v>
      </c>
      <c r="L817" s="3" t="s">
        <v>24</v>
      </c>
      <c r="M817" s="3">
        <v>4</v>
      </c>
      <c r="N817" s="6"/>
      <c r="O817" s="3">
        <v>4</v>
      </c>
      <c r="P817" s="3">
        <v>4</v>
      </c>
      <c r="Q817" s="3">
        <v>4</v>
      </c>
      <c r="R817" s="3">
        <v>0</v>
      </c>
      <c r="S817" s="3">
        <v>0</v>
      </c>
      <c r="T817" s="3">
        <v>0</v>
      </c>
      <c r="U817" s="3">
        <v>0</v>
      </c>
      <c r="V817" s="3">
        <f t="shared" si="182"/>
        <v>4</v>
      </c>
      <c r="W817" s="3">
        <v>4</v>
      </c>
      <c r="X817" s="3">
        <v>0</v>
      </c>
      <c r="Y817" s="3">
        <v>0</v>
      </c>
      <c r="Z817" s="3">
        <v>0</v>
      </c>
      <c r="AA817" s="3">
        <v>0</v>
      </c>
      <c r="AB817" s="3">
        <f t="shared" si="183"/>
        <v>4</v>
      </c>
      <c r="AC817" s="6">
        <f t="shared" si="191"/>
        <v>-4</v>
      </c>
      <c r="AD817" s="6">
        <f t="shared" si="192"/>
        <v>0</v>
      </c>
      <c r="AE817" s="6">
        <f t="shared" si="193"/>
        <v>0</v>
      </c>
      <c r="AF817" s="6">
        <f t="shared" si="194"/>
        <v>0</v>
      </c>
      <c r="AG817" s="6">
        <f t="shared" si="195"/>
        <v>0</v>
      </c>
      <c r="AH817" s="6">
        <f t="shared" si="184"/>
        <v>-4</v>
      </c>
      <c r="AI817" s="3"/>
      <c r="AJ817" s="3" t="e">
        <f>_xlfn.XLOOKUP(K817,工作表1!A:A,工作表1!C:C)</f>
        <v>#N/A</v>
      </c>
      <c r="AK817" s="3"/>
      <c r="AL817" s="6">
        <f t="shared" si="185"/>
        <v>0</v>
      </c>
      <c r="AM817" s="6">
        <f t="shared" si="186"/>
        <v>0</v>
      </c>
      <c r="AN817" s="6">
        <f t="shared" si="187"/>
        <v>0</v>
      </c>
      <c r="AO817" s="6">
        <f t="shared" si="188"/>
        <v>0</v>
      </c>
      <c r="AP817" s="6">
        <f t="shared" si="189"/>
        <v>0</v>
      </c>
      <c r="AQ817" s="6">
        <f t="shared" si="190"/>
        <v>0</v>
      </c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  <c r="BC817" s="6"/>
      <c r="BD817" s="6"/>
      <c r="BE817" s="6"/>
      <c r="BF817" s="6"/>
      <c r="BG817" s="6"/>
      <c r="BH817" s="6"/>
      <c r="BI817" s="6"/>
      <c r="BJ817" s="6"/>
      <c r="BK817" s="6"/>
      <c r="BL817" s="6"/>
      <c r="BM817" s="6"/>
      <c r="BN817" s="6"/>
      <c r="BO817" s="6"/>
      <c r="BP817" s="3">
        <v>4</v>
      </c>
      <c r="BQ817" s="6">
        <f t="shared" si="181"/>
        <v>0</v>
      </c>
    </row>
    <row r="818" spans="1:69" x14ac:dyDescent="0.3">
      <c r="A818" s="3" t="s">
        <v>1321</v>
      </c>
      <c r="B818" s="3">
        <v>303</v>
      </c>
      <c r="C818" s="3" t="s">
        <v>1345</v>
      </c>
      <c r="D818" s="3">
        <v>2</v>
      </c>
      <c r="E818" s="3" t="s">
        <v>19</v>
      </c>
      <c r="F818" s="3" t="s">
        <v>752</v>
      </c>
      <c r="G818" s="3" t="s">
        <v>19</v>
      </c>
      <c r="H818" s="3" t="s">
        <v>790</v>
      </c>
      <c r="I818" s="3">
        <v>5.54</v>
      </c>
      <c r="J818" s="3" t="s">
        <v>91</v>
      </c>
      <c r="K818" s="3" t="s">
        <v>1346</v>
      </c>
      <c r="L818" s="3" t="s">
        <v>24</v>
      </c>
      <c r="M818" s="3">
        <v>9</v>
      </c>
      <c r="N818" s="6"/>
      <c r="O818" s="3">
        <v>7</v>
      </c>
      <c r="P818" s="3">
        <v>7</v>
      </c>
      <c r="Q818" s="3">
        <v>7</v>
      </c>
      <c r="R818" s="3">
        <v>0</v>
      </c>
      <c r="S818" s="3">
        <v>0</v>
      </c>
      <c r="T818" s="3">
        <v>0</v>
      </c>
      <c r="U818" s="3">
        <v>0</v>
      </c>
      <c r="V818" s="3">
        <f t="shared" si="182"/>
        <v>7</v>
      </c>
      <c r="W818" s="3">
        <v>7</v>
      </c>
      <c r="X818" s="3">
        <v>0</v>
      </c>
      <c r="Y818" s="3">
        <v>0</v>
      </c>
      <c r="Z818" s="3">
        <v>0</v>
      </c>
      <c r="AA818" s="3">
        <v>0</v>
      </c>
      <c r="AB818" s="3">
        <f t="shared" si="183"/>
        <v>7</v>
      </c>
      <c r="AC818" s="6">
        <f t="shared" si="191"/>
        <v>-7</v>
      </c>
      <c r="AD818" s="6">
        <f t="shared" si="192"/>
        <v>0</v>
      </c>
      <c r="AE818" s="6">
        <f t="shared" si="193"/>
        <v>0</v>
      </c>
      <c r="AF818" s="6">
        <f t="shared" si="194"/>
        <v>0</v>
      </c>
      <c r="AG818" s="6">
        <f t="shared" si="195"/>
        <v>0</v>
      </c>
      <c r="AH818" s="6">
        <f t="shared" si="184"/>
        <v>-7</v>
      </c>
      <c r="AI818" s="3"/>
      <c r="AJ818" s="3" t="e">
        <f>_xlfn.XLOOKUP(K818,工作表1!A:A,工作表1!C:C)</f>
        <v>#N/A</v>
      </c>
      <c r="AK818" s="3"/>
      <c r="AL818" s="6">
        <f t="shared" si="185"/>
        <v>0</v>
      </c>
      <c r="AM818" s="6">
        <f t="shared" si="186"/>
        <v>0</v>
      </c>
      <c r="AN818" s="6">
        <f t="shared" si="187"/>
        <v>0</v>
      </c>
      <c r="AO818" s="6">
        <f t="shared" si="188"/>
        <v>0</v>
      </c>
      <c r="AP818" s="6">
        <f t="shared" si="189"/>
        <v>0</v>
      </c>
      <c r="AQ818" s="6">
        <f t="shared" si="190"/>
        <v>0</v>
      </c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  <c r="BC818" s="6"/>
      <c r="BD818" s="6"/>
      <c r="BE818" s="6"/>
      <c r="BF818" s="6"/>
      <c r="BG818" s="6"/>
      <c r="BH818" s="6"/>
      <c r="BI818" s="6"/>
      <c r="BJ818" s="6"/>
      <c r="BK818" s="6"/>
      <c r="BL818" s="6"/>
      <c r="BM818" s="6"/>
      <c r="BN818" s="6"/>
      <c r="BO818" s="6"/>
      <c r="BP818" s="3">
        <v>7</v>
      </c>
      <c r="BQ818" s="6">
        <f t="shared" si="181"/>
        <v>0</v>
      </c>
    </row>
    <row r="819" spans="1:69" x14ac:dyDescent="0.3">
      <c r="A819" s="3" t="s">
        <v>1321</v>
      </c>
      <c r="B819" s="3">
        <v>303</v>
      </c>
      <c r="C819" s="3" t="s">
        <v>1345</v>
      </c>
      <c r="D819" s="3">
        <v>1.5</v>
      </c>
      <c r="E819" s="3" t="s">
        <v>19</v>
      </c>
      <c r="F819" s="3" t="s">
        <v>752</v>
      </c>
      <c r="G819" s="3" t="s">
        <v>19</v>
      </c>
      <c r="H819" s="3" t="s">
        <v>753</v>
      </c>
      <c r="I819" s="3">
        <v>5.08</v>
      </c>
      <c r="J819" s="3" t="s">
        <v>91</v>
      </c>
      <c r="K819" s="3" t="s">
        <v>1347</v>
      </c>
      <c r="L819" s="3" t="s">
        <v>24</v>
      </c>
      <c r="M819" s="3">
        <v>4</v>
      </c>
      <c r="N819" s="6"/>
      <c r="O819" s="3">
        <v>4</v>
      </c>
      <c r="P819" s="3">
        <v>4</v>
      </c>
      <c r="Q819" s="3">
        <v>4</v>
      </c>
      <c r="R819" s="3">
        <v>0</v>
      </c>
      <c r="S819" s="3">
        <v>0</v>
      </c>
      <c r="T819" s="3">
        <v>0</v>
      </c>
      <c r="U819" s="3">
        <v>0</v>
      </c>
      <c r="V819" s="3">
        <f t="shared" si="182"/>
        <v>4</v>
      </c>
      <c r="W819" s="3">
        <v>4</v>
      </c>
      <c r="X819" s="3">
        <v>0</v>
      </c>
      <c r="Y819" s="3">
        <v>0</v>
      </c>
      <c r="Z819" s="3">
        <v>0</v>
      </c>
      <c r="AA819" s="3">
        <v>0</v>
      </c>
      <c r="AB819" s="3">
        <f t="shared" si="183"/>
        <v>4</v>
      </c>
      <c r="AC819" s="6">
        <f t="shared" si="191"/>
        <v>-4</v>
      </c>
      <c r="AD819" s="6">
        <f t="shared" si="192"/>
        <v>0</v>
      </c>
      <c r="AE819" s="6">
        <f t="shared" si="193"/>
        <v>0</v>
      </c>
      <c r="AF819" s="6">
        <f t="shared" si="194"/>
        <v>0</v>
      </c>
      <c r="AG819" s="6">
        <f t="shared" si="195"/>
        <v>0</v>
      </c>
      <c r="AH819" s="6">
        <f t="shared" si="184"/>
        <v>-4</v>
      </c>
      <c r="AI819" s="3"/>
      <c r="AJ819" s="3" t="e">
        <f>_xlfn.XLOOKUP(K819,工作表1!A:A,工作表1!C:C)</f>
        <v>#N/A</v>
      </c>
      <c r="AK819" s="3"/>
      <c r="AL819" s="6">
        <f t="shared" si="185"/>
        <v>0</v>
      </c>
      <c r="AM819" s="6">
        <f t="shared" si="186"/>
        <v>0</v>
      </c>
      <c r="AN819" s="6">
        <f t="shared" si="187"/>
        <v>0</v>
      </c>
      <c r="AO819" s="6">
        <f t="shared" si="188"/>
        <v>0</v>
      </c>
      <c r="AP819" s="6">
        <f t="shared" si="189"/>
        <v>0</v>
      </c>
      <c r="AQ819" s="6">
        <f t="shared" si="190"/>
        <v>0</v>
      </c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  <c r="BC819" s="6"/>
      <c r="BD819" s="6"/>
      <c r="BE819" s="6"/>
      <c r="BF819" s="6"/>
      <c r="BG819" s="6"/>
      <c r="BH819" s="6"/>
      <c r="BI819" s="6"/>
      <c r="BJ819" s="6"/>
      <c r="BK819" s="6"/>
      <c r="BL819" s="6"/>
      <c r="BM819" s="6"/>
      <c r="BN819" s="6"/>
      <c r="BO819" s="6"/>
      <c r="BP819" s="3">
        <v>4</v>
      </c>
      <c r="BQ819" s="6">
        <f t="shared" si="181"/>
        <v>0</v>
      </c>
    </row>
    <row r="820" spans="1:69" x14ac:dyDescent="0.3">
      <c r="A820" s="3" t="s">
        <v>1321</v>
      </c>
      <c r="B820" s="3">
        <v>303</v>
      </c>
      <c r="C820" s="3" t="s">
        <v>1345</v>
      </c>
      <c r="D820" s="3">
        <v>1</v>
      </c>
      <c r="E820" s="3" t="s">
        <v>19</v>
      </c>
      <c r="F820" s="3" t="s">
        <v>752</v>
      </c>
      <c r="G820" s="3" t="s">
        <v>19</v>
      </c>
      <c r="H820" s="3" t="s">
        <v>797</v>
      </c>
      <c r="I820" s="3">
        <v>4.55</v>
      </c>
      <c r="J820" s="3" t="s">
        <v>91</v>
      </c>
      <c r="K820" s="3" t="s">
        <v>1348</v>
      </c>
      <c r="L820" s="3" t="s">
        <v>24</v>
      </c>
      <c r="M820" s="3">
        <v>3</v>
      </c>
      <c r="N820" s="6"/>
      <c r="O820" s="3">
        <v>3</v>
      </c>
      <c r="P820" s="3">
        <v>3</v>
      </c>
      <c r="Q820" s="3">
        <v>3</v>
      </c>
      <c r="R820" s="3">
        <v>0</v>
      </c>
      <c r="S820" s="3">
        <v>0</v>
      </c>
      <c r="T820" s="3">
        <v>0</v>
      </c>
      <c r="U820" s="3">
        <v>0</v>
      </c>
      <c r="V820" s="3">
        <f t="shared" si="182"/>
        <v>3</v>
      </c>
      <c r="W820" s="3">
        <v>3</v>
      </c>
      <c r="X820" s="3">
        <v>0</v>
      </c>
      <c r="Y820" s="3">
        <v>0</v>
      </c>
      <c r="Z820" s="3">
        <v>0</v>
      </c>
      <c r="AA820" s="3">
        <v>0</v>
      </c>
      <c r="AB820" s="3">
        <f t="shared" si="183"/>
        <v>3</v>
      </c>
      <c r="AC820" s="6">
        <f t="shared" si="191"/>
        <v>-3</v>
      </c>
      <c r="AD820" s="6">
        <f t="shared" si="192"/>
        <v>0</v>
      </c>
      <c r="AE820" s="6">
        <f t="shared" si="193"/>
        <v>0</v>
      </c>
      <c r="AF820" s="6">
        <f t="shared" si="194"/>
        <v>0</v>
      </c>
      <c r="AG820" s="6">
        <f t="shared" si="195"/>
        <v>0</v>
      </c>
      <c r="AH820" s="6">
        <f t="shared" si="184"/>
        <v>-3</v>
      </c>
      <c r="AI820" s="3"/>
      <c r="AJ820" s="3" t="e">
        <f>_xlfn.XLOOKUP(K820,工作表1!A:A,工作表1!C:C)</f>
        <v>#N/A</v>
      </c>
      <c r="AK820" s="3"/>
      <c r="AL820" s="6">
        <f t="shared" si="185"/>
        <v>0</v>
      </c>
      <c r="AM820" s="6">
        <f t="shared" si="186"/>
        <v>0</v>
      </c>
      <c r="AN820" s="6">
        <f t="shared" si="187"/>
        <v>0</v>
      </c>
      <c r="AO820" s="6">
        <f t="shared" si="188"/>
        <v>0</v>
      </c>
      <c r="AP820" s="6">
        <f t="shared" si="189"/>
        <v>0</v>
      </c>
      <c r="AQ820" s="6">
        <f t="shared" si="190"/>
        <v>0</v>
      </c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  <c r="BC820" s="6"/>
      <c r="BD820" s="6"/>
      <c r="BE820" s="6"/>
      <c r="BF820" s="6"/>
      <c r="BG820" s="6"/>
      <c r="BH820" s="6"/>
      <c r="BI820" s="6"/>
      <c r="BJ820" s="6"/>
      <c r="BK820" s="6"/>
      <c r="BL820" s="6"/>
      <c r="BM820" s="6"/>
      <c r="BN820" s="6"/>
      <c r="BO820" s="6"/>
      <c r="BP820" s="3">
        <v>3</v>
      </c>
      <c r="BQ820" s="6">
        <f t="shared" si="181"/>
        <v>0</v>
      </c>
    </row>
    <row r="821" spans="1:69" x14ac:dyDescent="0.3">
      <c r="A821" s="3" t="s">
        <v>1321</v>
      </c>
      <c r="B821" s="3">
        <v>303</v>
      </c>
      <c r="C821" s="3" t="s">
        <v>1349</v>
      </c>
      <c r="D821" s="3">
        <v>16</v>
      </c>
      <c r="E821" s="3" t="s">
        <v>19</v>
      </c>
      <c r="F821" s="3" t="s">
        <v>25</v>
      </c>
      <c r="G821" s="3" t="s">
        <v>19</v>
      </c>
      <c r="H821" s="3" t="s">
        <v>1328</v>
      </c>
      <c r="I821" s="3">
        <v>21.44</v>
      </c>
      <c r="J821" s="3" t="s">
        <v>91</v>
      </c>
      <c r="K821" s="3" t="s">
        <v>1350</v>
      </c>
      <c r="L821" s="3" t="s">
        <v>24</v>
      </c>
      <c r="M821" s="3">
        <v>2</v>
      </c>
      <c r="N821" s="6"/>
      <c r="O821" s="3">
        <v>2</v>
      </c>
      <c r="P821" s="3">
        <v>2</v>
      </c>
      <c r="Q821" s="3">
        <v>2</v>
      </c>
      <c r="R821" s="3">
        <v>0</v>
      </c>
      <c r="S821" s="3">
        <v>0</v>
      </c>
      <c r="T821" s="3">
        <v>0</v>
      </c>
      <c r="U821" s="3">
        <v>0</v>
      </c>
      <c r="V821" s="3">
        <f t="shared" si="182"/>
        <v>2</v>
      </c>
      <c r="W821" s="3">
        <v>2</v>
      </c>
      <c r="X821" s="3">
        <v>0</v>
      </c>
      <c r="Y821" s="3">
        <v>0</v>
      </c>
      <c r="Z821" s="3">
        <v>0</v>
      </c>
      <c r="AA821" s="3">
        <v>0</v>
      </c>
      <c r="AB821" s="3">
        <f t="shared" si="183"/>
        <v>2</v>
      </c>
      <c r="AC821" s="6">
        <f t="shared" si="191"/>
        <v>-2</v>
      </c>
      <c r="AD821" s="6">
        <f t="shared" si="192"/>
        <v>0</v>
      </c>
      <c r="AE821" s="6">
        <f t="shared" si="193"/>
        <v>0</v>
      </c>
      <c r="AF821" s="6">
        <f t="shared" si="194"/>
        <v>0</v>
      </c>
      <c r="AG821" s="6">
        <f t="shared" si="195"/>
        <v>0</v>
      </c>
      <c r="AH821" s="6">
        <f t="shared" si="184"/>
        <v>-2</v>
      </c>
      <c r="AI821" s="3"/>
      <c r="AJ821" s="3" t="e">
        <f>_xlfn.XLOOKUP(K821,工作表1!A:A,工作表1!C:C)</f>
        <v>#N/A</v>
      </c>
      <c r="AK821" s="3"/>
      <c r="AL821" s="6">
        <f t="shared" si="185"/>
        <v>0</v>
      </c>
      <c r="AM821" s="6">
        <f t="shared" si="186"/>
        <v>0</v>
      </c>
      <c r="AN821" s="6">
        <f t="shared" si="187"/>
        <v>0</v>
      </c>
      <c r="AO821" s="6">
        <f t="shared" si="188"/>
        <v>0</v>
      </c>
      <c r="AP821" s="6">
        <f t="shared" si="189"/>
        <v>0</v>
      </c>
      <c r="AQ821" s="6">
        <f t="shared" si="190"/>
        <v>0</v>
      </c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  <c r="BC821" s="6"/>
      <c r="BD821" s="6"/>
      <c r="BE821" s="6"/>
      <c r="BF821" s="6"/>
      <c r="BG821" s="6"/>
      <c r="BH821" s="6"/>
      <c r="BI821" s="6"/>
      <c r="BJ821" s="6"/>
      <c r="BK821" s="6"/>
      <c r="BL821" s="6"/>
      <c r="BM821" s="6"/>
      <c r="BN821" s="6"/>
      <c r="BO821" s="6"/>
      <c r="BP821" s="3">
        <v>2</v>
      </c>
      <c r="BQ821" s="6">
        <f t="shared" si="181"/>
        <v>0</v>
      </c>
    </row>
    <row r="822" spans="1:69" x14ac:dyDescent="0.3">
      <c r="A822" s="3" t="s">
        <v>1321</v>
      </c>
      <c r="B822" s="3">
        <v>303</v>
      </c>
      <c r="C822" s="3" t="s">
        <v>1349</v>
      </c>
      <c r="D822" s="3">
        <v>14</v>
      </c>
      <c r="E822" s="3" t="s">
        <v>19</v>
      </c>
      <c r="F822" s="3" t="s">
        <v>25</v>
      </c>
      <c r="G822" s="3" t="s">
        <v>19</v>
      </c>
      <c r="H822" s="3" t="s">
        <v>1330</v>
      </c>
      <c r="I822" s="3">
        <v>19.05</v>
      </c>
      <c r="J822" s="3" t="s">
        <v>91</v>
      </c>
      <c r="K822" s="3" t="s">
        <v>1351</v>
      </c>
      <c r="L822" s="3" t="s">
        <v>24</v>
      </c>
      <c r="M822" s="3">
        <v>6</v>
      </c>
      <c r="N822" s="6"/>
      <c r="O822" s="3">
        <v>6</v>
      </c>
      <c r="P822" s="3">
        <v>6</v>
      </c>
      <c r="Q822" s="3">
        <v>6</v>
      </c>
      <c r="R822" s="3">
        <v>0</v>
      </c>
      <c r="S822" s="3">
        <v>0</v>
      </c>
      <c r="T822" s="3">
        <v>0</v>
      </c>
      <c r="U822" s="3">
        <v>0</v>
      </c>
      <c r="V822" s="3">
        <f t="shared" si="182"/>
        <v>6</v>
      </c>
      <c r="W822" s="3">
        <v>6</v>
      </c>
      <c r="X822" s="3">
        <v>0</v>
      </c>
      <c r="Y822" s="3">
        <v>0</v>
      </c>
      <c r="Z822" s="3">
        <v>0</v>
      </c>
      <c r="AA822" s="3">
        <v>0</v>
      </c>
      <c r="AB822" s="3">
        <f t="shared" si="183"/>
        <v>6</v>
      </c>
      <c r="AC822" s="6">
        <f t="shared" si="191"/>
        <v>-6</v>
      </c>
      <c r="AD822" s="6">
        <f t="shared" si="192"/>
        <v>0</v>
      </c>
      <c r="AE822" s="6">
        <f t="shared" si="193"/>
        <v>0</v>
      </c>
      <c r="AF822" s="6">
        <f t="shared" si="194"/>
        <v>0</v>
      </c>
      <c r="AG822" s="6">
        <f t="shared" si="195"/>
        <v>0</v>
      </c>
      <c r="AH822" s="6">
        <f t="shared" si="184"/>
        <v>-6</v>
      </c>
      <c r="AI822" s="3"/>
      <c r="AJ822" s="3" t="e">
        <f>_xlfn.XLOOKUP(K822,工作表1!A:A,工作表1!C:C)</f>
        <v>#N/A</v>
      </c>
      <c r="AK822" s="3"/>
      <c r="AL822" s="6">
        <f t="shared" si="185"/>
        <v>0</v>
      </c>
      <c r="AM822" s="6">
        <f t="shared" si="186"/>
        <v>0</v>
      </c>
      <c r="AN822" s="6">
        <f t="shared" si="187"/>
        <v>0</v>
      </c>
      <c r="AO822" s="6">
        <f t="shared" si="188"/>
        <v>0</v>
      </c>
      <c r="AP822" s="6">
        <f t="shared" si="189"/>
        <v>0</v>
      </c>
      <c r="AQ822" s="6">
        <f t="shared" si="190"/>
        <v>0</v>
      </c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  <c r="BC822" s="6"/>
      <c r="BD822" s="6"/>
      <c r="BE822" s="6"/>
      <c r="BF822" s="6"/>
      <c r="BG822" s="6"/>
      <c r="BH822" s="6"/>
      <c r="BI822" s="6"/>
      <c r="BJ822" s="6"/>
      <c r="BK822" s="6"/>
      <c r="BL822" s="6"/>
      <c r="BM822" s="6"/>
      <c r="BN822" s="6"/>
      <c r="BO822" s="6"/>
      <c r="BP822" s="3">
        <v>6</v>
      </c>
      <c r="BQ822" s="6">
        <f t="shared" si="181"/>
        <v>0</v>
      </c>
    </row>
    <row r="823" spans="1:69" x14ac:dyDescent="0.3">
      <c r="A823" s="3" t="s">
        <v>1321</v>
      </c>
      <c r="B823" s="3">
        <v>303</v>
      </c>
      <c r="C823" s="3" t="s">
        <v>1349</v>
      </c>
      <c r="D823" s="3">
        <v>12</v>
      </c>
      <c r="E823" s="3" t="s">
        <v>19</v>
      </c>
      <c r="F823" s="3" t="s">
        <v>25</v>
      </c>
      <c r="G823" s="3" t="s">
        <v>19</v>
      </c>
      <c r="H823" s="3" t="s">
        <v>1332</v>
      </c>
      <c r="I823" s="3">
        <v>17.48</v>
      </c>
      <c r="J823" s="3" t="s">
        <v>91</v>
      </c>
      <c r="K823" s="3" t="s">
        <v>1352</v>
      </c>
      <c r="L823" s="3" t="s">
        <v>24</v>
      </c>
      <c r="M823" s="3">
        <v>3</v>
      </c>
      <c r="N823" s="6"/>
      <c r="O823" s="3">
        <v>3</v>
      </c>
      <c r="P823" s="3">
        <v>3</v>
      </c>
      <c r="Q823" s="3">
        <v>3</v>
      </c>
      <c r="R823" s="3">
        <v>0</v>
      </c>
      <c r="S823" s="3">
        <v>0</v>
      </c>
      <c r="T823" s="3">
        <v>0</v>
      </c>
      <c r="U823" s="3">
        <v>0</v>
      </c>
      <c r="V823" s="3">
        <f t="shared" si="182"/>
        <v>3</v>
      </c>
      <c r="W823" s="3">
        <v>3</v>
      </c>
      <c r="X823" s="3">
        <v>0</v>
      </c>
      <c r="Y823" s="3">
        <v>0</v>
      </c>
      <c r="Z823" s="3">
        <v>0</v>
      </c>
      <c r="AA823" s="3">
        <v>0</v>
      </c>
      <c r="AB823" s="3">
        <f t="shared" si="183"/>
        <v>3</v>
      </c>
      <c r="AC823" s="6">
        <f t="shared" si="191"/>
        <v>-3</v>
      </c>
      <c r="AD823" s="6">
        <f t="shared" si="192"/>
        <v>0</v>
      </c>
      <c r="AE823" s="6">
        <f t="shared" si="193"/>
        <v>0</v>
      </c>
      <c r="AF823" s="6">
        <f t="shared" si="194"/>
        <v>0</v>
      </c>
      <c r="AG823" s="6">
        <f t="shared" si="195"/>
        <v>0</v>
      </c>
      <c r="AH823" s="6">
        <f t="shared" si="184"/>
        <v>-3</v>
      </c>
      <c r="AI823" s="3"/>
      <c r="AJ823" s="3" t="e">
        <f>_xlfn.XLOOKUP(K823,工作表1!A:A,工作表1!C:C)</f>
        <v>#N/A</v>
      </c>
      <c r="AK823" s="3"/>
      <c r="AL823" s="6">
        <f t="shared" si="185"/>
        <v>0</v>
      </c>
      <c r="AM823" s="6">
        <f t="shared" si="186"/>
        <v>0</v>
      </c>
      <c r="AN823" s="6">
        <f t="shared" si="187"/>
        <v>0</v>
      </c>
      <c r="AO823" s="6">
        <f t="shared" si="188"/>
        <v>0</v>
      </c>
      <c r="AP823" s="6">
        <f t="shared" si="189"/>
        <v>0</v>
      </c>
      <c r="AQ823" s="6">
        <f t="shared" si="190"/>
        <v>0</v>
      </c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  <c r="BC823" s="6"/>
      <c r="BD823" s="6"/>
      <c r="BE823" s="6"/>
      <c r="BF823" s="6"/>
      <c r="BG823" s="6"/>
      <c r="BH823" s="6"/>
      <c r="BI823" s="6"/>
      <c r="BJ823" s="6"/>
      <c r="BK823" s="6"/>
      <c r="BL823" s="6"/>
      <c r="BM823" s="6"/>
      <c r="BN823" s="6"/>
      <c r="BO823" s="6"/>
      <c r="BP823" s="3">
        <v>3</v>
      </c>
      <c r="BQ823" s="6">
        <f t="shared" si="181"/>
        <v>0</v>
      </c>
    </row>
    <row r="824" spans="1:69" x14ac:dyDescent="0.3">
      <c r="A824" s="3" t="s">
        <v>1321</v>
      </c>
      <c r="B824" s="3">
        <v>303</v>
      </c>
      <c r="C824" s="3" t="s">
        <v>1349</v>
      </c>
      <c r="D824" s="3">
        <v>10</v>
      </c>
      <c r="E824" s="3" t="s">
        <v>19</v>
      </c>
      <c r="F824" s="3" t="s">
        <v>25</v>
      </c>
      <c r="G824" s="3" t="s">
        <v>19</v>
      </c>
      <c r="H824" s="3" t="s">
        <v>1334</v>
      </c>
      <c r="I824" s="3">
        <v>15.09</v>
      </c>
      <c r="J824" s="3" t="s">
        <v>91</v>
      </c>
      <c r="K824" s="3" t="s">
        <v>1353</v>
      </c>
      <c r="L824" s="3" t="s">
        <v>24</v>
      </c>
      <c r="M824" s="3">
        <v>6</v>
      </c>
      <c r="N824" s="6"/>
      <c r="O824" s="3">
        <v>6</v>
      </c>
      <c r="P824" s="3">
        <v>6</v>
      </c>
      <c r="Q824" s="3">
        <v>6</v>
      </c>
      <c r="R824" s="3">
        <v>0</v>
      </c>
      <c r="S824" s="3">
        <v>0</v>
      </c>
      <c r="T824" s="3">
        <v>0</v>
      </c>
      <c r="U824" s="3">
        <v>0</v>
      </c>
      <c r="V824" s="3">
        <f t="shared" si="182"/>
        <v>6</v>
      </c>
      <c r="W824" s="3">
        <v>6</v>
      </c>
      <c r="X824" s="3">
        <v>0</v>
      </c>
      <c r="Y824" s="3">
        <v>0</v>
      </c>
      <c r="Z824" s="3">
        <v>0</v>
      </c>
      <c r="AA824" s="3">
        <v>0</v>
      </c>
      <c r="AB824" s="3">
        <f t="shared" si="183"/>
        <v>6</v>
      </c>
      <c r="AC824" s="6">
        <f t="shared" si="191"/>
        <v>-6</v>
      </c>
      <c r="AD824" s="6">
        <f t="shared" si="192"/>
        <v>0</v>
      </c>
      <c r="AE824" s="6">
        <f t="shared" si="193"/>
        <v>0</v>
      </c>
      <c r="AF824" s="6">
        <f t="shared" si="194"/>
        <v>0</v>
      </c>
      <c r="AG824" s="6">
        <f t="shared" si="195"/>
        <v>0</v>
      </c>
      <c r="AH824" s="6">
        <f t="shared" si="184"/>
        <v>-6</v>
      </c>
      <c r="AI824" s="3"/>
      <c r="AJ824" s="3" t="e">
        <f>_xlfn.XLOOKUP(K824,工作表1!A:A,工作表1!C:C)</f>
        <v>#N/A</v>
      </c>
      <c r="AK824" s="3"/>
      <c r="AL824" s="6">
        <f t="shared" si="185"/>
        <v>0</v>
      </c>
      <c r="AM824" s="6">
        <f t="shared" si="186"/>
        <v>0</v>
      </c>
      <c r="AN824" s="6">
        <f t="shared" si="187"/>
        <v>0</v>
      </c>
      <c r="AO824" s="6">
        <f t="shared" si="188"/>
        <v>0</v>
      </c>
      <c r="AP824" s="6">
        <f t="shared" si="189"/>
        <v>0</v>
      </c>
      <c r="AQ824" s="6">
        <f t="shared" si="190"/>
        <v>0</v>
      </c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  <c r="BC824" s="6"/>
      <c r="BD824" s="6"/>
      <c r="BE824" s="6"/>
      <c r="BF824" s="6"/>
      <c r="BG824" s="6"/>
      <c r="BH824" s="6"/>
      <c r="BI824" s="6"/>
      <c r="BJ824" s="6"/>
      <c r="BK824" s="6"/>
      <c r="BL824" s="6"/>
      <c r="BM824" s="6"/>
      <c r="BN824" s="6"/>
      <c r="BO824" s="6"/>
      <c r="BP824" s="3">
        <v>6</v>
      </c>
      <c r="BQ824" s="6">
        <f t="shared" si="181"/>
        <v>0</v>
      </c>
    </row>
    <row r="825" spans="1:69" x14ac:dyDescent="0.3">
      <c r="A825" s="3" t="s">
        <v>1321</v>
      </c>
      <c r="B825" s="3">
        <v>303</v>
      </c>
      <c r="C825" s="3" t="s">
        <v>1349</v>
      </c>
      <c r="D825" s="3">
        <v>8</v>
      </c>
      <c r="E825" s="3" t="s">
        <v>19</v>
      </c>
      <c r="F825" s="3" t="s">
        <v>752</v>
      </c>
      <c r="G825" s="3" t="s">
        <v>19</v>
      </c>
      <c r="H825" s="3" t="s">
        <v>1336</v>
      </c>
      <c r="I825" s="3">
        <v>12.7</v>
      </c>
      <c r="J825" s="3" t="s">
        <v>91</v>
      </c>
      <c r="K825" s="3" t="s">
        <v>1354</v>
      </c>
      <c r="L825" s="3" t="s">
        <v>24</v>
      </c>
      <c r="M825" s="3">
        <v>2</v>
      </c>
      <c r="N825" s="6"/>
      <c r="O825" s="3">
        <v>2</v>
      </c>
      <c r="P825" s="3">
        <v>2</v>
      </c>
      <c r="Q825" s="3">
        <v>2</v>
      </c>
      <c r="R825" s="3">
        <v>0</v>
      </c>
      <c r="S825" s="3">
        <v>0</v>
      </c>
      <c r="T825" s="3">
        <v>0</v>
      </c>
      <c r="U825" s="3">
        <v>0</v>
      </c>
      <c r="V825" s="3">
        <f t="shared" si="182"/>
        <v>2</v>
      </c>
      <c r="W825" s="3">
        <v>2</v>
      </c>
      <c r="X825" s="3">
        <v>0</v>
      </c>
      <c r="Y825" s="3">
        <v>0</v>
      </c>
      <c r="Z825" s="3">
        <v>0</v>
      </c>
      <c r="AA825" s="3">
        <v>0</v>
      </c>
      <c r="AB825" s="3">
        <f t="shared" si="183"/>
        <v>2</v>
      </c>
      <c r="AC825" s="6">
        <f t="shared" si="191"/>
        <v>-2</v>
      </c>
      <c r="AD825" s="6">
        <f t="shared" si="192"/>
        <v>0</v>
      </c>
      <c r="AE825" s="6">
        <f t="shared" si="193"/>
        <v>0</v>
      </c>
      <c r="AF825" s="6">
        <f t="shared" si="194"/>
        <v>0</v>
      </c>
      <c r="AG825" s="6">
        <f t="shared" si="195"/>
        <v>0</v>
      </c>
      <c r="AH825" s="6">
        <f t="shared" si="184"/>
        <v>-2</v>
      </c>
      <c r="AI825" s="3"/>
      <c r="AJ825" s="3" t="e">
        <f>_xlfn.XLOOKUP(K825,工作表1!A:A,工作表1!C:C)</f>
        <v>#N/A</v>
      </c>
      <c r="AK825" s="3"/>
      <c r="AL825" s="6">
        <f t="shared" si="185"/>
        <v>0</v>
      </c>
      <c r="AM825" s="6">
        <f t="shared" si="186"/>
        <v>0</v>
      </c>
      <c r="AN825" s="6">
        <f t="shared" si="187"/>
        <v>0</v>
      </c>
      <c r="AO825" s="6">
        <f t="shared" si="188"/>
        <v>0</v>
      </c>
      <c r="AP825" s="6">
        <f t="shared" si="189"/>
        <v>0</v>
      </c>
      <c r="AQ825" s="6">
        <f t="shared" si="190"/>
        <v>0</v>
      </c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  <c r="BC825" s="6"/>
      <c r="BD825" s="6"/>
      <c r="BE825" s="6"/>
      <c r="BF825" s="6"/>
      <c r="BG825" s="6"/>
      <c r="BH825" s="6"/>
      <c r="BI825" s="6"/>
      <c r="BJ825" s="6"/>
      <c r="BK825" s="6"/>
      <c r="BL825" s="6"/>
      <c r="BM825" s="6"/>
      <c r="BN825" s="6"/>
      <c r="BO825" s="6"/>
      <c r="BP825" s="3">
        <v>2</v>
      </c>
      <c r="BQ825" s="6">
        <f t="shared" si="181"/>
        <v>0</v>
      </c>
    </row>
    <row r="826" spans="1:69" x14ac:dyDescent="0.3">
      <c r="A826" s="3" t="s">
        <v>1321</v>
      </c>
      <c r="B826" s="3">
        <v>303</v>
      </c>
      <c r="C826" s="3" t="s">
        <v>1349</v>
      </c>
      <c r="D826" s="3">
        <v>6</v>
      </c>
      <c r="E826" s="3" t="s">
        <v>19</v>
      </c>
      <c r="F826" s="3" t="s">
        <v>752</v>
      </c>
      <c r="G826" s="3" t="s">
        <v>19</v>
      </c>
      <c r="H826" s="3" t="s">
        <v>1338</v>
      </c>
      <c r="I826" s="3">
        <v>10.97</v>
      </c>
      <c r="J826" s="3" t="s">
        <v>91</v>
      </c>
      <c r="K826" s="3" t="s">
        <v>1355</v>
      </c>
      <c r="L826" s="3" t="s">
        <v>24</v>
      </c>
      <c r="M826" s="3">
        <v>13</v>
      </c>
      <c r="N826" s="6"/>
      <c r="O826" s="3">
        <v>13</v>
      </c>
      <c r="P826" s="3">
        <v>13</v>
      </c>
      <c r="Q826" s="3">
        <v>13</v>
      </c>
      <c r="R826" s="3">
        <v>0</v>
      </c>
      <c r="S826" s="3">
        <v>0</v>
      </c>
      <c r="T826" s="3">
        <v>0</v>
      </c>
      <c r="U826" s="3">
        <v>0</v>
      </c>
      <c r="V826" s="3">
        <f t="shared" si="182"/>
        <v>13</v>
      </c>
      <c r="W826" s="3">
        <v>13</v>
      </c>
      <c r="X826" s="3">
        <v>0</v>
      </c>
      <c r="Y826" s="3">
        <v>0</v>
      </c>
      <c r="Z826" s="3">
        <v>0</v>
      </c>
      <c r="AA826" s="3">
        <v>0</v>
      </c>
      <c r="AB826" s="3">
        <f t="shared" si="183"/>
        <v>13</v>
      </c>
      <c r="AC826" s="6">
        <f t="shared" si="191"/>
        <v>-13</v>
      </c>
      <c r="AD826" s="6">
        <f t="shared" si="192"/>
        <v>0</v>
      </c>
      <c r="AE826" s="6">
        <f t="shared" si="193"/>
        <v>0</v>
      </c>
      <c r="AF826" s="6">
        <f t="shared" si="194"/>
        <v>0</v>
      </c>
      <c r="AG826" s="6">
        <f t="shared" si="195"/>
        <v>0</v>
      </c>
      <c r="AH826" s="6">
        <f t="shared" si="184"/>
        <v>-13</v>
      </c>
      <c r="AI826" s="3"/>
      <c r="AJ826" s="3" t="e">
        <f>_xlfn.XLOOKUP(K826,工作表1!A:A,工作表1!C:C)</f>
        <v>#N/A</v>
      </c>
      <c r="AK826" s="3"/>
      <c r="AL826" s="6">
        <f t="shared" si="185"/>
        <v>0</v>
      </c>
      <c r="AM826" s="6">
        <f t="shared" si="186"/>
        <v>0</v>
      </c>
      <c r="AN826" s="6">
        <f t="shared" si="187"/>
        <v>0</v>
      </c>
      <c r="AO826" s="6">
        <f t="shared" si="188"/>
        <v>0</v>
      </c>
      <c r="AP826" s="6">
        <f t="shared" si="189"/>
        <v>0</v>
      </c>
      <c r="AQ826" s="6">
        <f t="shared" si="190"/>
        <v>0</v>
      </c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  <c r="BC826" s="6"/>
      <c r="BD826" s="6"/>
      <c r="BE826" s="6"/>
      <c r="BF826" s="6"/>
      <c r="BG826" s="6"/>
      <c r="BH826" s="6"/>
      <c r="BI826" s="6"/>
      <c r="BJ826" s="6"/>
      <c r="BK826" s="6"/>
      <c r="BL826" s="6"/>
      <c r="BM826" s="6"/>
      <c r="BN826" s="6"/>
      <c r="BO826" s="6"/>
      <c r="BP826" s="3">
        <v>13</v>
      </c>
      <c r="BQ826" s="6">
        <f t="shared" si="181"/>
        <v>0</v>
      </c>
    </row>
    <row r="827" spans="1:69" x14ac:dyDescent="0.3">
      <c r="A827" s="3" t="s">
        <v>1321</v>
      </c>
      <c r="B827" s="3">
        <v>311</v>
      </c>
      <c r="C827" s="3" t="s">
        <v>1356</v>
      </c>
      <c r="D827" s="3">
        <v>2</v>
      </c>
      <c r="E827" s="3" t="s">
        <v>19</v>
      </c>
      <c r="F827" s="3" t="s">
        <v>752</v>
      </c>
      <c r="G827" s="3" t="s">
        <v>19</v>
      </c>
      <c r="H827" s="3" t="s">
        <v>790</v>
      </c>
      <c r="I827" s="3">
        <v>5.54</v>
      </c>
      <c r="J827" s="3" t="s">
        <v>91</v>
      </c>
      <c r="K827" s="3" t="s">
        <v>1357</v>
      </c>
      <c r="L827" s="3" t="s">
        <v>24</v>
      </c>
      <c r="M827" s="3">
        <v>1</v>
      </c>
      <c r="N827" s="6"/>
      <c r="O827" s="3">
        <v>1</v>
      </c>
      <c r="P827" s="3">
        <v>1</v>
      </c>
      <c r="Q827" s="3">
        <v>1</v>
      </c>
      <c r="R827" s="3">
        <v>0</v>
      </c>
      <c r="S827" s="3">
        <v>0</v>
      </c>
      <c r="T827" s="3">
        <v>0</v>
      </c>
      <c r="U827" s="3">
        <v>0</v>
      </c>
      <c r="V827" s="3">
        <f t="shared" si="182"/>
        <v>1</v>
      </c>
      <c r="W827" s="3">
        <v>1</v>
      </c>
      <c r="X827" s="3">
        <v>0</v>
      </c>
      <c r="Y827" s="3">
        <v>0</v>
      </c>
      <c r="Z827" s="3">
        <v>0</v>
      </c>
      <c r="AA827" s="3">
        <v>0</v>
      </c>
      <c r="AB827" s="3">
        <f t="shared" si="183"/>
        <v>1</v>
      </c>
      <c r="AC827" s="6">
        <f t="shared" si="191"/>
        <v>-1</v>
      </c>
      <c r="AD827" s="6">
        <f t="shared" si="192"/>
        <v>0</v>
      </c>
      <c r="AE827" s="6">
        <f t="shared" si="193"/>
        <v>0</v>
      </c>
      <c r="AF827" s="6">
        <f t="shared" si="194"/>
        <v>0</v>
      </c>
      <c r="AG827" s="6">
        <f t="shared" si="195"/>
        <v>0</v>
      </c>
      <c r="AH827" s="6">
        <f t="shared" si="184"/>
        <v>-1</v>
      </c>
      <c r="AI827" s="3"/>
      <c r="AJ827" s="3" t="e">
        <f>_xlfn.XLOOKUP(K827,工作表1!A:A,工作表1!C:C)</f>
        <v>#N/A</v>
      </c>
      <c r="AK827" s="3"/>
      <c r="AL827" s="6">
        <f t="shared" si="185"/>
        <v>0</v>
      </c>
      <c r="AM827" s="6">
        <f t="shared" si="186"/>
        <v>0</v>
      </c>
      <c r="AN827" s="6">
        <f t="shared" si="187"/>
        <v>0</v>
      </c>
      <c r="AO827" s="6">
        <f t="shared" si="188"/>
        <v>0</v>
      </c>
      <c r="AP827" s="6">
        <f t="shared" si="189"/>
        <v>0</v>
      </c>
      <c r="AQ827" s="6">
        <f t="shared" si="190"/>
        <v>0</v>
      </c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  <c r="BC827" s="6"/>
      <c r="BD827" s="6"/>
      <c r="BE827" s="6"/>
      <c r="BF827" s="6"/>
      <c r="BG827" s="6"/>
      <c r="BH827" s="6"/>
      <c r="BI827" s="6"/>
      <c r="BJ827" s="6"/>
      <c r="BK827" s="6"/>
      <c r="BL827" s="6"/>
      <c r="BM827" s="6"/>
      <c r="BN827" s="6"/>
      <c r="BO827" s="6"/>
      <c r="BP827" s="3">
        <v>1</v>
      </c>
      <c r="BQ827" s="6">
        <f t="shared" si="181"/>
        <v>0</v>
      </c>
    </row>
    <row r="828" spans="1:69" x14ac:dyDescent="0.3">
      <c r="A828" s="3" t="s">
        <v>1321</v>
      </c>
      <c r="B828" s="3">
        <v>311</v>
      </c>
      <c r="C828" s="3" t="s">
        <v>1358</v>
      </c>
      <c r="D828" s="3">
        <v>16</v>
      </c>
      <c r="E828" s="3" t="s">
        <v>19</v>
      </c>
      <c r="F828" s="3" t="s">
        <v>25</v>
      </c>
      <c r="G828" s="3" t="s">
        <v>19</v>
      </c>
      <c r="H828" s="3" t="s">
        <v>1328</v>
      </c>
      <c r="I828" s="3">
        <v>21.44</v>
      </c>
      <c r="J828" s="3" t="s">
        <v>91</v>
      </c>
      <c r="K828" s="3" t="s">
        <v>1359</v>
      </c>
      <c r="L828" s="3" t="s">
        <v>24</v>
      </c>
      <c r="M828" s="3">
        <v>2</v>
      </c>
      <c r="N828" s="6"/>
      <c r="O828" s="3">
        <v>2</v>
      </c>
      <c r="P828" s="3">
        <v>2</v>
      </c>
      <c r="Q828" s="3">
        <v>2</v>
      </c>
      <c r="R828" s="3">
        <v>0</v>
      </c>
      <c r="S828" s="3">
        <v>0</v>
      </c>
      <c r="T828" s="3">
        <v>0</v>
      </c>
      <c r="U828" s="3">
        <v>0</v>
      </c>
      <c r="V828" s="3">
        <f t="shared" si="182"/>
        <v>2</v>
      </c>
      <c r="W828" s="3">
        <v>2</v>
      </c>
      <c r="X828" s="3">
        <v>0</v>
      </c>
      <c r="Y828" s="3">
        <v>0</v>
      </c>
      <c r="Z828" s="3">
        <v>0</v>
      </c>
      <c r="AA828" s="3">
        <v>0</v>
      </c>
      <c r="AB828" s="3">
        <f t="shared" si="183"/>
        <v>2</v>
      </c>
      <c r="AC828" s="6">
        <f t="shared" si="191"/>
        <v>-2</v>
      </c>
      <c r="AD828" s="6">
        <f t="shared" si="192"/>
        <v>0</v>
      </c>
      <c r="AE828" s="6">
        <f t="shared" si="193"/>
        <v>0</v>
      </c>
      <c r="AF828" s="6">
        <f t="shared" si="194"/>
        <v>0</v>
      </c>
      <c r="AG828" s="6">
        <f t="shared" si="195"/>
        <v>0</v>
      </c>
      <c r="AH828" s="6">
        <f t="shared" si="184"/>
        <v>-2</v>
      </c>
      <c r="AI828" s="3"/>
      <c r="AJ828" s="3" t="e">
        <f>_xlfn.XLOOKUP(K828,工作表1!A:A,工作表1!C:C)</f>
        <v>#N/A</v>
      </c>
      <c r="AK828" s="3"/>
      <c r="AL828" s="6">
        <f t="shared" si="185"/>
        <v>0</v>
      </c>
      <c r="AM828" s="6">
        <f t="shared" si="186"/>
        <v>0</v>
      </c>
      <c r="AN828" s="6">
        <f t="shared" si="187"/>
        <v>0</v>
      </c>
      <c r="AO828" s="6">
        <f t="shared" si="188"/>
        <v>0</v>
      </c>
      <c r="AP828" s="6">
        <f t="shared" si="189"/>
        <v>0</v>
      </c>
      <c r="AQ828" s="6">
        <f t="shared" si="190"/>
        <v>0</v>
      </c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  <c r="BC828" s="6"/>
      <c r="BD828" s="6"/>
      <c r="BE828" s="6"/>
      <c r="BF828" s="6"/>
      <c r="BG828" s="6"/>
      <c r="BH828" s="6"/>
      <c r="BI828" s="6"/>
      <c r="BJ828" s="6"/>
      <c r="BK828" s="6"/>
      <c r="BL828" s="6"/>
      <c r="BM828" s="6"/>
      <c r="BN828" s="6"/>
      <c r="BO828" s="6"/>
      <c r="BP828" s="3">
        <v>2</v>
      </c>
      <c r="BQ828" s="6">
        <f t="shared" si="181"/>
        <v>0</v>
      </c>
    </row>
    <row r="829" spans="1:69" x14ac:dyDescent="0.3">
      <c r="A829" s="3" t="s">
        <v>1321</v>
      </c>
      <c r="B829" s="3">
        <v>311</v>
      </c>
      <c r="C829" s="3" t="s">
        <v>1358</v>
      </c>
      <c r="D829" s="3">
        <v>14</v>
      </c>
      <c r="E829" s="3" t="s">
        <v>19</v>
      </c>
      <c r="F829" s="3" t="s">
        <v>25</v>
      </c>
      <c r="G829" s="3" t="s">
        <v>19</v>
      </c>
      <c r="H829" s="3" t="s">
        <v>1330</v>
      </c>
      <c r="I829" s="3">
        <v>19.05</v>
      </c>
      <c r="J829" s="3" t="s">
        <v>91</v>
      </c>
      <c r="K829" s="3" t="s">
        <v>1360</v>
      </c>
      <c r="L829" s="3" t="s">
        <v>24</v>
      </c>
      <c r="M829" s="3">
        <v>2</v>
      </c>
      <c r="N829" s="6"/>
      <c r="O829" s="3">
        <v>2</v>
      </c>
      <c r="P829" s="3">
        <v>2</v>
      </c>
      <c r="Q829" s="3">
        <v>2</v>
      </c>
      <c r="R829" s="3">
        <v>0</v>
      </c>
      <c r="S829" s="3">
        <v>0</v>
      </c>
      <c r="T829" s="3">
        <v>0</v>
      </c>
      <c r="U829" s="3">
        <v>0</v>
      </c>
      <c r="V829" s="3">
        <f t="shared" si="182"/>
        <v>2</v>
      </c>
      <c r="W829" s="3">
        <v>2</v>
      </c>
      <c r="X829" s="3">
        <v>0</v>
      </c>
      <c r="Y829" s="3">
        <v>0</v>
      </c>
      <c r="Z829" s="3">
        <v>0</v>
      </c>
      <c r="AA829" s="3">
        <v>0</v>
      </c>
      <c r="AB829" s="3">
        <f t="shared" si="183"/>
        <v>2</v>
      </c>
      <c r="AC829" s="6">
        <f t="shared" si="191"/>
        <v>-2</v>
      </c>
      <c r="AD829" s="6">
        <f t="shared" si="192"/>
        <v>0</v>
      </c>
      <c r="AE829" s="6">
        <f t="shared" si="193"/>
        <v>0</v>
      </c>
      <c r="AF829" s="6">
        <f t="shared" si="194"/>
        <v>0</v>
      </c>
      <c r="AG829" s="6">
        <f t="shared" si="195"/>
        <v>0</v>
      </c>
      <c r="AH829" s="6">
        <f t="shared" si="184"/>
        <v>-2</v>
      </c>
      <c r="AI829" s="3"/>
      <c r="AJ829" s="3" t="e">
        <f>_xlfn.XLOOKUP(K829,工作表1!A:A,工作表1!C:C)</f>
        <v>#N/A</v>
      </c>
      <c r="AK829" s="3"/>
      <c r="AL829" s="6">
        <f t="shared" si="185"/>
        <v>0</v>
      </c>
      <c r="AM829" s="6">
        <f t="shared" si="186"/>
        <v>0</v>
      </c>
      <c r="AN829" s="6">
        <f t="shared" si="187"/>
        <v>0</v>
      </c>
      <c r="AO829" s="6">
        <f t="shared" si="188"/>
        <v>0</v>
      </c>
      <c r="AP829" s="6">
        <f t="shared" si="189"/>
        <v>0</v>
      </c>
      <c r="AQ829" s="6">
        <f t="shared" si="190"/>
        <v>0</v>
      </c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  <c r="BC829" s="6"/>
      <c r="BD829" s="6"/>
      <c r="BE829" s="6"/>
      <c r="BF829" s="6"/>
      <c r="BG829" s="6"/>
      <c r="BH829" s="6"/>
      <c r="BI829" s="6"/>
      <c r="BJ829" s="6"/>
      <c r="BK829" s="6"/>
      <c r="BL829" s="6"/>
      <c r="BM829" s="6"/>
      <c r="BN829" s="6"/>
      <c r="BO829" s="6"/>
      <c r="BP829" s="3">
        <v>2</v>
      </c>
      <c r="BQ829" s="6">
        <f t="shared" si="181"/>
        <v>0</v>
      </c>
    </row>
    <row r="830" spans="1:69" x14ac:dyDescent="0.3">
      <c r="A830" s="3" t="s">
        <v>1321</v>
      </c>
      <c r="B830" s="3">
        <v>311</v>
      </c>
      <c r="C830" s="3" t="s">
        <v>1358</v>
      </c>
      <c r="D830" s="3">
        <v>12</v>
      </c>
      <c r="E830" s="3" t="s">
        <v>19</v>
      </c>
      <c r="F830" s="3" t="s">
        <v>25</v>
      </c>
      <c r="G830" s="3" t="s">
        <v>19</v>
      </c>
      <c r="H830" s="3" t="s">
        <v>1332</v>
      </c>
      <c r="I830" s="3">
        <v>17.48</v>
      </c>
      <c r="J830" s="3" t="s">
        <v>91</v>
      </c>
      <c r="K830" s="3" t="s">
        <v>1361</v>
      </c>
      <c r="L830" s="3" t="s">
        <v>24</v>
      </c>
      <c r="M830" s="3">
        <v>2</v>
      </c>
      <c r="N830" s="6"/>
      <c r="O830" s="3">
        <v>2</v>
      </c>
      <c r="P830" s="3">
        <v>2</v>
      </c>
      <c r="Q830" s="3">
        <v>2</v>
      </c>
      <c r="R830" s="3">
        <v>0</v>
      </c>
      <c r="S830" s="3">
        <v>0</v>
      </c>
      <c r="T830" s="3">
        <v>0</v>
      </c>
      <c r="U830" s="3">
        <v>0</v>
      </c>
      <c r="V830" s="3">
        <f t="shared" si="182"/>
        <v>2</v>
      </c>
      <c r="W830" s="3">
        <v>2</v>
      </c>
      <c r="X830" s="3">
        <v>0</v>
      </c>
      <c r="Y830" s="3">
        <v>0</v>
      </c>
      <c r="Z830" s="3">
        <v>0</v>
      </c>
      <c r="AA830" s="3">
        <v>0</v>
      </c>
      <c r="AB830" s="3">
        <f t="shared" si="183"/>
        <v>2</v>
      </c>
      <c r="AC830" s="6">
        <f t="shared" si="191"/>
        <v>-2</v>
      </c>
      <c r="AD830" s="6">
        <f t="shared" si="192"/>
        <v>0</v>
      </c>
      <c r="AE830" s="6">
        <f t="shared" si="193"/>
        <v>0</v>
      </c>
      <c r="AF830" s="6">
        <f t="shared" si="194"/>
        <v>0</v>
      </c>
      <c r="AG830" s="6">
        <f t="shared" si="195"/>
        <v>0</v>
      </c>
      <c r="AH830" s="6">
        <f t="shared" si="184"/>
        <v>-2</v>
      </c>
      <c r="AI830" s="3"/>
      <c r="AJ830" s="3" t="e">
        <f>_xlfn.XLOOKUP(K830,工作表1!A:A,工作表1!C:C)</f>
        <v>#N/A</v>
      </c>
      <c r="AK830" s="3"/>
      <c r="AL830" s="6">
        <f t="shared" si="185"/>
        <v>0</v>
      </c>
      <c r="AM830" s="6">
        <f t="shared" si="186"/>
        <v>0</v>
      </c>
      <c r="AN830" s="6">
        <f t="shared" si="187"/>
        <v>0</v>
      </c>
      <c r="AO830" s="6">
        <f t="shared" si="188"/>
        <v>0</v>
      </c>
      <c r="AP830" s="6">
        <f t="shared" si="189"/>
        <v>0</v>
      </c>
      <c r="AQ830" s="6">
        <f t="shared" si="190"/>
        <v>0</v>
      </c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  <c r="BC830" s="6"/>
      <c r="BD830" s="6"/>
      <c r="BE830" s="6"/>
      <c r="BF830" s="6"/>
      <c r="BG830" s="6"/>
      <c r="BH830" s="6"/>
      <c r="BI830" s="6"/>
      <c r="BJ830" s="6"/>
      <c r="BK830" s="6"/>
      <c r="BL830" s="6"/>
      <c r="BM830" s="6"/>
      <c r="BN830" s="6"/>
      <c r="BO830" s="6"/>
      <c r="BP830" s="3">
        <v>2</v>
      </c>
      <c r="BQ830" s="6">
        <f t="shared" si="181"/>
        <v>0</v>
      </c>
    </row>
    <row r="831" spans="1:69" x14ac:dyDescent="0.3">
      <c r="A831" s="3" t="s">
        <v>1321</v>
      </c>
      <c r="B831" s="3">
        <v>311</v>
      </c>
      <c r="C831" s="3" t="s">
        <v>1358</v>
      </c>
      <c r="D831" s="3">
        <v>10</v>
      </c>
      <c r="E831" s="3" t="s">
        <v>19</v>
      </c>
      <c r="F831" s="3" t="s">
        <v>25</v>
      </c>
      <c r="G831" s="3" t="s">
        <v>19</v>
      </c>
      <c r="H831" s="3" t="s">
        <v>1334</v>
      </c>
      <c r="I831" s="3">
        <v>15.09</v>
      </c>
      <c r="J831" s="3" t="s">
        <v>91</v>
      </c>
      <c r="K831" s="3" t="s">
        <v>1362</v>
      </c>
      <c r="L831" s="3" t="s">
        <v>24</v>
      </c>
      <c r="M831" s="3">
        <v>2</v>
      </c>
      <c r="N831" s="6"/>
      <c r="O831" s="3">
        <v>2</v>
      </c>
      <c r="P831" s="3">
        <v>2</v>
      </c>
      <c r="Q831" s="3">
        <v>2</v>
      </c>
      <c r="R831" s="3">
        <v>0</v>
      </c>
      <c r="S831" s="3">
        <v>0</v>
      </c>
      <c r="T831" s="3">
        <v>0</v>
      </c>
      <c r="U831" s="3">
        <v>0</v>
      </c>
      <c r="V831" s="3">
        <f t="shared" si="182"/>
        <v>2</v>
      </c>
      <c r="W831" s="3">
        <v>2</v>
      </c>
      <c r="X831" s="3">
        <v>0</v>
      </c>
      <c r="Y831" s="3">
        <v>0</v>
      </c>
      <c r="Z831" s="3">
        <v>0</v>
      </c>
      <c r="AA831" s="3">
        <v>0</v>
      </c>
      <c r="AB831" s="3">
        <f t="shared" si="183"/>
        <v>2</v>
      </c>
      <c r="AC831" s="6">
        <f t="shared" si="191"/>
        <v>-2</v>
      </c>
      <c r="AD831" s="6">
        <f t="shared" si="192"/>
        <v>0</v>
      </c>
      <c r="AE831" s="6">
        <f t="shared" si="193"/>
        <v>0</v>
      </c>
      <c r="AF831" s="6">
        <f t="shared" si="194"/>
        <v>0</v>
      </c>
      <c r="AG831" s="6">
        <f t="shared" si="195"/>
        <v>0</v>
      </c>
      <c r="AH831" s="6">
        <f t="shared" si="184"/>
        <v>-2</v>
      </c>
      <c r="AI831" s="3"/>
      <c r="AJ831" s="3" t="e">
        <f>_xlfn.XLOOKUP(K831,工作表1!A:A,工作表1!C:C)</f>
        <v>#N/A</v>
      </c>
      <c r="AK831" s="3"/>
      <c r="AL831" s="6">
        <f t="shared" si="185"/>
        <v>0</v>
      </c>
      <c r="AM831" s="6">
        <f t="shared" si="186"/>
        <v>0</v>
      </c>
      <c r="AN831" s="6">
        <f t="shared" si="187"/>
        <v>0</v>
      </c>
      <c r="AO831" s="6">
        <f t="shared" si="188"/>
        <v>0</v>
      </c>
      <c r="AP831" s="6">
        <f t="shared" si="189"/>
        <v>0</v>
      </c>
      <c r="AQ831" s="6">
        <f t="shared" si="190"/>
        <v>0</v>
      </c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  <c r="BC831" s="6"/>
      <c r="BD831" s="6"/>
      <c r="BE831" s="6"/>
      <c r="BF831" s="6"/>
      <c r="BG831" s="6"/>
      <c r="BH831" s="6"/>
      <c r="BI831" s="6"/>
      <c r="BJ831" s="6"/>
      <c r="BK831" s="6"/>
      <c r="BL831" s="6"/>
      <c r="BM831" s="6"/>
      <c r="BN831" s="6"/>
      <c r="BO831" s="6"/>
      <c r="BP831" s="3">
        <v>2</v>
      </c>
      <c r="BQ831" s="6">
        <f t="shared" si="181"/>
        <v>0</v>
      </c>
    </row>
    <row r="832" spans="1:69" x14ac:dyDescent="0.3">
      <c r="A832" s="3" t="s">
        <v>1321</v>
      </c>
      <c r="B832" s="3">
        <v>311</v>
      </c>
      <c r="C832" s="3" t="s">
        <v>1358</v>
      </c>
      <c r="D832" s="3">
        <v>8</v>
      </c>
      <c r="E832" s="3" t="s">
        <v>19</v>
      </c>
      <c r="F832" s="3" t="s">
        <v>752</v>
      </c>
      <c r="G832" s="3" t="s">
        <v>19</v>
      </c>
      <c r="H832" s="3" t="s">
        <v>1336</v>
      </c>
      <c r="I832" s="3">
        <v>12.7</v>
      </c>
      <c r="J832" s="3" t="s">
        <v>91</v>
      </c>
      <c r="K832" s="3" t="s">
        <v>1363</v>
      </c>
      <c r="L832" s="3" t="s">
        <v>24</v>
      </c>
      <c r="M832" s="3">
        <v>2</v>
      </c>
      <c r="N832" s="6"/>
      <c r="O832" s="3">
        <v>2</v>
      </c>
      <c r="P832" s="3">
        <v>2</v>
      </c>
      <c r="Q832" s="3">
        <v>2</v>
      </c>
      <c r="R832" s="3">
        <v>0</v>
      </c>
      <c r="S832" s="3">
        <v>0</v>
      </c>
      <c r="T832" s="3">
        <v>0</v>
      </c>
      <c r="U832" s="3">
        <v>0</v>
      </c>
      <c r="V832" s="3">
        <f t="shared" si="182"/>
        <v>2</v>
      </c>
      <c r="W832" s="3">
        <v>2</v>
      </c>
      <c r="X832" s="3">
        <v>0</v>
      </c>
      <c r="Y832" s="3">
        <v>0</v>
      </c>
      <c r="Z832" s="3">
        <v>0</v>
      </c>
      <c r="AA832" s="3">
        <v>0</v>
      </c>
      <c r="AB832" s="3">
        <f t="shared" si="183"/>
        <v>2</v>
      </c>
      <c r="AC832" s="6">
        <f t="shared" si="191"/>
        <v>-2</v>
      </c>
      <c r="AD832" s="6">
        <f t="shared" si="192"/>
        <v>0</v>
      </c>
      <c r="AE832" s="6">
        <f t="shared" si="193"/>
        <v>0</v>
      </c>
      <c r="AF832" s="6">
        <f t="shared" si="194"/>
        <v>0</v>
      </c>
      <c r="AG832" s="6">
        <f t="shared" si="195"/>
        <v>0</v>
      </c>
      <c r="AH832" s="6">
        <f t="shared" si="184"/>
        <v>-2</v>
      </c>
      <c r="AI832" s="3"/>
      <c r="AJ832" s="3" t="e">
        <f>_xlfn.XLOOKUP(K832,工作表1!A:A,工作表1!C:C)</f>
        <v>#N/A</v>
      </c>
      <c r="AK832" s="3"/>
      <c r="AL832" s="6">
        <f t="shared" si="185"/>
        <v>0</v>
      </c>
      <c r="AM832" s="6">
        <f t="shared" si="186"/>
        <v>0</v>
      </c>
      <c r="AN832" s="6">
        <f t="shared" si="187"/>
        <v>0</v>
      </c>
      <c r="AO832" s="6">
        <f t="shared" si="188"/>
        <v>0</v>
      </c>
      <c r="AP832" s="6">
        <f t="shared" si="189"/>
        <v>0</v>
      </c>
      <c r="AQ832" s="6">
        <f t="shared" si="190"/>
        <v>0</v>
      </c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  <c r="BC832" s="6"/>
      <c r="BD832" s="6"/>
      <c r="BE832" s="6"/>
      <c r="BF832" s="6"/>
      <c r="BG832" s="6"/>
      <c r="BH832" s="6"/>
      <c r="BI832" s="6"/>
      <c r="BJ832" s="6"/>
      <c r="BK832" s="6"/>
      <c r="BL832" s="6"/>
      <c r="BM832" s="6"/>
      <c r="BN832" s="6"/>
      <c r="BO832" s="6"/>
      <c r="BP832" s="3">
        <v>2</v>
      </c>
      <c r="BQ832" s="6">
        <f t="shared" si="181"/>
        <v>0</v>
      </c>
    </row>
    <row r="833" spans="1:69" x14ac:dyDescent="0.3">
      <c r="A833" s="3" t="s">
        <v>1321</v>
      </c>
      <c r="B833" s="3">
        <v>311</v>
      </c>
      <c r="C833" s="3" t="s">
        <v>1358</v>
      </c>
      <c r="D833" s="3">
        <v>6</v>
      </c>
      <c r="E833" s="3" t="s">
        <v>19</v>
      </c>
      <c r="F833" s="3" t="s">
        <v>752</v>
      </c>
      <c r="G833" s="3" t="s">
        <v>19</v>
      </c>
      <c r="H833" s="3" t="s">
        <v>1338</v>
      </c>
      <c r="I833" s="3">
        <v>10.97</v>
      </c>
      <c r="J833" s="3" t="s">
        <v>91</v>
      </c>
      <c r="K833" s="3" t="s">
        <v>1364</v>
      </c>
      <c r="L833" s="3" t="s">
        <v>24</v>
      </c>
      <c r="M833" s="3">
        <v>4</v>
      </c>
      <c r="N833" s="6"/>
      <c r="O833" s="3">
        <v>4</v>
      </c>
      <c r="P833" s="3">
        <v>4</v>
      </c>
      <c r="Q833" s="3">
        <v>4</v>
      </c>
      <c r="R833" s="3">
        <v>0</v>
      </c>
      <c r="S833" s="3">
        <v>0</v>
      </c>
      <c r="T833" s="3">
        <v>0</v>
      </c>
      <c r="U833" s="3">
        <v>0</v>
      </c>
      <c r="V833" s="3">
        <f t="shared" si="182"/>
        <v>4</v>
      </c>
      <c r="W833" s="3">
        <v>4</v>
      </c>
      <c r="X833" s="3">
        <v>0</v>
      </c>
      <c r="Y833" s="3">
        <v>0</v>
      </c>
      <c r="Z833" s="3">
        <v>0</v>
      </c>
      <c r="AA833" s="3">
        <v>0</v>
      </c>
      <c r="AB833" s="3">
        <f t="shared" si="183"/>
        <v>4</v>
      </c>
      <c r="AC833" s="6">
        <f t="shared" si="191"/>
        <v>-4</v>
      </c>
      <c r="AD833" s="6">
        <f t="shared" si="192"/>
        <v>0</v>
      </c>
      <c r="AE833" s="6">
        <f t="shared" si="193"/>
        <v>0</v>
      </c>
      <c r="AF833" s="6">
        <f t="shared" si="194"/>
        <v>0</v>
      </c>
      <c r="AG833" s="6">
        <f t="shared" si="195"/>
        <v>0</v>
      </c>
      <c r="AH833" s="6">
        <f t="shared" si="184"/>
        <v>-4</v>
      </c>
      <c r="AI833" s="3"/>
      <c r="AJ833" s="3" t="e">
        <f>_xlfn.XLOOKUP(K833,工作表1!A:A,工作表1!C:C)</f>
        <v>#N/A</v>
      </c>
      <c r="AK833" s="3"/>
      <c r="AL833" s="6">
        <f t="shared" si="185"/>
        <v>0</v>
      </c>
      <c r="AM833" s="6">
        <f t="shared" si="186"/>
        <v>0</v>
      </c>
      <c r="AN833" s="6">
        <f t="shared" si="187"/>
        <v>0</v>
      </c>
      <c r="AO833" s="6">
        <f t="shared" si="188"/>
        <v>0</v>
      </c>
      <c r="AP833" s="6">
        <f t="shared" si="189"/>
        <v>0</v>
      </c>
      <c r="AQ833" s="6">
        <f t="shared" si="190"/>
        <v>0</v>
      </c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  <c r="BC833" s="6"/>
      <c r="BD833" s="6"/>
      <c r="BE833" s="6"/>
      <c r="BF833" s="6"/>
      <c r="BG833" s="6"/>
      <c r="BH833" s="6"/>
      <c r="BI833" s="6"/>
      <c r="BJ833" s="6"/>
      <c r="BK833" s="6"/>
      <c r="BL833" s="6"/>
      <c r="BM833" s="6"/>
      <c r="BN833" s="6"/>
      <c r="BO833" s="6"/>
      <c r="BP833" s="3">
        <v>4</v>
      </c>
      <c r="BQ833" s="6">
        <f t="shared" si="181"/>
        <v>0</v>
      </c>
    </row>
    <row r="834" spans="1:69" x14ac:dyDescent="0.3">
      <c r="A834" s="3" t="s">
        <v>1321</v>
      </c>
      <c r="B834" s="3">
        <v>312</v>
      </c>
      <c r="C834" s="3" t="s">
        <v>1365</v>
      </c>
      <c r="D834" s="3">
        <v>2</v>
      </c>
      <c r="E834" s="3">
        <v>1</v>
      </c>
      <c r="F834" s="3" t="s">
        <v>752</v>
      </c>
      <c r="G834" s="3" t="s">
        <v>752</v>
      </c>
      <c r="H834" s="3" t="s">
        <v>1366</v>
      </c>
      <c r="I834" s="3"/>
      <c r="J834" s="3" t="s">
        <v>91</v>
      </c>
      <c r="K834" s="3" t="s">
        <v>1367</v>
      </c>
      <c r="L834" s="3" t="s">
        <v>24</v>
      </c>
      <c r="M834" s="3">
        <v>3</v>
      </c>
      <c r="N834" s="6"/>
      <c r="O834" s="3">
        <v>3</v>
      </c>
      <c r="P834" s="3">
        <v>3</v>
      </c>
      <c r="Q834" s="3">
        <v>3</v>
      </c>
      <c r="R834" s="3">
        <v>0</v>
      </c>
      <c r="S834" s="3">
        <v>0</v>
      </c>
      <c r="T834" s="3">
        <v>0</v>
      </c>
      <c r="U834" s="3">
        <v>0</v>
      </c>
      <c r="V834" s="3">
        <f t="shared" si="182"/>
        <v>3</v>
      </c>
      <c r="W834" s="3">
        <v>3</v>
      </c>
      <c r="X834" s="3">
        <v>0</v>
      </c>
      <c r="Y834" s="3">
        <v>0</v>
      </c>
      <c r="Z834" s="3">
        <v>0</v>
      </c>
      <c r="AA834" s="3">
        <v>0</v>
      </c>
      <c r="AB834" s="3">
        <f t="shared" si="183"/>
        <v>3</v>
      </c>
      <c r="AC834" s="6">
        <f t="shared" si="191"/>
        <v>-3</v>
      </c>
      <c r="AD834" s="6">
        <f t="shared" si="192"/>
        <v>0</v>
      </c>
      <c r="AE834" s="6">
        <f t="shared" si="193"/>
        <v>0</v>
      </c>
      <c r="AF834" s="6">
        <f t="shared" si="194"/>
        <v>0</v>
      </c>
      <c r="AG834" s="6">
        <f t="shared" si="195"/>
        <v>0</v>
      </c>
      <c r="AH834" s="6">
        <f t="shared" si="184"/>
        <v>-3</v>
      </c>
      <c r="AI834" s="3"/>
      <c r="AJ834" s="3" t="e">
        <f>_xlfn.XLOOKUP(K834,工作表1!A:A,工作表1!C:C)</f>
        <v>#N/A</v>
      </c>
      <c r="AK834" s="3"/>
      <c r="AL834" s="6">
        <f t="shared" si="185"/>
        <v>0</v>
      </c>
      <c r="AM834" s="6">
        <f t="shared" si="186"/>
        <v>0</v>
      </c>
      <c r="AN834" s="6">
        <f t="shared" si="187"/>
        <v>0</v>
      </c>
      <c r="AO834" s="6">
        <f t="shared" si="188"/>
        <v>0</v>
      </c>
      <c r="AP834" s="6">
        <f t="shared" si="189"/>
        <v>0</v>
      </c>
      <c r="AQ834" s="6">
        <f t="shared" si="190"/>
        <v>0</v>
      </c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  <c r="BC834" s="6"/>
      <c r="BD834" s="6"/>
      <c r="BE834" s="6"/>
      <c r="BF834" s="6"/>
      <c r="BG834" s="6"/>
      <c r="BH834" s="6"/>
      <c r="BI834" s="6"/>
      <c r="BJ834" s="6"/>
      <c r="BK834" s="6"/>
      <c r="BL834" s="6"/>
      <c r="BM834" s="6"/>
      <c r="BN834" s="6"/>
      <c r="BO834" s="6"/>
      <c r="BP834" s="3">
        <v>3</v>
      </c>
      <c r="BQ834" s="6">
        <f t="shared" si="181"/>
        <v>0</v>
      </c>
    </row>
    <row r="835" spans="1:69" x14ac:dyDescent="0.3">
      <c r="A835" s="3" t="s">
        <v>1321</v>
      </c>
      <c r="B835" s="3">
        <v>312</v>
      </c>
      <c r="C835" s="3" t="s">
        <v>1368</v>
      </c>
      <c r="D835" s="3">
        <v>16</v>
      </c>
      <c r="E835" s="3">
        <v>10</v>
      </c>
      <c r="F835" s="3" t="s">
        <v>25</v>
      </c>
      <c r="G835" s="3" t="s">
        <v>25</v>
      </c>
      <c r="H835" s="3" t="s">
        <v>1369</v>
      </c>
      <c r="I835" s="3"/>
      <c r="J835" s="3" t="s">
        <v>91</v>
      </c>
      <c r="K835" s="3" t="s">
        <v>1370</v>
      </c>
      <c r="L835" s="3" t="s">
        <v>24</v>
      </c>
      <c r="M835" s="3">
        <v>2</v>
      </c>
      <c r="N835" s="6"/>
      <c r="O835" s="3">
        <v>2</v>
      </c>
      <c r="P835" s="3">
        <v>2</v>
      </c>
      <c r="Q835" s="3">
        <v>2</v>
      </c>
      <c r="R835" s="3">
        <v>0</v>
      </c>
      <c r="S835" s="3">
        <v>0</v>
      </c>
      <c r="T835" s="3">
        <v>0</v>
      </c>
      <c r="U835" s="3">
        <v>0</v>
      </c>
      <c r="V835" s="3">
        <f t="shared" si="182"/>
        <v>2</v>
      </c>
      <c r="W835" s="3">
        <v>2</v>
      </c>
      <c r="X835" s="3">
        <v>0</v>
      </c>
      <c r="Y835" s="3">
        <v>0</v>
      </c>
      <c r="Z835" s="3">
        <v>0</v>
      </c>
      <c r="AA835" s="3">
        <v>0</v>
      </c>
      <c r="AB835" s="3">
        <f t="shared" si="183"/>
        <v>2</v>
      </c>
      <c r="AC835" s="6">
        <f t="shared" si="191"/>
        <v>-2</v>
      </c>
      <c r="AD835" s="6">
        <f t="shared" si="192"/>
        <v>0</v>
      </c>
      <c r="AE835" s="6">
        <f t="shared" si="193"/>
        <v>0</v>
      </c>
      <c r="AF835" s="6">
        <f t="shared" si="194"/>
        <v>0</v>
      </c>
      <c r="AG835" s="6">
        <f t="shared" si="195"/>
        <v>0</v>
      </c>
      <c r="AH835" s="6">
        <f t="shared" si="184"/>
        <v>-2</v>
      </c>
      <c r="AI835" s="3"/>
      <c r="AJ835" s="3" t="e">
        <f>_xlfn.XLOOKUP(K835,工作表1!A:A,工作表1!C:C)</f>
        <v>#N/A</v>
      </c>
      <c r="AK835" s="3"/>
      <c r="AL835" s="6">
        <f t="shared" si="185"/>
        <v>0</v>
      </c>
      <c r="AM835" s="6">
        <f t="shared" si="186"/>
        <v>0</v>
      </c>
      <c r="AN835" s="6">
        <f t="shared" si="187"/>
        <v>0</v>
      </c>
      <c r="AO835" s="6">
        <f t="shared" si="188"/>
        <v>0</v>
      </c>
      <c r="AP835" s="6">
        <f t="shared" si="189"/>
        <v>0</v>
      </c>
      <c r="AQ835" s="6">
        <f t="shared" si="190"/>
        <v>0</v>
      </c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  <c r="BC835" s="6"/>
      <c r="BD835" s="6"/>
      <c r="BE835" s="6"/>
      <c r="BF835" s="6"/>
      <c r="BG835" s="6"/>
      <c r="BH835" s="6"/>
      <c r="BI835" s="6"/>
      <c r="BJ835" s="6"/>
      <c r="BK835" s="6"/>
      <c r="BL835" s="6"/>
      <c r="BM835" s="6"/>
      <c r="BN835" s="6"/>
      <c r="BO835" s="6"/>
      <c r="BP835" s="3">
        <v>2</v>
      </c>
      <c r="BQ835" s="6">
        <f t="shared" si="181"/>
        <v>0</v>
      </c>
    </row>
    <row r="836" spans="1:69" x14ac:dyDescent="0.3">
      <c r="A836" s="3" t="s">
        <v>1321</v>
      </c>
      <c r="B836" s="3">
        <v>312</v>
      </c>
      <c r="C836" s="3" t="s">
        <v>1368</v>
      </c>
      <c r="D836" s="3">
        <v>14</v>
      </c>
      <c r="E836" s="3">
        <v>10</v>
      </c>
      <c r="F836" s="3" t="s">
        <v>25</v>
      </c>
      <c r="G836" s="3" t="s">
        <v>25</v>
      </c>
      <c r="H836" s="3" t="s">
        <v>1371</v>
      </c>
      <c r="I836" s="3"/>
      <c r="J836" s="3" t="s">
        <v>91</v>
      </c>
      <c r="K836" s="3" t="s">
        <v>1372</v>
      </c>
      <c r="L836" s="3" t="s">
        <v>24</v>
      </c>
      <c r="M836" s="3">
        <v>2</v>
      </c>
      <c r="N836" s="6"/>
      <c r="O836" s="3">
        <v>2</v>
      </c>
      <c r="P836" s="3">
        <v>2</v>
      </c>
      <c r="Q836" s="3">
        <v>2</v>
      </c>
      <c r="R836" s="3">
        <v>0</v>
      </c>
      <c r="S836" s="3">
        <v>0</v>
      </c>
      <c r="T836" s="3">
        <v>0</v>
      </c>
      <c r="U836" s="3">
        <v>0</v>
      </c>
      <c r="V836" s="3">
        <f t="shared" si="182"/>
        <v>2</v>
      </c>
      <c r="W836" s="3">
        <v>2</v>
      </c>
      <c r="X836" s="3">
        <v>0</v>
      </c>
      <c r="Y836" s="3">
        <v>0</v>
      </c>
      <c r="Z836" s="3">
        <v>0</v>
      </c>
      <c r="AA836" s="3">
        <v>0</v>
      </c>
      <c r="AB836" s="3">
        <f t="shared" si="183"/>
        <v>2</v>
      </c>
      <c r="AC836" s="6">
        <f t="shared" si="191"/>
        <v>-2</v>
      </c>
      <c r="AD836" s="6">
        <f t="shared" si="192"/>
        <v>0</v>
      </c>
      <c r="AE836" s="6">
        <f t="shared" si="193"/>
        <v>0</v>
      </c>
      <c r="AF836" s="6">
        <f t="shared" si="194"/>
        <v>0</v>
      </c>
      <c r="AG836" s="6">
        <f t="shared" si="195"/>
        <v>0</v>
      </c>
      <c r="AH836" s="6">
        <f t="shared" si="184"/>
        <v>-2</v>
      </c>
      <c r="AI836" s="3"/>
      <c r="AJ836" s="3" t="e">
        <f>_xlfn.XLOOKUP(K836,工作表1!A:A,工作表1!C:C)</f>
        <v>#N/A</v>
      </c>
      <c r="AK836" s="3"/>
      <c r="AL836" s="6">
        <f t="shared" si="185"/>
        <v>0</v>
      </c>
      <c r="AM836" s="6">
        <f t="shared" si="186"/>
        <v>0</v>
      </c>
      <c r="AN836" s="6">
        <f t="shared" si="187"/>
        <v>0</v>
      </c>
      <c r="AO836" s="6">
        <f t="shared" si="188"/>
        <v>0</v>
      </c>
      <c r="AP836" s="6">
        <f t="shared" si="189"/>
        <v>0</v>
      </c>
      <c r="AQ836" s="6">
        <f t="shared" si="190"/>
        <v>0</v>
      </c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  <c r="BC836" s="6"/>
      <c r="BD836" s="6"/>
      <c r="BE836" s="6"/>
      <c r="BF836" s="6"/>
      <c r="BG836" s="6"/>
      <c r="BH836" s="6"/>
      <c r="BI836" s="6"/>
      <c r="BJ836" s="6"/>
      <c r="BK836" s="6"/>
      <c r="BL836" s="6"/>
      <c r="BM836" s="6"/>
      <c r="BN836" s="6"/>
      <c r="BO836" s="6"/>
      <c r="BP836" s="3">
        <v>2</v>
      </c>
      <c r="BQ836" s="6">
        <f t="shared" si="181"/>
        <v>0</v>
      </c>
    </row>
    <row r="837" spans="1:69" x14ac:dyDescent="0.3">
      <c r="A837" s="3" t="s">
        <v>1321</v>
      </c>
      <c r="B837" s="3">
        <v>332</v>
      </c>
      <c r="C837" s="3" t="s">
        <v>1373</v>
      </c>
      <c r="D837" s="3">
        <v>16</v>
      </c>
      <c r="E837" s="3">
        <v>0.75</v>
      </c>
      <c r="F837" s="3" t="s">
        <v>25</v>
      </c>
      <c r="G837" s="3" t="s">
        <v>752</v>
      </c>
      <c r="H837" s="3" t="s">
        <v>1374</v>
      </c>
      <c r="I837" s="3"/>
      <c r="J837" s="3" t="s">
        <v>91</v>
      </c>
      <c r="K837" s="3" t="s">
        <v>1375</v>
      </c>
      <c r="L837" s="3" t="s">
        <v>24</v>
      </c>
      <c r="M837" s="3">
        <v>1</v>
      </c>
      <c r="N837" s="6"/>
      <c r="O837" s="3">
        <v>1</v>
      </c>
      <c r="P837" s="3">
        <v>1</v>
      </c>
      <c r="Q837" s="3">
        <v>1</v>
      </c>
      <c r="R837" s="3">
        <v>0</v>
      </c>
      <c r="S837" s="3">
        <v>0</v>
      </c>
      <c r="T837" s="3">
        <v>0</v>
      </c>
      <c r="U837" s="3">
        <v>0</v>
      </c>
      <c r="V837" s="3">
        <f t="shared" si="182"/>
        <v>1</v>
      </c>
      <c r="W837" s="3">
        <v>1</v>
      </c>
      <c r="X837" s="3">
        <v>0</v>
      </c>
      <c r="Y837" s="3">
        <v>0</v>
      </c>
      <c r="Z837" s="3">
        <v>0</v>
      </c>
      <c r="AA837" s="3">
        <v>0</v>
      </c>
      <c r="AB837" s="3">
        <f t="shared" si="183"/>
        <v>1</v>
      </c>
      <c r="AC837" s="6">
        <f t="shared" si="191"/>
        <v>-1</v>
      </c>
      <c r="AD837" s="6">
        <f t="shared" si="192"/>
        <v>0</v>
      </c>
      <c r="AE837" s="6">
        <f t="shared" si="193"/>
        <v>0</v>
      </c>
      <c r="AF837" s="6">
        <f t="shared" si="194"/>
        <v>0</v>
      </c>
      <c r="AG837" s="6">
        <f t="shared" si="195"/>
        <v>0</v>
      </c>
      <c r="AH837" s="6">
        <f t="shared" si="184"/>
        <v>-1</v>
      </c>
      <c r="AI837" s="3"/>
      <c r="AJ837" s="3" t="e">
        <f>_xlfn.XLOOKUP(K837,工作表1!A:A,工作表1!C:C)</f>
        <v>#N/A</v>
      </c>
      <c r="AK837" s="3"/>
      <c r="AL837" s="6">
        <f t="shared" si="185"/>
        <v>0</v>
      </c>
      <c r="AM837" s="6">
        <f t="shared" si="186"/>
        <v>0</v>
      </c>
      <c r="AN837" s="6">
        <f t="shared" si="187"/>
        <v>0</v>
      </c>
      <c r="AO837" s="6">
        <f t="shared" si="188"/>
        <v>0</v>
      </c>
      <c r="AP837" s="6">
        <f t="shared" si="189"/>
        <v>0</v>
      </c>
      <c r="AQ837" s="6">
        <f t="shared" si="190"/>
        <v>0</v>
      </c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  <c r="BC837" s="6"/>
      <c r="BD837" s="6"/>
      <c r="BE837" s="6"/>
      <c r="BF837" s="6"/>
      <c r="BG837" s="6"/>
      <c r="BH837" s="6"/>
      <c r="BI837" s="6"/>
      <c r="BJ837" s="6"/>
      <c r="BK837" s="6"/>
      <c r="BL837" s="6"/>
      <c r="BM837" s="6"/>
      <c r="BN837" s="6"/>
      <c r="BO837" s="6"/>
      <c r="BP837" s="3">
        <v>1</v>
      </c>
      <c r="BQ837" s="6">
        <f t="shared" si="181"/>
        <v>0</v>
      </c>
    </row>
    <row r="838" spans="1:69" x14ac:dyDescent="0.3">
      <c r="A838" s="3" t="s">
        <v>1321</v>
      </c>
      <c r="B838" s="3">
        <v>332</v>
      </c>
      <c r="C838" s="3" t="s">
        <v>1373</v>
      </c>
      <c r="D838" s="3">
        <v>16</v>
      </c>
      <c r="E838" s="3">
        <v>1.5</v>
      </c>
      <c r="F838" s="3" t="s">
        <v>25</v>
      </c>
      <c r="G838" s="3" t="s">
        <v>752</v>
      </c>
      <c r="H838" s="3" t="s">
        <v>1376</v>
      </c>
      <c r="I838" s="3"/>
      <c r="J838" s="3" t="s">
        <v>91</v>
      </c>
      <c r="K838" s="3" t="s">
        <v>1377</v>
      </c>
      <c r="L838" s="3" t="s">
        <v>24</v>
      </c>
      <c r="M838" s="3">
        <v>2</v>
      </c>
      <c r="N838" s="6"/>
      <c r="O838" s="3">
        <v>2</v>
      </c>
      <c r="P838" s="3">
        <v>2</v>
      </c>
      <c r="Q838" s="3">
        <v>2</v>
      </c>
      <c r="R838" s="3">
        <v>0</v>
      </c>
      <c r="S838" s="3">
        <v>0</v>
      </c>
      <c r="T838" s="3">
        <v>0</v>
      </c>
      <c r="U838" s="3">
        <v>0</v>
      </c>
      <c r="V838" s="3">
        <f t="shared" si="182"/>
        <v>2</v>
      </c>
      <c r="W838" s="3">
        <v>2</v>
      </c>
      <c r="X838" s="3">
        <v>0</v>
      </c>
      <c r="Y838" s="3">
        <v>0</v>
      </c>
      <c r="Z838" s="3">
        <v>0</v>
      </c>
      <c r="AA838" s="3">
        <v>0</v>
      </c>
      <c r="AB838" s="3">
        <f t="shared" si="183"/>
        <v>2</v>
      </c>
      <c r="AC838" s="6">
        <f t="shared" si="191"/>
        <v>-2</v>
      </c>
      <c r="AD838" s="6">
        <f t="shared" si="192"/>
        <v>0</v>
      </c>
      <c r="AE838" s="6">
        <f t="shared" si="193"/>
        <v>0</v>
      </c>
      <c r="AF838" s="6">
        <f t="shared" si="194"/>
        <v>0</v>
      </c>
      <c r="AG838" s="6">
        <f t="shared" si="195"/>
        <v>0</v>
      </c>
      <c r="AH838" s="6">
        <f t="shared" si="184"/>
        <v>-2</v>
      </c>
      <c r="AI838" s="3"/>
      <c r="AJ838" s="3" t="e">
        <f>_xlfn.XLOOKUP(K838,工作表1!A:A,工作表1!C:C)</f>
        <v>#N/A</v>
      </c>
      <c r="AK838" s="3"/>
      <c r="AL838" s="6">
        <f t="shared" si="185"/>
        <v>0</v>
      </c>
      <c r="AM838" s="6">
        <f t="shared" si="186"/>
        <v>0</v>
      </c>
      <c r="AN838" s="6">
        <f t="shared" si="187"/>
        <v>0</v>
      </c>
      <c r="AO838" s="6">
        <f t="shared" si="188"/>
        <v>0</v>
      </c>
      <c r="AP838" s="6">
        <f t="shared" si="189"/>
        <v>0</v>
      </c>
      <c r="AQ838" s="6">
        <f t="shared" si="190"/>
        <v>0</v>
      </c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  <c r="BC838" s="6"/>
      <c r="BD838" s="6"/>
      <c r="BE838" s="6"/>
      <c r="BF838" s="6"/>
      <c r="BG838" s="6"/>
      <c r="BH838" s="6"/>
      <c r="BI838" s="6"/>
      <c r="BJ838" s="6"/>
      <c r="BK838" s="6"/>
      <c r="BL838" s="6"/>
      <c r="BM838" s="6"/>
      <c r="BN838" s="6"/>
      <c r="BO838" s="6"/>
      <c r="BP838" s="3">
        <v>2</v>
      </c>
      <c r="BQ838" s="6">
        <f t="shared" si="181"/>
        <v>0</v>
      </c>
    </row>
    <row r="839" spans="1:69" x14ac:dyDescent="0.3">
      <c r="A839" s="3" t="s">
        <v>1321</v>
      </c>
      <c r="B839" s="3">
        <v>332</v>
      </c>
      <c r="C839" s="3" t="s">
        <v>1373</v>
      </c>
      <c r="D839" s="3">
        <v>16</v>
      </c>
      <c r="E839" s="3">
        <v>6</v>
      </c>
      <c r="F839" s="3" t="s">
        <v>25</v>
      </c>
      <c r="G839" s="3" t="s">
        <v>752</v>
      </c>
      <c r="H839" s="3" t="s">
        <v>1378</v>
      </c>
      <c r="I839" s="3"/>
      <c r="J839" s="3" t="s">
        <v>91</v>
      </c>
      <c r="K839" s="3" t="s">
        <v>1379</v>
      </c>
      <c r="L839" s="3" t="s">
        <v>24</v>
      </c>
      <c r="M839" s="3">
        <v>1</v>
      </c>
      <c r="N839" s="6"/>
      <c r="O839" s="3">
        <v>1</v>
      </c>
      <c r="P839" s="3">
        <v>1</v>
      </c>
      <c r="Q839" s="3">
        <v>1</v>
      </c>
      <c r="R839" s="3">
        <v>0</v>
      </c>
      <c r="S839" s="3">
        <v>0</v>
      </c>
      <c r="T839" s="3">
        <v>0</v>
      </c>
      <c r="U839" s="3">
        <v>0</v>
      </c>
      <c r="V839" s="3">
        <f t="shared" si="182"/>
        <v>1</v>
      </c>
      <c r="W839" s="3">
        <v>1</v>
      </c>
      <c r="X839" s="3">
        <v>0</v>
      </c>
      <c r="Y839" s="3">
        <v>0</v>
      </c>
      <c r="Z839" s="3">
        <v>0</v>
      </c>
      <c r="AA839" s="3">
        <v>0</v>
      </c>
      <c r="AB839" s="3">
        <f t="shared" si="183"/>
        <v>1</v>
      </c>
      <c r="AC839" s="6">
        <f t="shared" si="191"/>
        <v>-1</v>
      </c>
      <c r="AD839" s="6">
        <f t="shared" si="192"/>
        <v>0</v>
      </c>
      <c r="AE839" s="6">
        <f t="shared" si="193"/>
        <v>0</v>
      </c>
      <c r="AF839" s="6">
        <f t="shared" si="194"/>
        <v>0</v>
      </c>
      <c r="AG839" s="6">
        <f t="shared" si="195"/>
        <v>0</v>
      </c>
      <c r="AH839" s="6">
        <f t="shared" si="184"/>
        <v>-1</v>
      </c>
      <c r="AI839" s="3"/>
      <c r="AJ839" s="3" t="e">
        <f>_xlfn.XLOOKUP(K839,工作表1!A:A,工作表1!C:C)</f>
        <v>#N/A</v>
      </c>
      <c r="AK839" s="3"/>
      <c r="AL839" s="6">
        <f t="shared" si="185"/>
        <v>0</v>
      </c>
      <c r="AM839" s="6">
        <f t="shared" si="186"/>
        <v>0</v>
      </c>
      <c r="AN839" s="6">
        <f t="shared" si="187"/>
        <v>0</v>
      </c>
      <c r="AO839" s="6">
        <f t="shared" si="188"/>
        <v>0</v>
      </c>
      <c r="AP839" s="6">
        <f t="shared" si="189"/>
        <v>0</v>
      </c>
      <c r="AQ839" s="6">
        <f t="shared" si="190"/>
        <v>0</v>
      </c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  <c r="BC839" s="6"/>
      <c r="BD839" s="6"/>
      <c r="BE839" s="6"/>
      <c r="BF839" s="6"/>
      <c r="BG839" s="6"/>
      <c r="BH839" s="6"/>
      <c r="BI839" s="6"/>
      <c r="BJ839" s="6"/>
      <c r="BK839" s="6"/>
      <c r="BL839" s="6"/>
      <c r="BM839" s="6"/>
      <c r="BN839" s="6"/>
      <c r="BO839" s="6"/>
      <c r="BP839" s="3">
        <v>1</v>
      </c>
      <c r="BQ839" s="6">
        <f t="shared" ref="BQ839:BQ888" si="196">SUM(BR839:FN839)</f>
        <v>0</v>
      </c>
    </row>
    <row r="840" spans="1:69" x14ac:dyDescent="0.3">
      <c r="A840" s="3" t="s">
        <v>1321</v>
      </c>
      <c r="B840" s="3">
        <v>332</v>
      </c>
      <c r="C840" s="3" t="s">
        <v>1373</v>
      </c>
      <c r="D840" s="3">
        <v>10</v>
      </c>
      <c r="E840" s="3">
        <v>1.5</v>
      </c>
      <c r="F840" s="3" t="s">
        <v>25</v>
      </c>
      <c r="G840" s="3" t="s">
        <v>752</v>
      </c>
      <c r="H840" s="3" t="s">
        <v>1380</v>
      </c>
      <c r="I840" s="3"/>
      <c r="J840" s="3" t="s">
        <v>91</v>
      </c>
      <c r="K840" s="3" t="s">
        <v>1381</v>
      </c>
      <c r="L840" s="3" t="s">
        <v>24</v>
      </c>
      <c r="M840" s="3">
        <v>2</v>
      </c>
      <c r="N840" s="6"/>
      <c r="O840" s="3">
        <v>2</v>
      </c>
      <c r="P840" s="3">
        <v>2</v>
      </c>
      <c r="Q840" s="3">
        <v>2</v>
      </c>
      <c r="R840" s="3">
        <v>0</v>
      </c>
      <c r="S840" s="3">
        <v>0</v>
      </c>
      <c r="T840" s="3">
        <v>0</v>
      </c>
      <c r="U840" s="3">
        <v>0</v>
      </c>
      <c r="V840" s="3">
        <f t="shared" ref="V840:V888" si="197">SUM(Q840:U840)</f>
        <v>2</v>
      </c>
      <c r="W840" s="3">
        <v>2</v>
      </c>
      <c r="X840" s="3">
        <v>0</v>
      </c>
      <c r="Y840" s="3">
        <v>0</v>
      </c>
      <c r="Z840" s="3">
        <v>0</v>
      </c>
      <c r="AA840" s="3">
        <v>0</v>
      </c>
      <c r="AB840" s="3">
        <f t="shared" ref="AB840:AB888" si="198">SUM(W840:AA840)</f>
        <v>2</v>
      </c>
      <c r="AC840" s="6">
        <f t="shared" si="191"/>
        <v>-2</v>
      </c>
      <c r="AD840" s="6">
        <f t="shared" si="192"/>
        <v>0</v>
      </c>
      <c r="AE840" s="6">
        <f t="shared" si="193"/>
        <v>0</v>
      </c>
      <c r="AF840" s="6">
        <f t="shared" si="194"/>
        <v>0</v>
      </c>
      <c r="AG840" s="6">
        <f t="shared" si="195"/>
        <v>0</v>
      </c>
      <c r="AH840" s="6">
        <f t="shared" ref="AH840:AH888" si="199">AQ840-AB840</f>
        <v>-2</v>
      </c>
      <c r="AI840" s="3"/>
      <c r="AJ840" s="3" t="e">
        <f>_xlfn.XLOOKUP(K840,工作表1!A:A,工作表1!C:C)</f>
        <v>#N/A</v>
      </c>
      <c r="AK840" s="3"/>
      <c r="AL840" s="6">
        <f t="shared" ref="AL840:AL889" si="200">SUM(AR840:AV840)</f>
        <v>0</v>
      </c>
      <c r="AM840" s="6">
        <f t="shared" ref="AM840:AM889" si="201">SUM(AW840:AZ840)</f>
        <v>0</v>
      </c>
      <c r="AN840" s="6">
        <f t="shared" ref="AN840:AN889" si="202">SUM(BA840:BE840)</f>
        <v>0</v>
      </c>
      <c r="AO840" s="6">
        <f t="shared" ref="AO840:AO889" si="203">SUM(BF840:BI840)</f>
        <v>0</v>
      </c>
      <c r="AP840" s="6">
        <f t="shared" ref="AP840:AP889" si="204">SUM(BJ840:BN840)</f>
        <v>0</v>
      </c>
      <c r="AQ840" s="6">
        <f t="shared" ref="AQ840:AQ889" si="205">SUM(AL840:AP840)</f>
        <v>0</v>
      </c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  <c r="BC840" s="6"/>
      <c r="BD840" s="6"/>
      <c r="BE840" s="6"/>
      <c r="BF840" s="6"/>
      <c r="BG840" s="6"/>
      <c r="BH840" s="6"/>
      <c r="BI840" s="6"/>
      <c r="BJ840" s="6"/>
      <c r="BK840" s="6"/>
      <c r="BL840" s="6"/>
      <c r="BM840" s="6"/>
      <c r="BN840" s="6"/>
      <c r="BO840" s="6"/>
      <c r="BP840" s="3">
        <v>2</v>
      </c>
      <c r="BQ840" s="6">
        <f t="shared" si="196"/>
        <v>0</v>
      </c>
    </row>
    <row r="841" spans="1:69" x14ac:dyDescent="0.3">
      <c r="A841" s="3" t="s">
        <v>1321</v>
      </c>
      <c r="B841" s="3">
        <v>332</v>
      </c>
      <c r="C841" s="3" t="s">
        <v>1373</v>
      </c>
      <c r="D841" s="3">
        <v>8</v>
      </c>
      <c r="E841" s="3">
        <v>0.75</v>
      </c>
      <c r="F841" s="3" t="s">
        <v>752</v>
      </c>
      <c r="G841" s="3" t="s">
        <v>752</v>
      </c>
      <c r="H841" s="3" t="s">
        <v>1382</v>
      </c>
      <c r="I841" s="3"/>
      <c r="J841" s="3" t="s">
        <v>91</v>
      </c>
      <c r="K841" s="3" t="s">
        <v>1383</v>
      </c>
      <c r="L841" s="3" t="s">
        <v>24</v>
      </c>
      <c r="M841" s="3">
        <v>2</v>
      </c>
      <c r="N841" s="6"/>
      <c r="O841" s="3">
        <v>2</v>
      </c>
      <c r="P841" s="3">
        <v>2</v>
      </c>
      <c r="Q841" s="3">
        <v>2</v>
      </c>
      <c r="R841" s="3">
        <v>0</v>
      </c>
      <c r="S841" s="3">
        <v>0</v>
      </c>
      <c r="T841" s="3">
        <v>0</v>
      </c>
      <c r="U841" s="3">
        <v>0</v>
      </c>
      <c r="V841" s="3">
        <f t="shared" si="197"/>
        <v>2</v>
      </c>
      <c r="W841" s="3">
        <v>2</v>
      </c>
      <c r="X841" s="3">
        <v>0</v>
      </c>
      <c r="Y841" s="3">
        <v>0</v>
      </c>
      <c r="Z841" s="3">
        <v>0</v>
      </c>
      <c r="AA841" s="3">
        <v>0</v>
      </c>
      <c r="AB841" s="3">
        <f t="shared" si="198"/>
        <v>2</v>
      </c>
      <c r="AC841" s="6">
        <f t="shared" si="191"/>
        <v>-2</v>
      </c>
      <c r="AD841" s="6">
        <f t="shared" si="192"/>
        <v>0</v>
      </c>
      <c r="AE841" s="6">
        <f t="shared" si="193"/>
        <v>0</v>
      </c>
      <c r="AF841" s="6">
        <f t="shared" si="194"/>
        <v>0</v>
      </c>
      <c r="AG841" s="6">
        <f t="shared" si="195"/>
        <v>0</v>
      </c>
      <c r="AH841" s="6">
        <f t="shared" si="199"/>
        <v>-2</v>
      </c>
      <c r="AI841" s="3"/>
      <c r="AJ841" s="3" t="e">
        <f>_xlfn.XLOOKUP(K841,工作表1!A:A,工作表1!C:C)</f>
        <v>#N/A</v>
      </c>
      <c r="AK841" s="3"/>
      <c r="AL841" s="6">
        <f t="shared" si="200"/>
        <v>0</v>
      </c>
      <c r="AM841" s="6">
        <f t="shared" si="201"/>
        <v>0</v>
      </c>
      <c r="AN841" s="6">
        <f t="shared" si="202"/>
        <v>0</v>
      </c>
      <c r="AO841" s="6">
        <f t="shared" si="203"/>
        <v>0</v>
      </c>
      <c r="AP841" s="6">
        <f t="shared" si="204"/>
        <v>0</v>
      </c>
      <c r="AQ841" s="6">
        <f t="shared" si="205"/>
        <v>0</v>
      </c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  <c r="BC841" s="6"/>
      <c r="BD841" s="6"/>
      <c r="BE841" s="6"/>
      <c r="BF841" s="6"/>
      <c r="BG841" s="6"/>
      <c r="BH841" s="6"/>
      <c r="BI841" s="6"/>
      <c r="BJ841" s="6"/>
      <c r="BK841" s="6"/>
      <c r="BL841" s="6"/>
      <c r="BM841" s="6"/>
      <c r="BN841" s="6"/>
      <c r="BO841" s="6"/>
      <c r="BP841" s="3">
        <v>2</v>
      </c>
      <c r="BQ841" s="6">
        <f t="shared" si="196"/>
        <v>0</v>
      </c>
    </row>
    <row r="842" spans="1:69" x14ac:dyDescent="0.3">
      <c r="A842" s="3" t="s">
        <v>1321</v>
      </c>
      <c r="B842" s="3">
        <v>332</v>
      </c>
      <c r="C842" s="3" t="s">
        <v>1373</v>
      </c>
      <c r="D842" s="3">
        <v>6</v>
      </c>
      <c r="E842" s="3">
        <v>1.5</v>
      </c>
      <c r="F842" s="3" t="s">
        <v>752</v>
      </c>
      <c r="G842" s="3" t="s">
        <v>752</v>
      </c>
      <c r="H842" s="3" t="s">
        <v>1384</v>
      </c>
      <c r="I842" s="3"/>
      <c r="J842" s="3" t="s">
        <v>91</v>
      </c>
      <c r="K842" s="3" t="s">
        <v>1385</v>
      </c>
      <c r="L842" s="3" t="s">
        <v>24</v>
      </c>
      <c r="M842" s="3">
        <v>4</v>
      </c>
      <c r="N842" s="6"/>
      <c r="O842" s="3">
        <v>4</v>
      </c>
      <c r="P842" s="3">
        <v>4</v>
      </c>
      <c r="Q842" s="3">
        <v>4</v>
      </c>
      <c r="R842" s="3">
        <v>0</v>
      </c>
      <c r="S842" s="3">
        <v>0</v>
      </c>
      <c r="T842" s="3">
        <v>0</v>
      </c>
      <c r="U842" s="3">
        <v>0</v>
      </c>
      <c r="V842" s="3">
        <f t="shared" si="197"/>
        <v>4</v>
      </c>
      <c r="W842" s="3">
        <v>4</v>
      </c>
      <c r="X842" s="3">
        <v>0</v>
      </c>
      <c r="Y842" s="3">
        <v>0</v>
      </c>
      <c r="Z842" s="3">
        <v>0</v>
      </c>
      <c r="AA842" s="3">
        <v>0</v>
      </c>
      <c r="AB842" s="3">
        <f t="shared" si="198"/>
        <v>4</v>
      </c>
      <c r="AC842" s="6">
        <f t="shared" si="191"/>
        <v>-4</v>
      </c>
      <c r="AD842" s="6">
        <f t="shared" si="192"/>
        <v>0</v>
      </c>
      <c r="AE842" s="6">
        <f t="shared" si="193"/>
        <v>0</v>
      </c>
      <c r="AF842" s="6">
        <f t="shared" si="194"/>
        <v>0</v>
      </c>
      <c r="AG842" s="6">
        <f t="shared" si="195"/>
        <v>0</v>
      </c>
      <c r="AH842" s="6">
        <f t="shared" si="199"/>
        <v>-4</v>
      </c>
      <c r="AI842" s="3"/>
      <c r="AJ842" s="3" t="e">
        <f>_xlfn.XLOOKUP(K842,工作表1!A:A,工作表1!C:C)</f>
        <v>#N/A</v>
      </c>
      <c r="AK842" s="3"/>
      <c r="AL842" s="6">
        <f t="shared" si="200"/>
        <v>0</v>
      </c>
      <c r="AM842" s="6">
        <f t="shared" si="201"/>
        <v>0</v>
      </c>
      <c r="AN842" s="6">
        <f t="shared" si="202"/>
        <v>0</v>
      </c>
      <c r="AO842" s="6">
        <f t="shared" si="203"/>
        <v>0</v>
      </c>
      <c r="AP842" s="6">
        <f t="shared" si="204"/>
        <v>0</v>
      </c>
      <c r="AQ842" s="6">
        <f t="shared" si="205"/>
        <v>0</v>
      </c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  <c r="BC842" s="6"/>
      <c r="BD842" s="6"/>
      <c r="BE842" s="6"/>
      <c r="BF842" s="6"/>
      <c r="BG842" s="6"/>
      <c r="BH842" s="6"/>
      <c r="BI842" s="6"/>
      <c r="BJ842" s="6"/>
      <c r="BK842" s="6"/>
      <c r="BL842" s="6"/>
      <c r="BM842" s="6"/>
      <c r="BN842" s="6"/>
      <c r="BO842" s="6"/>
      <c r="BP842" s="3">
        <v>4</v>
      </c>
      <c r="BQ842" s="6">
        <f t="shared" si="196"/>
        <v>0</v>
      </c>
    </row>
    <row r="843" spans="1:69" x14ac:dyDescent="0.3">
      <c r="A843" s="3" t="s">
        <v>1321</v>
      </c>
      <c r="B843" s="3">
        <v>332</v>
      </c>
      <c r="C843" s="3" t="s">
        <v>1373</v>
      </c>
      <c r="D843" s="3">
        <v>6</v>
      </c>
      <c r="E843" s="3">
        <v>1</v>
      </c>
      <c r="F843" s="3" t="s">
        <v>752</v>
      </c>
      <c r="G843" s="3" t="s">
        <v>752</v>
      </c>
      <c r="H843" s="3" t="s">
        <v>1386</v>
      </c>
      <c r="I843" s="3"/>
      <c r="J843" s="3" t="s">
        <v>91</v>
      </c>
      <c r="K843" s="3" t="s">
        <v>1387</v>
      </c>
      <c r="L843" s="3" t="s">
        <v>24</v>
      </c>
      <c r="M843" s="3">
        <v>1</v>
      </c>
      <c r="N843" s="6"/>
      <c r="O843" s="3">
        <v>1</v>
      </c>
      <c r="P843" s="3">
        <v>1</v>
      </c>
      <c r="Q843" s="3">
        <v>1</v>
      </c>
      <c r="R843" s="3">
        <v>0</v>
      </c>
      <c r="S843" s="3">
        <v>0</v>
      </c>
      <c r="T843" s="3">
        <v>0</v>
      </c>
      <c r="U843" s="3">
        <v>0</v>
      </c>
      <c r="V843" s="3">
        <f t="shared" si="197"/>
        <v>1</v>
      </c>
      <c r="W843" s="3">
        <v>1</v>
      </c>
      <c r="X843" s="3">
        <v>0</v>
      </c>
      <c r="Y843" s="3">
        <v>0</v>
      </c>
      <c r="Z843" s="3">
        <v>0</v>
      </c>
      <c r="AA843" s="3">
        <v>0</v>
      </c>
      <c r="AB843" s="3">
        <f t="shared" si="198"/>
        <v>1</v>
      </c>
      <c r="AC843" s="6">
        <f t="shared" si="191"/>
        <v>-1</v>
      </c>
      <c r="AD843" s="6">
        <f t="shared" si="192"/>
        <v>0</v>
      </c>
      <c r="AE843" s="6">
        <f t="shared" si="193"/>
        <v>0</v>
      </c>
      <c r="AF843" s="6">
        <f t="shared" si="194"/>
        <v>0</v>
      </c>
      <c r="AG843" s="6">
        <f t="shared" si="195"/>
        <v>0</v>
      </c>
      <c r="AH843" s="6">
        <f t="shared" si="199"/>
        <v>-1</v>
      </c>
      <c r="AI843" s="3"/>
      <c r="AJ843" s="3" t="e">
        <f>_xlfn.XLOOKUP(K843,工作表1!A:A,工作表1!C:C)</f>
        <v>#N/A</v>
      </c>
      <c r="AK843" s="3"/>
      <c r="AL843" s="6">
        <f t="shared" si="200"/>
        <v>0</v>
      </c>
      <c r="AM843" s="6">
        <f t="shared" si="201"/>
        <v>0</v>
      </c>
      <c r="AN843" s="6">
        <f t="shared" si="202"/>
        <v>0</v>
      </c>
      <c r="AO843" s="6">
        <f t="shared" si="203"/>
        <v>0</v>
      </c>
      <c r="AP843" s="6">
        <f t="shared" si="204"/>
        <v>0</v>
      </c>
      <c r="AQ843" s="6">
        <f t="shared" si="205"/>
        <v>0</v>
      </c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  <c r="BC843" s="6"/>
      <c r="BD843" s="6"/>
      <c r="BE843" s="6"/>
      <c r="BF843" s="6"/>
      <c r="BG843" s="6"/>
      <c r="BH843" s="6"/>
      <c r="BI843" s="6"/>
      <c r="BJ843" s="6"/>
      <c r="BK843" s="6"/>
      <c r="BL843" s="6"/>
      <c r="BM843" s="6"/>
      <c r="BN843" s="6"/>
      <c r="BO843" s="6"/>
      <c r="BP843" s="3">
        <v>1</v>
      </c>
      <c r="BQ843" s="6">
        <f t="shared" si="196"/>
        <v>0</v>
      </c>
    </row>
    <row r="844" spans="1:69" x14ac:dyDescent="0.3">
      <c r="A844" s="3" t="s">
        <v>1321</v>
      </c>
      <c r="B844" s="3">
        <v>362</v>
      </c>
      <c r="C844" s="3" t="s">
        <v>1388</v>
      </c>
      <c r="D844" s="3">
        <v>2</v>
      </c>
      <c r="E844" s="3">
        <v>1</v>
      </c>
      <c r="F844" s="3" t="s">
        <v>752</v>
      </c>
      <c r="G844" s="3" t="s">
        <v>752</v>
      </c>
      <c r="H844" s="3" t="s">
        <v>1366</v>
      </c>
      <c r="I844" s="3"/>
      <c r="J844" s="3" t="s">
        <v>91</v>
      </c>
      <c r="K844" s="3" t="s">
        <v>1389</v>
      </c>
      <c r="L844" s="3" t="s">
        <v>24</v>
      </c>
      <c r="M844" s="3">
        <v>4</v>
      </c>
      <c r="N844" s="6"/>
      <c r="O844" s="3">
        <v>4</v>
      </c>
      <c r="P844" s="3">
        <v>4</v>
      </c>
      <c r="Q844" s="3">
        <v>4</v>
      </c>
      <c r="R844" s="3">
        <v>0</v>
      </c>
      <c r="S844" s="3">
        <v>0</v>
      </c>
      <c r="T844" s="3">
        <v>0</v>
      </c>
      <c r="U844" s="3">
        <v>0</v>
      </c>
      <c r="V844" s="3">
        <f t="shared" si="197"/>
        <v>4</v>
      </c>
      <c r="W844" s="3">
        <v>4</v>
      </c>
      <c r="X844" s="3">
        <v>0</v>
      </c>
      <c r="Y844" s="3">
        <v>0</v>
      </c>
      <c r="Z844" s="3">
        <v>0</v>
      </c>
      <c r="AA844" s="3">
        <v>0</v>
      </c>
      <c r="AB844" s="3">
        <f t="shared" si="198"/>
        <v>4</v>
      </c>
      <c r="AC844" s="6">
        <f t="shared" si="191"/>
        <v>-4</v>
      </c>
      <c r="AD844" s="6">
        <f t="shared" si="192"/>
        <v>0</v>
      </c>
      <c r="AE844" s="6">
        <f t="shared" si="193"/>
        <v>0</v>
      </c>
      <c r="AF844" s="6">
        <f t="shared" si="194"/>
        <v>0</v>
      </c>
      <c r="AG844" s="6">
        <f t="shared" si="195"/>
        <v>0</v>
      </c>
      <c r="AH844" s="6">
        <f t="shared" si="199"/>
        <v>-4</v>
      </c>
      <c r="AI844" s="3"/>
      <c r="AJ844" s="3" t="e">
        <f>_xlfn.XLOOKUP(K844,工作表1!A:A,工作表1!C:C)</f>
        <v>#N/A</v>
      </c>
      <c r="AK844" s="3"/>
      <c r="AL844" s="6">
        <f t="shared" si="200"/>
        <v>0</v>
      </c>
      <c r="AM844" s="6">
        <f t="shared" si="201"/>
        <v>0</v>
      </c>
      <c r="AN844" s="6">
        <f t="shared" si="202"/>
        <v>0</v>
      </c>
      <c r="AO844" s="6">
        <f t="shared" si="203"/>
        <v>0</v>
      </c>
      <c r="AP844" s="6">
        <f t="shared" si="204"/>
        <v>0</v>
      </c>
      <c r="AQ844" s="6">
        <f t="shared" si="205"/>
        <v>0</v>
      </c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  <c r="BC844" s="6"/>
      <c r="BD844" s="6"/>
      <c r="BE844" s="6"/>
      <c r="BF844" s="6"/>
      <c r="BG844" s="6"/>
      <c r="BH844" s="6"/>
      <c r="BI844" s="6"/>
      <c r="BJ844" s="6"/>
      <c r="BK844" s="6"/>
      <c r="BL844" s="6"/>
      <c r="BM844" s="6"/>
      <c r="BN844" s="6"/>
      <c r="BO844" s="6"/>
      <c r="BP844" s="3">
        <v>4</v>
      </c>
      <c r="BQ844" s="6">
        <f t="shared" si="196"/>
        <v>0</v>
      </c>
    </row>
    <row r="845" spans="1:69" x14ac:dyDescent="0.3">
      <c r="A845" s="3" t="s">
        <v>1321</v>
      </c>
      <c r="B845" s="3">
        <v>363</v>
      </c>
      <c r="C845" s="3" t="s">
        <v>1390</v>
      </c>
      <c r="D845" s="3">
        <v>14</v>
      </c>
      <c r="E845" s="3">
        <v>10</v>
      </c>
      <c r="F845" s="3" t="s">
        <v>25</v>
      </c>
      <c r="G845" s="3" t="s">
        <v>25</v>
      </c>
      <c r="H845" s="3" t="s">
        <v>1371</v>
      </c>
      <c r="I845" s="3"/>
      <c r="J845" s="3" t="s">
        <v>91</v>
      </c>
      <c r="K845" s="3" t="s">
        <v>1391</v>
      </c>
      <c r="L845" s="3" t="s">
        <v>24</v>
      </c>
      <c r="M845" s="3">
        <v>2</v>
      </c>
      <c r="N845" s="6"/>
      <c r="O845" s="3">
        <v>2</v>
      </c>
      <c r="P845" s="3">
        <v>2</v>
      </c>
      <c r="Q845" s="3">
        <v>2</v>
      </c>
      <c r="R845" s="3">
        <v>0</v>
      </c>
      <c r="S845" s="3">
        <v>0</v>
      </c>
      <c r="T845" s="3">
        <v>0</v>
      </c>
      <c r="U845" s="3">
        <v>0</v>
      </c>
      <c r="V845" s="3">
        <f t="shared" si="197"/>
        <v>2</v>
      </c>
      <c r="W845" s="3">
        <v>2</v>
      </c>
      <c r="X845" s="3">
        <v>0</v>
      </c>
      <c r="Y845" s="3">
        <v>0</v>
      </c>
      <c r="Z845" s="3">
        <v>0</v>
      </c>
      <c r="AA845" s="3">
        <v>0</v>
      </c>
      <c r="AB845" s="3">
        <f t="shared" si="198"/>
        <v>2</v>
      </c>
      <c r="AC845" s="6">
        <f t="shared" si="191"/>
        <v>-2</v>
      </c>
      <c r="AD845" s="6">
        <f t="shared" si="192"/>
        <v>0</v>
      </c>
      <c r="AE845" s="6">
        <f t="shared" si="193"/>
        <v>0</v>
      </c>
      <c r="AF845" s="6">
        <f t="shared" si="194"/>
        <v>0</v>
      </c>
      <c r="AG845" s="6">
        <f t="shared" si="195"/>
        <v>0</v>
      </c>
      <c r="AH845" s="6">
        <f t="shared" si="199"/>
        <v>-2</v>
      </c>
      <c r="AI845" s="3"/>
      <c r="AJ845" s="3" t="e">
        <f>_xlfn.XLOOKUP(K845,工作表1!A:A,工作表1!C:C)</f>
        <v>#N/A</v>
      </c>
      <c r="AK845" s="3"/>
      <c r="AL845" s="6">
        <f t="shared" si="200"/>
        <v>0</v>
      </c>
      <c r="AM845" s="6">
        <f t="shared" si="201"/>
        <v>0</v>
      </c>
      <c r="AN845" s="6">
        <f t="shared" si="202"/>
        <v>0</v>
      </c>
      <c r="AO845" s="6">
        <f t="shared" si="203"/>
        <v>0</v>
      </c>
      <c r="AP845" s="6">
        <f t="shared" si="204"/>
        <v>0</v>
      </c>
      <c r="AQ845" s="6">
        <f t="shared" si="205"/>
        <v>0</v>
      </c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  <c r="BC845" s="6"/>
      <c r="BD845" s="6"/>
      <c r="BE845" s="6"/>
      <c r="BF845" s="6"/>
      <c r="BG845" s="6"/>
      <c r="BH845" s="6"/>
      <c r="BI845" s="6"/>
      <c r="BJ845" s="6"/>
      <c r="BK845" s="6"/>
      <c r="BL845" s="6"/>
      <c r="BM845" s="6"/>
      <c r="BN845" s="6"/>
      <c r="BO845" s="6"/>
      <c r="BP845" s="3">
        <v>2</v>
      </c>
      <c r="BQ845" s="6">
        <f t="shared" si="196"/>
        <v>0</v>
      </c>
    </row>
    <row r="846" spans="1:69" x14ac:dyDescent="0.3">
      <c r="A846" s="3" t="s">
        <v>1321</v>
      </c>
      <c r="B846" s="3">
        <v>363</v>
      </c>
      <c r="C846" s="3" t="s">
        <v>1392</v>
      </c>
      <c r="D846" s="3">
        <v>2</v>
      </c>
      <c r="E846" s="3">
        <v>1.5</v>
      </c>
      <c r="F846" s="3" t="s">
        <v>752</v>
      </c>
      <c r="G846" s="3" t="s">
        <v>752</v>
      </c>
      <c r="H846" s="3" t="s">
        <v>1393</v>
      </c>
      <c r="I846" s="3"/>
      <c r="J846" s="3" t="s">
        <v>91</v>
      </c>
      <c r="K846" s="3" t="s">
        <v>1394</v>
      </c>
      <c r="L846" s="3" t="s">
        <v>24</v>
      </c>
      <c r="M846" s="3">
        <v>2</v>
      </c>
      <c r="N846" s="6"/>
      <c r="O846" s="3">
        <v>2</v>
      </c>
      <c r="P846" s="3">
        <v>2</v>
      </c>
      <c r="Q846" s="3">
        <v>2</v>
      </c>
      <c r="R846" s="3">
        <v>0</v>
      </c>
      <c r="S846" s="3">
        <v>0</v>
      </c>
      <c r="T846" s="3">
        <v>0</v>
      </c>
      <c r="U846" s="3">
        <v>0</v>
      </c>
      <c r="V846" s="3">
        <f t="shared" si="197"/>
        <v>2</v>
      </c>
      <c r="W846" s="3">
        <v>2</v>
      </c>
      <c r="X846" s="3">
        <v>0</v>
      </c>
      <c r="Y846" s="3">
        <v>0</v>
      </c>
      <c r="Z846" s="3">
        <v>0</v>
      </c>
      <c r="AA846" s="3">
        <v>0</v>
      </c>
      <c r="AB846" s="3">
        <f t="shared" si="198"/>
        <v>2</v>
      </c>
      <c r="AC846" s="6">
        <f t="shared" si="191"/>
        <v>-2</v>
      </c>
      <c r="AD846" s="6">
        <f t="shared" si="192"/>
        <v>0</v>
      </c>
      <c r="AE846" s="6">
        <f t="shared" si="193"/>
        <v>0</v>
      </c>
      <c r="AF846" s="6">
        <f t="shared" si="194"/>
        <v>0</v>
      </c>
      <c r="AG846" s="6">
        <f t="shared" si="195"/>
        <v>0</v>
      </c>
      <c r="AH846" s="6">
        <f t="shared" si="199"/>
        <v>-2</v>
      </c>
      <c r="AI846" s="3"/>
      <c r="AJ846" s="3" t="e">
        <f>_xlfn.XLOOKUP(K846,工作表1!A:A,工作表1!C:C)</f>
        <v>#N/A</v>
      </c>
      <c r="AK846" s="3"/>
      <c r="AL846" s="6">
        <f t="shared" si="200"/>
        <v>0</v>
      </c>
      <c r="AM846" s="6">
        <f t="shared" si="201"/>
        <v>0</v>
      </c>
      <c r="AN846" s="6">
        <f t="shared" si="202"/>
        <v>0</v>
      </c>
      <c r="AO846" s="6">
        <f t="shared" si="203"/>
        <v>0</v>
      </c>
      <c r="AP846" s="6">
        <f t="shared" si="204"/>
        <v>0</v>
      </c>
      <c r="AQ846" s="6">
        <f t="shared" si="205"/>
        <v>0</v>
      </c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  <c r="BC846" s="6"/>
      <c r="BD846" s="6"/>
      <c r="BE846" s="6"/>
      <c r="BF846" s="6"/>
      <c r="BG846" s="6"/>
      <c r="BH846" s="6"/>
      <c r="BI846" s="6"/>
      <c r="BJ846" s="6"/>
      <c r="BK846" s="6"/>
      <c r="BL846" s="6"/>
      <c r="BM846" s="6"/>
      <c r="BN846" s="6"/>
      <c r="BO846" s="6"/>
      <c r="BP846" s="3">
        <v>2</v>
      </c>
      <c r="BQ846" s="6">
        <f t="shared" si="196"/>
        <v>0</v>
      </c>
    </row>
    <row r="847" spans="1:69" x14ac:dyDescent="0.3">
      <c r="A847" s="3" t="s">
        <v>1321</v>
      </c>
      <c r="B847" s="3">
        <v>363</v>
      </c>
      <c r="C847" s="3" t="s">
        <v>1395</v>
      </c>
      <c r="D847" s="3">
        <v>16</v>
      </c>
      <c r="E847" s="3">
        <v>12</v>
      </c>
      <c r="F847" s="3" t="s">
        <v>25</v>
      </c>
      <c r="G847" s="3" t="s">
        <v>25</v>
      </c>
      <c r="H847" s="3" t="s">
        <v>1396</v>
      </c>
      <c r="I847" s="3"/>
      <c r="J847" s="3" t="s">
        <v>91</v>
      </c>
      <c r="K847" s="3" t="s">
        <v>1397</v>
      </c>
      <c r="L847" s="3" t="s">
        <v>24</v>
      </c>
      <c r="M847" s="3">
        <v>2</v>
      </c>
      <c r="N847" s="6"/>
      <c r="O847" s="3">
        <v>2</v>
      </c>
      <c r="P847" s="3">
        <v>2</v>
      </c>
      <c r="Q847" s="3">
        <v>2</v>
      </c>
      <c r="R847" s="3">
        <v>0</v>
      </c>
      <c r="S847" s="3">
        <v>0</v>
      </c>
      <c r="T847" s="3">
        <v>0</v>
      </c>
      <c r="U847" s="3">
        <v>0</v>
      </c>
      <c r="V847" s="3">
        <f t="shared" si="197"/>
        <v>2</v>
      </c>
      <c r="W847" s="3">
        <v>2</v>
      </c>
      <c r="X847" s="3">
        <v>0</v>
      </c>
      <c r="Y847" s="3">
        <v>0</v>
      </c>
      <c r="Z847" s="3">
        <v>0</v>
      </c>
      <c r="AA847" s="3">
        <v>0</v>
      </c>
      <c r="AB847" s="3">
        <f t="shared" si="198"/>
        <v>2</v>
      </c>
      <c r="AC847" s="6">
        <f t="shared" si="191"/>
        <v>-2</v>
      </c>
      <c r="AD847" s="6">
        <f t="shared" si="192"/>
        <v>0</v>
      </c>
      <c r="AE847" s="6">
        <f t="shared" si="193"/>
        <v>0</v>
      </c>
      <c r="AF847" s="6">
        <f t="shared" si="194"/>
        <v>0</v>
      </c>
      <c r="AG847" s="6">
        <f t="shared" si="195"/>
        <v>0</v>
      </c>
      <c r="AH847" s="6">
        <f t="shared" si="199"/>
        <v>-2</v>
      </c>
      <c r="AI847" s="3"/>
      <c r="AJ847" s="3" t="e">
        <f>_xlfn.XLOOKUP(K847,工作表1!A:A,工作表1!C:C)</f>
        <v>#N/A</v>
      </c>
      <c r="AK847" s="3"/>
      <c r="AL847" s="6">
        <f t="shared" si="200"/>
        <v>0</v>
      </c>
      <c r="AM847" s="6">
        <f t="shared" si="201"/>
        <v>0</v>
      </c>
      <c r="AN847" s="6">
        <f t="shared" si="202"/>
        <v>0</v>
      </c>
      <c r="AO847" s="6">
        <f t="shared" si="203"/>
        <v>0</v>
      </c>
      <c r="AP847" s="6">
        <f t="shared" si="204"/>
        <v>0</v>
      </c>
      <c r="AQ847" s="6">
        <f t="shared" si="205"/>
        <v>0</v>
      </c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  <c r="BC847" s="6"/>
      <c r="BD847" s="6"/>
      <c r="BE847" s="6"/>
      <c r="BF847" s="6"/>
      <c r="BG847" s="6"/>
      <c r="BH847" s="6"/>
      <c r="BI847" s="6"/>
      <c r="BJ847" s="6"/>
      <c r="BK847" s="6"/>
      <c r="BL847" s="6"/>
      <c r="BM847" s="6"/>
      <c r="BN847" s="6"/>
      <c r="BO847" s="6"/>
      <c r="BP847" s="3">
        <v>2</v>
      </c>
      <c r="BQ847" s="6">
        <f t="shared" si="196"/>
        <v>0</v>
      </c>
    </row>
    <row r="848" spans="1:69" x14ac:dyDescent="0.3">
      <c r="A848" s="3" t="s">
        <v>1321</v>
      </c>
      <c r="B848" s="3">
        <v>363</v>
      </c>
      <c r="C848" s="3" t="s">
        <v>1395</v>
      </c>
      <c r="D848" s="3">
        <v>14</v>
      </c>
      <c r="E848" s="3">
        <v>12</v>
      </c>
      <c r="F848" s="3" t="s">
        <v>25</v>
      </c>
      <c r="G848" s="3" t="s">
        <v>25</v>
      </c>
      <c r="H848" s="3" t="s">
        <v>1398</v>
      </c>
      <c r="I848" s="3"/>
      <c r="J848" s="3" t="s">
        <v>91</v>
      </c>
      <c r="K848" s="3" t="s">
        <v>1399</v>
      </c>
      <c r="L848" s="3" t="s">
        <v>24</v>
      </c>
      <c r="M848" s="3">
        <v>2</v>
      </c>
      <c r="N848" s="6"/>
      <c r="O848" s="3">
        <v>2</v>
      </c>
      <c r="P848" s="3">
        <v>2</v>
      </c>
      <c r="Q848" s="3">
        <v>2</v>
      </c>
      <c r="R848" s="3">
        <v>0</v>
      </c>
      <c r="S848" s="3">
        <v>0</v>
      </c>
      <c r="T848" s="3">
        <v>0</v>
      </c>
      <c r="U848" s="3">
        <v>0</v>
      </c>
      <c r="V848" s="3">
        <f t="shared" si="197"/>
        <v>2</v>
      </c>
      <c r="W848" s="3">
        <v>2</v>
      </c>
      <c r="X848" s="3">
        <v>0</v>
      </c>
      <c r="Y848" s="3">
        <v>0</v>
      </c>
      <c r="Z848" s="3">
        <v>0</v>
      </c>
      <c r="AA848" s="3">
        <v>0</v>
      </c>
      <c r="AB848" s="3">
        <f t="shared" si="198"/>
        <v>2</v>
      </c>
      <c r="AC848" s="6">
        <f t="shared" si="191"/>
        <v>-2</v>
      </c>
      <c r="AD848" s="6">
        <f t="shared" si="192"/>
        <v>0</v>
      </c>
      <c r="AE848" s="6">
        <f t="shared" si="193"/>
        <v>0</v>
      </c>
      <c r="AF848" s="6">
        <f t="shared" si="194"/>
        <v>0</v>
      </c>
      <c r="AG848" s="6">
        <f t="shared" si="195"/>
        <v>0</v>
      </c>
      <c r="AH848" s="6">
        <f t="shared" si="199"/>
        <v>-2</v>
      </c>
      <c r="AI848" s="3"/>
      <c r="AJ848" s="3" t="e">
        <f>_xlfn.XLOOKUP(K848,工作表1!A:A,工作表1!C:C)</f>
        <v>#N/A</v>
      </c>
      <c r="AK848" s="3"/>
      <c r="AL848" s="6">
        <f t="shared" si="200"/>
        <v>0</v>
      </c>
      <c r="AM848" s="6">
        <f t="shared" si="201"/>
        <v>0</v>
      </c>
      <c r="AN848" s="6">
        <f t="shared" si="202"/>
        <v>0</v>
      </c>
      <c r="AO848" s="6">
        <f t="shared" si="203"/>
        <v>0</v>
      </c>
      <c r="AP848" s="6">
        <f t="shared" si="204"/>
        <v>0</v>
      </c>
      <c r="AQ848" s="6">
        <f t="shared" si="205"/>
        <v>0</v>
      </c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  <c r="BC848" s="6"/>
      <c r="BD848" s="6"/>
      <c r="BE848" s="6"/>
      <c r="BF848" s="6"/>
      <c r="BG848" s="6"/>
      <c r="BH848" s="6"/>
      <c r="BI848" s="6"/>
      <c r="BJ848" s="6"/>
      <c r="BK848" s="6"/>
      <c r="BL848" s="6"/>
      <c r="BM848" s="6"/>
      <c r="BN848" s="6"/>
      <c r="BO848" s="6"/>
      <c r="BP848" s="3">
        <v>2</v>
      </c>
      <c r="BQ848" s="6">
        <f t="shared" si="196"/>
        <v>0</v>
      </c>
    </row>
    <row r="849" spans="1:69" x14ac:dyDescent="0.3">
      <c r="A849" s="3" t="s">
        <v>1321</v>
      </c>
      <c r="B849" s="3">
        <v>363</v>
      </c>
      <c r="C849" s="3" t="s">
        <v>1395</v>
      </c>
      <c r="D849" s="3">
        <v>12</v>
      </c>
      <c r="E849" s="3">
        <v>8</v>
      </c>
      <c r="F849" s="3" t="s">
        <v>25</v>
      </c>
      <c r="G849" s="3" t="s">
        <v>752</v>
      </c>
      <c r="H849" s="3" t="s">
        <v>1400</v>
      </c>
      <c r="I849" s="3"/>
      <c r="J849" s="3" t="s">
        <v>91</v>
      </c>
      <c r="K849" s="3" t="s">
        <v>1401</v>
      </c>
      <c r="L849" s="3" t="s">
        <v>24</v>
      </c>
      <c r="M849" s="3">
        <v>2</v>
      </c>
      <c r="N849" s="6"/>
      <c r="O849" s="3">
        <v>2</v>
      </c>
      <c r="P849" s="3">
        <v>2</v>
      </c>
      <c r="Q849" s="3">
        <v>2</v>
      </c>
      <c r="R849" s="3">
        <v>0</v>
      </c>
      <c r="S849" s="3">
        <v>0</v>
      </c>
      <c r="T849" s="3">
        <v>0</v>
      </c>
      <c r="U849" s="3">
        <v>0</v>
      </c>
      <c r="V849" s="3">
        <f t="shared" si="197"/>
        <v>2</v>
      </c>
      <c r="W849" s="3">
        <v>2</v>
      </c>
      <c r="X849" s="3">
        <v>0</v>
      </c>
      <c r="Y849" s="3">
        <v>0</v>
      </c>
      <c r="Z849" s="3">
        <v>0</v>
      </c>
      <c r="AA849" s="3">
        <v>0</v>
      </c>
      <c r="AB849" s="3">
        <f t="shared" si="198"/>
        <v>2</v>
      </c>
      <c r="AC849" s="6">
        <f t="shared" si="191"/>
        <v>-2</v>
      </c>
      <c r="AD849" s="6">
        <f t="shared" si="192"/>
        <v>0</v>
      </c>
      <c r="AE849" s="6">
        <f t="shared" si="193"/>
        <v>0</v>
      </c>
      <c r="AF849" s="6">
        <f t="shared" si="194"/>
        <v>0</v>
      </c>
      <c r="AG849" s="6">
        <f t="shared" si="195"/>
        <v>0</v>
      </c>
      <c r="AH849" s="6">
        <f t="shared" si="199"/>
        <v>-2</v>
      </c>
      <c r="AI849" s="3"/>
      <c r="AJ849" s="3" t="e">
        <f>_xlfn.XLOOKUP(K849,工作表1!A:A,工作表1!C:C)</f>
        <v>#N/A</v>
      </c>
      <c r="AK849" s="3"/>
      <c r="AL849" s="6">
        <f t="shared" si="200"/>
        <v>0</v>
      </c>
      <c r="AM849" s="6">
        <f t="shared" si="201"/>
        <v>0</v>
      </c>
      <c r="AN849" s="6">
        <f t="shared" si="202"/>
        <v>0</v>
      </c>
      <c r="AO849" s="6">
        <f t="shared" si="203"/>
        <v>0</v>
      </c>
      <c r="AP849" s="6">
        <f t="shared" si="204"/>
        <v>0</v>
      </c>
      <c r="AQ849" s="6">
        <f t="shared" si="205"/>
        <v>0</v>
      </c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  <c r="BC849" s="6"/>
      <c r="BD849" s="6"/>
      <c r="BE849" s="6"/>
      <c r="BF849" s="6"/>
      <c r="BG849" s="6"/>
      <c r="BH849" s="6"/>
      <c r="BI849" s="6"/>
      <c r="BJ849" s="6"/>
      <c r="BK849" s="6"/>
      <c r="BL849" s="6"/>
      <c r="BM849" s="6"/>
      <c r="BN849" s="6"/>
      <c r="BO849" s="6"/>
      <c r="BP849" s="3">
        <v>2</v>
      </c>
      <c r="BQ849" s="6">
        <f t="shared" si="196"/>
        <v>0</v>
      </c>
    </row>
    <row r="850" spans="1:69" x14ac:dyDescent="0.3">
      <c r="A850" s="3" t="s">
        <v>1321</v>
      </c>
      <c r="B850" s="3">
        <v>363</v>
      </c>
      <c r="C850" s="3" t="s">
        <v>1395</v>
      </c>
      <c r="D850" s="3">
        <v>12</v>
      </c>
      <c r="E850" s="3">
        <v>10</v>
      </c>
      <c r="F850" s="3" t="s">
        <v>25</v>
      </c>
      <c r="G850" s="3" t="s">
        <v>25</v>
      </c>
      <c r="H850" s="3" t="s">
        <v>1402</v>
      </c>
      <c r="I850" s="3"/>
      <c r="J850" s="3" t="s">
        <v>91</v>
      </c>
      <c r="K850" s="3" t="s">
        <v>1403</v>
      </c>
      <c r="L850" s="3" t="s">
        <v>24</v>
      </c>
      <c r="M850" s="3">
        <v>2</v>
      </c>
      <c r="N850" s="6"/>
      <c r="O850" s="3">
        <v>2</v>
      </c>
      <c r="P850" s="3">
        <v>2</v>
      </c>
      <c r="Q850" s="3">
        <v>2</v>
      </c>
      <c r="R850" s="3">
        <v>0</v>
      </c>
      <c r="S850" s="3">
        <v>0</v>
      </c>
      <c r="T850" s="3">
        <v>0</v>
      </c>
      <c r="U850" s="3">
        <v>0</v>
      </c>
      <c r="V850" s="3">
        <f t="shared" si="197"/>
        <v>2</v>
      </c>
      <c r="W850" s="3">
        <v>2</v>
      </c>
      <c r="X850" s="3">
        <v>0</v>
      </c>
      <c r="Y850" s="3">
        <v>0</v>
      </c>
      <c r="Z850" s="3">
        <v>0</v>
      </c>
      <c r="AA850" s="3">
        <v>0</v>
      </c>
      <c r="AB850" s="3">
        <f t="shared" si="198"/>
        <v>2</v>
      </c>
      <c r="AC850" s="6">
        <f t="shared" si="191"/>
        <v>-2</v>
      </c>
      <c r="AD850" s="6">
        <f t="shared" si="192"/>
        <v>0</v>
      </c>
      <c r="AE850" s="6">
        <f t="shared" si="193"/>
        <v>0</v>
      </c>
      <c r="AF850" s="6">
        <f t="shared" si="194"/>
        <v>0</v>
      </c>
      <c r="AG850" s="6">
        <f t="shared" si="195"/>
        <v>0</v>
      </c>
      <c r="AH850" s="6">
        <f t="shared" si="199"/>
        <v>-2</v>
      </c>
      <c r="AI850" s="3"/>
      <c r="AJ850" s="3" t="e">
        <f>_xlfn.XLOOKUP(K850,工作表1!A:A,工作表1!C:C)</f>
        <v>#N/A</v>
      </c>
      <c r="AK850" s="3"/>
      <c r="AL850" s="6">
        <f t="shared" si="200"/>
        <v>0</v>
      </c>
      <c r="AM850" s="6">
        <f t="shared" si="201"/>
        <v>0</v>
      </c>
      <c r="AN850" s="6">
        <f t="shared" si="202"/>
        <v>0</v>
      </c>
      <c r="AO850" s="6">
        <f t="shared" si="203"/>
        <v>0</v>
      </c>
      <c r="AP850" s="6">
        <f t="shared" si="204"/>
        <v>0</v>
      </c>
      <c r="AQ850" s="6">
        <f t="shared" si="205"/>
        <v>0</v>
      </c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  <c r="BC850" s="6"/>
      <c r="BD850" s="6"/>
      <c r="BE850" s="6"/>
      <c r="BF850" s="6"/>
      <c r="BG850" s="6"/>
      <c r="BH850" s="6"/>
      <c r="BI850" s="6"/>
      <c r="BJ850" s="6"/>
      <c r="BK850" s="6"/>
      <c r="BL850" s="6"/>
      <c r="BM850" s="6"/>
      <c r="BN850" s="6"/>
      <c r="BO850" s="6"/>
      <c r="BP850" s="3">
        <v>2</v>
      </c>
      <c r="BQ850" s="6">
        <f t="shared" si="196"/>
        <v>0</v>
      </c>
    </row>
    <row r="851" spans="1:69" x14ac:dyDescent="0.3">
      <c r="A851" s="3" t="s">
        <v>1321</v>
      </c>
      <c r="B851" s="3">
        <v>363</v>
      </c>
      <c r="C851" s="3" t="s">
        <v>1395</v>
      </c>
      <c r="D851" s="3">
        <v>10</v>
      </c>
      <c r="E851" s="3">
        <v>6</v>
      </c>
      <c r="F851" s="3" t="s">
        <v>25</v>
      </c>
      <c r="G851" s="3" t="s">
        <v>752</v>
      </c>
      <c r="H851" s="3" t="s">
        <v>1404</v>
      </c>
      <c r="I851" s="3"/>
      <c r="J851" s="3" t="s">
        <v>91</v>
      </c>
      <c r="K851" s="3" t="s">
        <v>1405</v>
      </c>
      <c r="L851" s="3" t="s">
        <v>24</v>
      </c>
      <c r="M851" s="3">
        <v>4</v>
      </c>
      <c r="N851" s="6"/>
      <c r="O851" s="3">
        <v>4</v>
      </c>
      <c r="P851" s="3">
        <v>4</v>
      </c>
      <c r="Q851" s="3">
        <v>4</v>
      </c>
      <c r="R851" s="3">
        <v>0</v>
      </c>
      <c r="S851" s="3">
        <v>0</v>
      </c>
      <c r="T851" s="3">
        <v>0</v>
      </c>
      <c r="U851" s="3">
        <v>0</v>
      </c>
      <c r="V851" s="3">
        <f t="shared" si="197"/>
        <v>4</v>
      </c>
      <c r="W851" s="3">
        <v>4</v>
      </c>
      <c r="X851" s="3">
        <v>0</v>
      </c>
      <c r="Y851" s="3">
        <v>0</v>
      </c>
      <c r="Z851" s="3">
        <v>0</v>
      </c>
      <c r="AA851" s="3">
        <v>0</v>
      </c>
      <c r="AB851" s="3">
        <f t="shared" si="198"/>
        <v>4</v>
      </c>
      <c r="AC851" s="6">
        <f t="shared" si="191"/>
        <v>-4</v>
      </c>
      <c r="AD851" s="6">
        <f t="shared" si="192"/>
        <v>0</v>
      </c>
      <c r="AE851" s="6">
        <f t="shared" si="193"/>
        <v>0</v>
      </c>
      <c r="AF851" s="6">
        <f t="shared" si="194"/>
        <v>0</v>
      </c>
      <c r="AG851" s="6">
        <f t="shared" si="195"/>
        <v>0</v>
      </c>
      <c r="AH851" s="6">
        <f t="shared" si="199"/>
        <v>-4</v>
      </c>
      <c r="AI851" s="3"/>
      <c r="AJ851" s="3" t="e">
        <f>_xlfn.XLOOKUP(K851,工作表1!A:A,工作表1!C:C)</f>
        <v>#N/A</v>
      </c>
      <c r="AK851" s="3"/>
      <c r="AL851" s="6">
        <f t="shared" si="200"/>
        <v>0</v>
      </c>
      <c r="AM851" s="6">
        <f t="shared" si="201"/>
        <v>0</v>
      </c>
      <c r="AN851" s="6">
        <f t="shared" si="202"/>
        <v>0</v>
      </c>
      <c r="AO851" s="6">
        <f t="shared" si="203"/>
        <v>0</v>
      </c>
      <c r="AP851" s="6">
        <f t="shared" si="204"/>
        <v>0</v>
      </c>
      <c r="AQ851" s="6">
        <f t="shared" si="205"/>
        <v>0</v>
      </c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  <c r="BC851" s="6"/>
      <c r="BD851" s="6"/>
      <c r="BE851" s="6"/>
      <c r="BF851" s="6"/>
      <c r="BG851" s="6"/>
      <c r="BH851" s="6"/>
      <c r="BI851" s="6"/>
      <c r="BJ851" s="6"/>
      <c r="BK851" s="6"/>
      <c r="BL851" s="6"/>
      <c r="BM851" s="6"/>
      <c r="BN851" s="6"/>
      <c r="BO851" s="6"/>
      <c r="BP851" s="3">
        <v>4</v>
      </c>
      <c r="BQ851" s="6">
        <f t="shared" si="196"/>
        <v>0</v>
      </c>
    </row>
    <row r="852" spans="1:69" x14ac:dyDescent="0.3">
      <c r="A852" s="3" t="s">
        <v>1321</v>
      </c>
      <c r="B852" s="3">
        <v>363</v>
      </c>
      <c r="C852" s="3" t="s">
        <v>1395</v>
      </c>
      <c r="D852" s="3">
        <v>8</v>
      </c>
      <c r="E852" s="3">
        <v>6</v>
      </c>
      <c r="F852" s="3" t="s">
        <v>752</v>
      </c>
      <c r="G852" s="3" t="s">
        <v>752</v>
      </c>
      <c r="H852" s="3" t="s">
        <v>1406</v>
      </c>
      <c r="I852" s="3"/>
      <c r="J852" s="3" t="s">
        <v>91</v>
      </c>
      <c r="K852" s="3" t="s">
        <v>1407</v>
      </c>
      <c r="L852" s="3" t="s">
        <v>24</v>
      </c>
      <c r="M852" s="3">
        <v>4</v>
      </c>
      <c r="N852" s="6"/>
      <c r="O852" s="3">
        <v>4</v>
      </c>
      <c r="P852" s="3">
        <v>4</v>
      </c>
      <c r="Q852" s="3">
        <v>4</v>
      </c>
      <c r="R852" s="3">
        <v>0</v>
      </c>
      <c r="S852" s="3">
        <v>0</v>
      </c>
      <c r="T852" s="3">
        <v>0</v>
      </c>
      <c r="U852" s="3">
        <v>0</v>
      </c>
      <c r="V852" s="3">
        <f t="shared" si="197"/>
        <v>4</v>
      </c>
      <c r="W852" s="3">
        <v>4</v>
      </c>
      <c r="X852" s="3">
        <v>0</v>
      </c>
      <c r="Y852" s="3">
        <v>0</v>
      </c>
      <c r="Z852" s="3">
        <v>0</v>
      </c>
      <c r="AA852" s="3">
        <v>0</v>
      </c>
      <c r="AB852" s="3">
        <f t="shared" si="198"/>
        <v>4</v>
      </c>
      <c r="AC852" s="6">
        <f t="shared" si="191"/>
        <v>-4</v>
      </c>
      <c r="AD852" s="6">
        <f t="shared" si="192"/>
        <v>0</v>
      </c>
      <c r="AE852" s="6">
        <f t="shared" si="193"/>
        <v>0</v>
      </c>
      <c r="AF852" s="6">
        <f t="shared" si="194"/>
        <v>0</v>
      </c>
      <c r="AG852" s="6">
        <f t="shared" si="195"/>
        <v>0</v>
      </c>
      <c r="AH852" s="6">
        <f t="shared" si="199"/>
        <v>-4</v>
      </c>
      <c r="AI852" s="3"/>
      <c r="AJ852" s="3" t="e">
        <f>_xlfn.XLOOKUP(K852,工作表1!A:A,工作表1!C:C)</f>
        <v>#N/A</v>
      </c>
      <c r="AK852" s="3"/>
      <c r="AL852" s="6">
        <f t="shared" si="200"/>
        <v>0</v>
      </c>
      <c r="AM852" s="6">
        <f t="shared" si="201"/>
        <v>0</v>
      </c>
      <c r="AN852" s="6">
        <f t="shared" si="202"/>
        <v>0</v>
      </c>
      <c r="AO852" s="6">
        <f t="shared" si="203"/>
        <v>0</v>
      </c>
      <c r="AP852" s="6">
        <f t="shared" si="204"/>
        <v>0</v>
      </c>
      <c r="AQ852" s="6">
        <f t="shared" si="205"/>
        <v>0</v>
      </c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  <c r="BC852" s="6"/>
      <c r="BD852" s="6"/>
      <c r="BE852" s="6"/>
      <c r="BF852" s="6"/>
      <c r="BG852" s="6"/>
      <c r="BH852" s="6"/>
      <c r="BI852" s="6"/>
      <c r="BJ852" s="6"/>
      <c r="BK852" s="6"/>
      <c r="BL852" s="6"/>
      <c r="BM852" s="6"/>
      <c r="BN852" s="6"/>
      <c r="BO852" s="6"/>
      <c r="BP852" s="3">
        <v>4</v>
      </c>
      <c r="BQ852" s="6">
        <f t="shared" si="196"/>
        <v>0</v>
      </c>
    </row>
    <row r="853" spans="1:69" x14ac:dyDescent="0.3">
      <c r="A853" s="3" t="s">
        <v>1321</v>
      </c>
      <c r="B853" s="3">
        <v>372</v>
      </c>
      <c r="C853" s="3" t="s">
        <v>1408</v>
      </c>
      <c r="D853" s="3">
        <v>16</v>
      </c>
      <c r="E853" s="3" t="s">
        <v>19</v>
      </c>
      <c r="F853" s="3" t="s">
        <v>25</v>
      </c>
      <c r="G853" s="3" t="s">
        <v>19</v>
      </c>
      <c r="H853" s="3" t="s">
        <v>1328</v>
      </c>
      <c r="I853" s="3">
        <v>21.44</v>
      </c>
      <c r="J853" s="3" t="s">
        <v>91</v>
      </c>
      <c r="K853" s="3" t="s">
        <v>1409</v>
      </c>
      <c r="L853" s="3" t="s">
        <v>24</v>
      </c>
      <c r="M853" s="3">
        <v>2</v>
      </c>
      <c r="N853" s="6"/>
      <c r="O853" s="3">
        <v>2</v>
      </c>
      <c r="P853" s="3">
        <v>2</v>
      </c>
      <c r="Q853" s="3">
        <v>2</v>
      </c>
      <c r="R853" s="3">
        <v>0</v>
      </c>
      <c r="S853" s="3">
        <v>0</v>
      </c>
      <c r="T853" s="3">
        <v>0</v>
      </c>
      <c r="U853" s="3">
        <v>0</v>
      </c>
      <c r="V853" s="3">
        <f t="shared" si="197"/>
        <v>2</v>
      </c>
      <c r="W853" s="3">
        <v>2</v>
      </c>
      <c r="X853" s="3">
        <v>0</v>
      </c>
      <c r="Y853" s="3">
        <v>0</v>
      </c>
      <c r="Z853" s="3">
        <v>0</v>
      </c>
      <c r="AA853" s="3">
        <v>0</v>
      </c>
      <c r="AB853" s="3">
        <f t="shared" si="198"/>
        <v>2</v>
      </c>
      <c r="AC853" s="6">
        <f t="shared" si="191"/>
        <v>-2</v>
      </c>
      <c r="AD853" s="6">
        <f t="shared" si="192"/>
        <v>0</v>
      </c>
      <c r="AE853" s="6">
        <f t="shared" si="193"/>
        <v>0</v>
      </c>
      <c r="AF853" s="6">
        <f t="shared" si="194"/>
        <v>0</v>
      </c>
      <c r="AG853" s="6">
        <f t="shared" si="195"/>
        <v>0</v>
      </c>
      <c r="AH853" s="6">
        <f t="shared" si="199"/>
        <v>-2</v>
      </c>
      <c r="AI853" s="3"/>
      <c r="AJ853" s="3" t="e">
        <f>_xlfn.XLOOKUP(K853,工作表1!A:A,工作表1!C:C)</f>
        <v>#N/A</v>
      </c>
      <c r="AK853" s="3"/>
      <c r="AL853" s="6">
        <f t="shared" si="200"/>
        <v>0</v>
      </c>
      <c r="AM853" s="6">
        <f t="shared" si="201"/>
        <v>0</v>
      </c>
      <c r="AN853" s="6">
        <f t="shared" si="202"/>
        <v>0</v>
      </c>
      <c r="AO853" s="6">
        <f t="shared" si="203"/>
        <v>0</v>
      </c>
      <c r="AP853" s="6">
        <f t="shared" si="204"/>
        <v>0</v>
      </c>
      <c r="AQ853" s="6">
        <f t="shared" si="205"/>
        <v>0</v>
      </c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  <c r="BC853" s="6"/>
      <c r="BD853" s="6"/>
      <c r="BE853" s="6"/>
      <c r="BF853" s="6"/>
      <c r="BG853" s="6"/>
      <c r="BH853" s="6"/>
      <c r="BI853" s="6"/>
      <c r="BJ853" s="6"/>
      <c r="BK853" s="6"/>
      <c r="BL853" s="6"/>
      <c r="BM853" s="6"/>
      <c r="BN853" s="6"/>
      <c r="BO853" s="6"/>
      <c r="BP853" s="3">
        <v>2</v>
      </c>
      <c r="BQ853" s="6">
        <f t="shared" si="196"/>
        <v>0</v>
      </c>
    </row>
    <row r="854" spans="1:69" x14ac:dyDescent="0.3">
      <c r="A854" s="3" t="s">
        <v>1321</v>
      </c>
      <c r="B854" s="3">
        <v>411</v>
      </c>
      <c r="C854" s="3" t="s">
        <v>1410</v>
      </c>
      <c r="D854" s="3">
        <v>10</v>
      </c>
      <c r="E854" s="3" t="s">
        <v>19</v>
      </c>
      <c r="F854" s="3" t="s">
        <v>19</v>
      </c>
      <c r="G854" s="3" t="s">
        <v>19</v>
      </c>
      <c r="H854" s="3" t="s">
        <v>333</v>
      </c>
      <c r="I854" s="3"/>
      <c r="J854" s="3" t="s">
        <v>91</v>
      </c>
      <c r="K854" s="3" t="s">
        <v>1411</v>
      </c>
      <c r="L854" s="3" t="s">
        <v>335</v>
      </c>
      <c r="M854" s="3">
        <v>2</v>
      </c>
      <c r="N854" s="6"/>
      <c r="O854" s="3">
        <v>2</v>
      </c>
      <c r="P854" s="3">
        <v>2</v>
      </c>
      <c r="Q854" s="3">
        <v>2</v>
      </c>
      <c r="R854" s="3">
        <v>0</v>
      </c>
      <c r="S854" s="3">
        <v>0</v>
      </c>
      <c r="T854" s="3">
        <v>0</v>
      </c>
      <c r="U854" s="3">
        <v>0</v>
      </c>
      <c r="V854" s="3">
        <f t="shared" si="197"/>
        <v>2</v>
      </c>
      <c r="W854" s="3">
        <v>2</v>
      </c>
      <c r="X854" s="3">
        <v>0</v>
      </c>
      <c r="Y854" s="3">
        <v>0</v>
      </c>
      <c r="Z854" s="3">
        <v>0</v>
      </c>
      <c r="AA854" s="3">
        <v>0</v>
      </c>
      <c r="AB854" s="3">
        <f t="shared" si="198"/>
        <v>2</v>
      </c>
      <c r="AC854" s="6">
        <f t="shared" si="191"/>
        <v>-2</v>
      </c>
      <c r="AD854" s="6">
        <f t="shared" si="192"/>
        <v>0</v>
      </c>
      <c r="AE854" s="6">
        <f t="shared" si="193"/>
        <v>0</v>
      </c>
      <c r="AF854" s="6">
        <f t="shared" si="194"/>
        <v>0</v>
      </c>
      <c r="AG854" s="6">
        <f t="shared" si="195"/>
        <v>0</v>
      </c>
      <c r="AH854" s="6">
        <f t="shared" si="199"/>
        <v>-2</v>
      </c>
      <c r="AI854" s="3"/>
      <c r="AJ854" s="3" t="e">
        <f>_xlfn.XLOOKUP(K854,工作表1!A:A,工作表1!C:C)</f>
        <v>#N/A</v>
      </c>
      <c r="AK854" s="3"/>
      <c r="AL854" s="6">
        <f t="shared" si="200"/>
        <v>0</v>
      </c>
      <c r="AM854" s="6">
        <f t="shared" si="201"/>
        <v>0</v>
      </c>
      <c r="AN854" s="6">
        <f t="shared" si="202"/>
        <v>0</v>
      </c>
      <c r="AO854" s="6">
        <f t="shared" si="203"/>
        <v>0</v>
      </c>
      <c r="AP854" s="6">
        <f t="shared" si="204"/>
        <v>0</v>
      </c>
      <c r="AQ854" s="6">
        <f t="shared" si="205"/>
        <v>0</v>
      </c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  <c r="BC854" s="6"/>
      <c r="BD854" s="6"/>
      <c r="BE854" s="6"/>
      <c r="BF854" s="6"/>
      <c r="BG854" s="6"/>
      <c r="BH854" s="6"/>
      <c r="BI854" s="6"/>
      <c r="BJ854" s="6"/>
      <c r="BK854" s="6"/>
      <c r="BL854" s="6"/>
      <c r="BM854" s="6"/>
      <c r="BN854" s="6"/>
      <c r="BO854" s="6"/>
      <c r="BP854" s="3">
        <v>2</v>
      </c>
      <c r="BQ854" s="6">
        <f t="shared" si="196"/>
        <v>0</v>
      </c>
    </row>
    <row r="855" spans="1:69" x14ac:dyDescent="0.3">
      <c r="A855" s="3" t="s">
        <v>1321</v>
      </c>
      <c r="B855" s="3">
        <v>411</v>
      </c>
      <c r="C855" s="3" t="s">
        <v>1410</v>
      </c>
      <c r="D855" s="3">
        <v>6</v>
      </c>
      <c r="E855" s="3" t="s">
        <v>19</v>
      </c>
      <c r="F855" s="3" t="s">
        <v>19</v>
      </c>
      <c r="G855" s="3" t="s">
        <v>19</v>
      </c>
      <c r="H855" s="3" t="s">
        <v>443</v>
      </c>
      <c r="I855" s="3"/>
      <c r="J855" s="3" t="s">
        <v>91</v>
      </c>
      <c r="K855" s="3" t="s">
        <v>1412</v>
      </c>
      <c r="L855" s="3" t="s">
        <v>335</v>
      </c>
      <c r="M855" s="3">
        <v>4</v>
      </c>
      <c r="N855" s="6"/>
      <c r="O855" s="3">
        <v>4</v>
      </c>
      <c r="P855" s="3">
        <v>4</v>
      </c>
      <c r="Q855" s="3">
        <v>4</v>
      </c>
      <c r="R855" s="3">
        <v>0</v>
      </c>
      <c r="S855" s="3">
        <v>0</v>
      </c>
      <c r="T855" s="3">
        <v>0</v>
      </c>
      <c r="U855" s="3">
        <v>0</v>
      </c>
      <c r="V855" s="3">
        <f t="shared" si="197"/>
        <v>4</v>
      </c>
      <c r="W855" s="3">
        <v>4</v>
      </c>
      <c r="X855" s="3">
        <v>0</v>
      </c>
      <c r="Y855" s="3">
        <v>0</v>
      </c>
      <c r="Z855" s="3">
        <v>0</v>
      </c>
      <c r="AA855" s="3">
        <v>0</v>
      </c>
      <c r="AB855" s="3">
        <f t="shared" si="198"/>
        <v>4</v>
      </c>
      <c r="AC855" s="6">
        <f t="shared" ref="AC855:AC889" si="206">AL855-W855</f>
        <v>-4</v>
      </c>
      <c r="AD855" s="6">
        <f t="shared" ref="AD855:AD889" si="207">AM855-X855</f>
        <v>0</v>
      </c>
      <c r="AE855" s="6">
        <f t="shared" ref="AE855:AE889" si="208">AN855-Y855</f>
        <v>0</v>
      </c>
      <c r="AF855" s="6">
        <f t="shared" ref="AF855:AF889" si="209">AO855-Z855</f>
        <v>0</v>
      </c>
      <c r="AG855" s="6">
        <f t="shared" ref="AG855:AG889" si="210">AP855-AA855</f>
        <v>0</v>
      </c>
      <c r="AH855" s="6">
        <f t="shared" si="199"/>
        <v>-4</v>
      </c>
      <c r="AI855" s="3"/>
      <c r="AJ855" s="3" t="e">
        <f>_xlfn.XLOOKUP(K855,工作表1!A:A,工作表1!C:C)</f>
        <v>#N/A</v>
      </c>
      <c r="AK855" s="3"/>
      <c r="AL855" s="6">
        <f t="shared" si="200"/>
        <v>0</v>
      </c>
      <c r="AM855" s="6">
        <f t="shared" si="201"/>
        <v>0</v>
      </c>
      <c r="AN855" s="6">
        <f t="shared" si="202"/>
        <v>0</v>
      </c>
      <c r="AO855" s="6">
        <f t="shared" si="203"/>
        <v>0</v>
      </c>
      <c r="AP855" s="6">
        <f t="shared" si="204"/>
        <v>0</v>
      </c>
      <c r="AQ855" s="6">
        <f t="shared" si="205"/>
        <v>0</v>
      </c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  <c r="BC855" s="6"/>
      <c r="BD855" s="6"/>
      <c r="BE855" s="6"/>
      <c r="BF855" s="6"/>
      <c r="BG855" s="6"/>
      <c r="BH855" s="6"/>
      <c r="BI855" s="6"/>
      <c r="BJ855" s="6"/>
      <c r="BK855" s="6"/>
      <c r="BL855" s="6"/>
      <c r="BM855" s="6"/>
      <c r="BN855" s="6"/>
      <c r="BO855" s="6"/>
      <c r="BP855" s="3">
        <v>4</v>
      </c>
      <c r="BQ855" s="6">
        <f t="shared" si="196"/>
        <v>0</v>
      </c>
    </row>
    <row r="856" spans="1:69" x14ac:dyDescent="0.3">
      <c r="A856" s="3" t="s">
        <v>1321</v>
      </c>
      <c r="B856" s="3">
        <v>411</v>
      </c>
      <c r="C856" s="3" t="s">
        <v>1410</v>
      </c>
      <c r="D856" s="3">
        <v>1</v>
      </c>
      <c r="E856" s="3" t="s">
        <v>19</v>
      </c>
      <c r="F856" s="3" t="s">
        <v>19</v>
      </c>
      <c r="G856" s="3" t="s">
        <v>19</v>
      </c>
      <c r="H856" s="3" t="s">
        <v>101</v>
      </c>
      <c r="I856" s="3"/>
      <c r="J856" s="3" t="s">
        <v>91</v>
      </c>
      <c r="K856" s="3" t="s">
        <v>1413</v>
      </c>
      <c r="L856" s="3" t="s">
        <v>335</v>
      </c>
      <c r="M856" s="3">
        <v>4</v>
      </c>
      <c r="N856" s="6"/>
      <c r="O856" s="3">
        <v>4</v>
      </c>
      <c r="P856" s="3">
        <v>4</v>
      </c>
      <c r="Q856" s="3">
        <v>4</v>
      </c>
      <c r="R856" s="3">
        <v>0</v>
      </c>
      <c r="S856" s="3">
        <v>0</v>
      </c>
      <c r="T856" s="3">
        <v>0</v>
      </c>
      <c r="U856" s="3">
        <v>0</v>
      </c>
      <c r="V856" s="3">
        <f t="shared" si="197"/>
        <v>4</v>
      </c>
      <c r="W856" s="3">
        <v>4</v>
      </c>
      <c r="X856" s="3">
        <v>0</v>
      </c>
      <c r="Y856" s="3">
        <v>0</v>
      </c>
      <c r="Z856" s="3">
        <v>0</v>
      </c>
      <c r="AA856" s="3">
        <v>0</v>
      </c>
      <c r="AB856" s="3">
        <f t="shared" si="198"/>
        <v>4</v>
      </c>
      <c r="AC856" s="6">
        <f t="shared" si="206"/>
        <v>-4</v>
      </c>
      <c r="AD856" s="6">
        <f t="shared" si="207"/>
        <v>0</v>
      </c>
      <c r="AE856" s="6">
        <f t="shared" si="208"/>
        <v>0</v>
      </c>
      <c r="AF856" s="6">
        <f t="shared" si="209"/>
        <v>0</v>
      </c>
      <c r="AG856" s="6">
        <f t="shared" si="210"/>
        <v>0</v>
      </c>
      <c r="AH856" s="6">
        <f t="shared" si="199"/>
        <v>-4</v>
      </c>
      <c r="AI856" s="3"/>
      <c r="AJ856" s="3" t="e">
        <f>_xlfn.XLOOKUP(K856,工作表1!A:A,工作表1!C:C)</f>
        <v>#N/A</v>
      </c>
      <c r="AK856" s="3"/>
      <c r="AL856" s="6">
        <f t="shared" si="200"/>
        <v>0</v>
      </c>
      <c r="AM856" s="6">
        <f t="shared" si="201"/>
        <v>0</v>
      </c>
      <c r="AN856" s="6">
        <f t="shared" si="202"/>
        <v>0</v>
      </c>
      <c r="AO856" s="6">
        <f t="shared" si="203"/>
        <v>0</v>
      </c>
      <c r="AP856" s="6">
        <f t="shared" si="204"/>
        <v>0</v>
      </c>
      <c r="AQ856" s="6">
        <f t="shared" si="205"/>
        <v>0</v>
      </c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  <c r="BC856" s="6"/>
      <c r="BD856" s="6"/>
      <c r="BE856" s="6"/>
      <c r="BF856" s="6"/>
      <c r="BG856" s="6"/>
      <c r="BH856" s="6"/>
      <c r="BI856" s="6"/>
      <c r="BJ856" s="6"/>
      <c r="BK856" s="6"/>
      <c r="BL856" s="6"/>
      <c r="BM856" s="6"/>
      <c r="BN856" s="6"/>
      <c r="BO856" s="6"/>
      <c r="BP856" s="3">
        <v>4</v>
      </c>
      <c r="BQ856" s="6">
        <f t="shared" si="196"/>
        <v>0</v>
      </c>
    </row>
    <row r="857" spans="1:69" x14ac:dyDescent="0.3">
      <c r="A857" s="3" t="s">
        <v>1321</v>
      </c>
      <c r="B857" s="3">
        <v>415</v>
      </c>
      <c r="C857" s="3" t="s">
        <v>1414</v>
      </c>
      <c r="D857" s="3">
        <v>16</v>
      </c>
      <c r="E857" s="3" t="s">
        <v>19</v>
      </c>
      <c r="F857" s="3" t="s">
        <v>25</v>
      </c>
      <c r="G857" s="3" t="s">
        <v>19</v>
      </c>
      <c r="H857" s="3" t="s">
        <v>1328</v>
      </c>
      <c r="I857" s="3">
        <v>21.44</v>
      </c>
      <c r="J857" s="3" t="s">
        <v>91</v>
      </c>
      <c r="K857" s="3" t="s">
        <v>1415</v>
      </c>
      <c r="L857" s="3" t="s">
        <v>24</v>
      </c>
      <c r="M857" s="3">
        <v>2</v>
      </c>
      <c r="N857" s="6"/>
      <c r="O857" s="3">
        <v>2</v>
      </c>
      <c r="P857" s="3">
        <v>2</v>
      </c>
      <c r="Q857" s="3">
        <v>2</v>
      </c>
      <c r="R857" s="3">
        <v>0</v>
      </c>
      <c r="S857" s="3">
        <v>0</v>
      </c>
      <c r="T857" s="3">
        <v>0</v>
      </c>
      <c r="U857" s="3">
        <v>0</v>
      </c>
      <c r="V857" s="3">
        <f t="shared" si="197"/>
        <v>2</v>
      </c>
      <c r="W857" s="3">
        <v>2</v>
      </c>
      <c r="X857" s="3">
        <v>0</v>
      </c>
      <c r="Y857" s="3">
        <v>0</v>
      </c>
      <c r="Z857" s="3">
        <v>0</v>
      </c>
      <c r="AA857" s="3">
        <v>0</v>
      </c>
      <c r="AB857" s="3">
        <f t="shared" si="198"/>
        <v>2</v>
      </c>
      <c r="AC857" s="6">
        <f t="shared" si="206"/>
        <v>-2</v>
      </c>
      <c r="AD857" s="6">
        <f t="shared" si="207"/>
        <v>0</v>
      </c>
      <c r="AE857" s="6">
        <f t="shared" si="208"/>
        <v>0</v>
      </c>
      <c r="AF857" s="6">
        <f t="shared" si="209"/>
        <v>0</v>
      </c>
      <c r="AG857" s="6">
        <f t="shared" si="210"/>
        <v>0</v>
      </c>
      <c r="AH857" s="6">
        <f t="shared" si="199"/>
        <v>-2</v>
      </c>
      <c r="AI857" s="3"/>
      <c r="AJ857" s="3" t="e">
        <f>_xlfn.XLOOKUP(K857,工作表1!A:A,工作表1!C:C)</f>
        <v>#N/A</v>
      </c>
      <c r="AK857" s="3"/>
      <c r="AL857" s="6">
        <f t="shared" si="200"/>
        <v>0</v>
      </c>
      <c r="AM857" s="6">
        <f t="shared" si="201"/>
        <v>0</v>
      </c>
      <c r="AN857" s="6">
        <f t="shared" si="202"/>
        <v>0</v>
      </c>
      <c r="AO857" s="6">
        <f t="shared" si="203"/>
        <v>0</v>
      </c>
      <c r="AP857" s="6">
        <f t="shared" si="204"/>
        <v>0</v>
      </c>
      <c r="AQ857" s="6">
        <f t="shared" si="205"/>
        <v>0</v>
      </c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  <c r="BC857" s="6"/>
      <c r="BD857" s="6"/>
      <c r="BE857" s="6"/>
      <c r="BF857" s="6"/>
      <c r="BG857" s="6"/>
      <c r="BH857" s="6"/>
      <c r="BI857" s="6"/>
      <c r="BJ857" s="6"/>
      <c r="BK857" s="6"/>
      <c r="BL857" s="6"/>
      <c r="BM857" s="6"/>
      <c r="BN857" s="6"/>
      <c r="BO857" s="6"/>
      <c r="BP857" s="3">
        <v>2</v>
      </c>
      <c r="BQ857" s="6">
        <f t="shared" si="196"/>
        <v>0</v>
      </c>
    </row>
    <row r="858" spans="1:69" x14ac:dyDescent="0.3">
      <c r="A858" s="3" t="s">
        <v>1321</v>
      </c>
      <c r="B858" s="3">
        <v>415</v>
      </c>
      <c r="C858" s="3" t="s">
        <v>1414</v>
      </c>
      <c r="D858" s="3">
        <v>14</v>
      </c>
      <c r="E858" s="3" t="s">
        <v>19</v>
      </c>
      <c r="F858" s="3" t="s">
        <v>25</v>
      </c>
      <c r="G858" s="3" t="s">
        <v>19</v>
      </c>
      <c r="H858" s="3" t="s">
        <v>1330</v>
      </c>
      <c r="I858" s="3">
        <v>19.05</v>
      </c>
      <c r="J858" s="3" t="s">
        <v>91</v>
      </c>
      <c r="K858" s="3" t="s">
        <v>1416</v>
      </c>
      <c r="L858" s="3" t="s">
        <v>24</v>
      </c>
      <c r="M858" s="3">
        <v>1</v>
      </c>
      <c r="N858" s="6"/>
      <c r="O858" s="3">
        <v>1</v>
      </c>
      <c r="P858" s="3">
        <v>1</v>
      </c>
      <c r="Q858" s="3">
        <v>1</v>
      </c>
      <c r="R858" s="3">
        <v>0</v>
      </c>
      <c r="S858" s="3">
        <v>0</v>
      </c>
      <c r="T858" s="3">
        <v>0</v>
      </c>
      <c r="U858" s="3">
        <v>0</v>
      </c>
      <c r="V858" s="3">
        <f t="shared" si="197"/>
        <v>1</v>
      </c>
      <c r="W858" s="3">
        <v>1</v>
      </c>
      <c r="X858" s="3">
        <v>0</v>
      </c>
      <c r="Y858" s="3">
        <v>0</v>
      </c>
      <c r="Z858" s="3">
        <v>0</v>
      </c>
      <c r="AA858" s="3">
        <v>0</v>
      </c>
      <c r="AB858" s="3">
        <f t="shared" si="198"/>
        <v>1</v>
      </c>
      <c r="AC858" s="6">
        <f t="shared" si="206"/>
        <v>-1</v>
      </c>
      <c r="AD858" s="6">
        <f t="shared" si="207"/>
        <v>0</v>
      </c>
      <c r="AE858" s="6">
        <f t="shared" si="208"/>
        <v>0</v>
      </c>
      <c r="AF858" s="6">
        <f t="shared" si="209"/>
        <v>0</v>
      </c>
      <c r="AG858" s="6">
        <f t="shared" si="210"/>
        <v>0</v>
      </c>
      <c r="AH858" s="6">
        <f t="shared" si="199"/>
        <v>-1</v>
      </c>
      <c r="AI858" s="3"/>
      <c r="AJ858" s="3" t="e">
        <f>_xlfn.XLOOKUP(K858,工作表1!A:A,工作表1!C:C)</f>
        <v>#N/A</v>
      </c>
      <c r="AK858" s="3"/>
      <c r="AL858" s="6">
        <f t="shared" si="200"/>
        <v>0</v>
      </c>
      <c r="AM858" s="6">
        <f t="shared" si="201"/>
        <v>0</v>
      </c>
      <c r="AN858" s="6">
        <f t="shared" si="202"/>
        <v>0</v>
      </c>
      <c r="AO858" s="6">
        <f t="shared" si="203"/>
        <v>0</v>
      </c>
      <c r="AP858" s="6">
        <f t="shared" si="204"/>
        <v>0</v>
      </c>
      <c r="AQ858" s="6">
        <f t="shared" si="205"/>
        <v>0</v>
      </c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  <c r="BC858" s="6"/>
      <c r="BD858" s="6"/>
      <c r="BE858" s="6"/>
      <c r="BF858" s="6"/>
      <c r="BG858" s="6"/>
      <c r="BH858" s="6"/>
      <c r="BI858" s="6"/>
      <c r="BJ858" s="6"/>
      <c r="BK858" s="6"/>
      <c r="BL858" s="6"/>
      <c r="BM858" s="6"/>
      <c r="BN858" s="6"/>
      <c r="BO858" s="6"/>
      <c r="BP858" s="3">
        <v>1</v>
      </c>
      <c r="BQ858" s="6">
        <f t="shared" si="196"/>
        <v>0</v>
      </c>
    </row>
    <row r="859" spans="1:69" x14ac:dyDescent="0.3">
      <c r="A859" s="3" t="s">
        <v>1321</v>
      </c>
      <c r="B859" s="3">
        <v>415</v>
      </c>
      <c r="C859" s="3" t="s">
        <v>1414</v>
      </c>
      <c r="D859" s="3">
        <v>10</v>
      </c>
      <c r="E859" s="3" t="s">
        <v>19</v>
      </c>
      <c r="F859" s="3" t="s">
        <v>25</v>
      </c>
      <c r="G859" s="3" t="s">
        <v>19</v>
      </c>
      <c r="H859" s="3" t="s">
        <v>1334</v>
      </c>
      <c r="I859" s="3">
        <v>15.09</v>
      </c>
      <c r="J859" s="3" t="s">
        <v>91</v>
      </c>
      <c r="K859" s="3" t="s">
        <v>1417</v>
      </c>
      <c r="L859" s="3" t="s">
        <v>24</v>
      </c>
      <c r="M859" s="3">
        <v>6</v>
      </c>
      <c r="N859" s="6"/>
      <c r="O859" s="3">
        <v>6</v>
      </c>
      <c r="P859" s="3">
        <v>6</v>
      </c>
      <c r="Q859" s="3">
        <v>6</v>
      </c>
      <c r="R859" s="3">
        <v>0</v>
      </c>
      <c r="S859" s="3">
        <v>0</v>
      </c>
      <c r="T859" s="3">
        <v>0</v>
      </c>
      <c r="U859" s="3">
        <v>0</v>
      </c>
      <c r="V859" s="3">
        <f t="shared" si="197"/>
        <v>6</v>
      </c>
      <c r="W859" s="3">
        <v>6</v>
      </c>
      <c r="X859" s="3">
        <v>0</v>
      </c>
      <c r="Y859" s="3">
        <v>0</v>
      </c>
      <c r="Z859" s="3">
        <v>0</v>
      </c>
      <c r="AA859" s="3">
        <v>0</v>
      </c>
      <c r="AB859" s="3">
        <f t="shared" si="198"/>
        <v>6</v>
      </c>
      <c r="AC859" s="6">
        <f t="shared" si="206"/>
        <v>-6</v>
      </c>
      <c r="AD859" s="6">
        <f t="shared" si="207"/>
        <v>0</v>
      </c>
      <c r="AE859" s="6">
        <f t="shared" si="208"/>
        <v>0</v>
      </c>
      <c r="AF859" s="6">
        <f t="shared" si="209"/>
        <v>0</v>
      </c>
      <c r="AG859" s="6">
        <f t="shared" si="210"/>
        <v>0</v>
      </c>
      <c r="AH859" s="6">
        <f t="shared" si="199"/>
        <v>-6</v>
      </c>
      <c r="AI859" s="3"/>
      <c r="AJ859" s="3" t="e">
        <f>_xlfn.XLOOKUP(K859,工作表1!A:A,工作表1!C:C)</f>
        <v>#N/A</v>
      </c>
      <c r="AK859" s="3"/>
      <c r="AL859" s="6">
        <f t="shared" si="200"/>
        <v>0</v>
      </c>
      <c r="AM859" s="6">
        <f t="shared" si="201"/>
        <v>0</v>
      </c>
      <c r="AN859" s="6">
        <f t="shared" si="202"/>
        <v>0</v>
      </c>
      <c r="AO859" s="6">
        <f t="shared" si="203"/>
        <v>0</v>
      </c>
      <c r="AP859" s="6">
        <f t="shared" si="204"/>
        <v>0</v>
      </c>
      <c r="AQ859" s="6">
        <f t="shared" si="205"/>
        <v>0</v>
      </c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  <c r="BC859" s="6"/>
      <c r="BD859" s="6"/>
      <c r="BE859" s="6"/>
      <c r="BF859" s="6"/>
      <c r="BG859" s="6"/>
      <c r="BH859" s="6"/>
      <c r="BI859" s="6"/>
      <c r="BJ859" s="6"/>
      <c r="BK859" s="6"/>
      <c r="BL859" s="6"/>
      <c r="BM859" s="6"/>
      <c r="BN859" s="6"/>
      <c r="BO859" s="6"/>
      <c r="BP859" s="3">
        <v>6</v>
      </c>
      <c r="BQ859" s="6">
        <f t="shared" si="196"/>
        <v>0</v>
      </c>
    </row>
    <row r="860" spans="1:69" x14ac:dyDescent="0.3">
      <c r="A860" s="3" t="s">
        <v>1321</v>
      </c>
      <c r="B860" s="3">
        <v>415</v>
      </c>
      <c r="C860" s="3" t="s">
        <v>1414</v>
      </c>
      <c r="D860" s="3">
        <v>6</v>
      </c>
      <c r="E860" s="3" t="s">
        <v>19</v>
      </c>
      <c r="F860" s="3" t="s">
        <v>752</v>
      </c>
      <c r="G860" s="3" t="s">
        <v>19</v>
      </c>
      <c r="H860" s="3" t="s">
        <v>1338</v>
      </c>
      <c r="I860" s="3">
        <v>10.97</v>
      </c>
      <c r="J860" s="3" t="s">
        <v>91</v>
      </c>
      <c r="K860" s="3" t="s">
        <v>1418</v>
      </c>
      <c r="L860" s="3" t="s">
        <v>24</v>
      </c>
      <c r="M860" s="3">
        <v>21</v>
      </c>
      <c r="N860" s="6"/>
      <c r="O860" s="3">
        <v>21</v>
      </c>
      <c r="P860" s="3">
        <v>21</v>
      </c>
      <c r="Q860" s="3">
        <v>21</v>
      </c>
      <c r="R860" s="3">
        <v>0</v>
      </c>
      <c r="S860" s="3">
        <v>0</v>
      </c>
      <c r="T860" s="3">
        <v>0</v>
      </c>
      <c r="U860" s="3">
        <v>0</v>
      </c>
      <c r="V860" s="3">
        <f t="shared" si="197"/>
        <v>21</v>
      </c>
      <c r="W860" s="3">
        <v>21</v>
      </c>
      <c r="X860" s="3">
        <v>0</v>
      </c>
      <c r="Y860" s="3">
        <v>0</v>
      </c>
      <c r="Z860" s="3">
        <v>0</v>
      </c>
      <c r="AA860" s="3">
        <v>0</v>
      </c>
      <c r="AB860" s="3">
        <f t="shared" si="198"/>
        <v>21</v>
      </c>
      <c r="AC860" s="6">
        <f t="shared" si="206"/>
        <v>-21</v>
      </c>
      <c r="AD860" s="6">
        <f t="shared" si="207"/>
        <v>0</v>
      </c>
      <c r="AE860" s="6">
        <f t="shared" si="208"/>
        <v>0</v>
      </c>
      <c r="AF860" s="6">
        <f t="shared" si="209"/>
        <v>0</v>
      </c>
      <c r="AG860" s="6">
        <f t="shared" si="210"/>
        <v>0</v>
      </c>
      <c r="AH860" s="6">
        <f t="shared" si="199"/>
        <v>-21</v>
      </c>
      <c r="AI860" s="3"/>
      <c r="AJ860" s="3" t="e">
        <f>_xlfn.XLOOKUP(K860,工作表1!A:A,工作表1!C:C)</f>
        <v>#N/A</v>
      </c>
      <c r="AK860" s="3"/>
      <c r="AL860" s="6">
        <f t="shared" si="200"/>
        <v>0</v>
      </c>
      <c r="AM860" s="6">
        <f t="shared" si="201"/>
        <v>0</v>
      </c>
      <c r="AN860" s="6">
        <f t="shared" si="202"/>
        <v>0</v>
      </c>
      <c r="AO860" s="6">
        <f t="shared" si="203"/>
        <v>0</v>
      </c>
      <c r="AP860" s="6">
        <f t="shared" si="204"/>
        <v>0</v>
      </c>
      <c r="AQ860" s="6">
        <f t="shared" si="205"/>
        <v>0</v>
      </c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  <c r="BC860" s="6"/>
      <c r="BD860" s="6"/>
      <c r="BE860" s="6"/>
      <c r="BF860" s="6"/>
      <c r="BG860" s="6"/>
      <c r="BH860" s="6"/>
      <c r="BI860" s="6"/>
      <c r="BJ860" s="6"/>
      <c r="BK860" s="6"/>
      <c r="BL860" s="6"/>
      <c r="BM860" s="6"/>
      <c r="BN860" s="6"/>
      <c r="BO860" s="6"/>
      <c r="BP860" s="3">
        <v>21</v>
      </c>
      <c r="BQ860" s="6">
        <f t="shared" si="196"/>
        <v>0</v>
      </c>
    </row>
    <row r="861" spans="1:69" x14ac:dyDescent="0.3">
      <c r="A861" s="3" t="s">
        <v>1321</v>
      </c>
      <c r="B861" s="3">
        <v>415</v>
      </c>
      <c r="C861" s="3" t="s">
        <v>1414</v>
      </c>
      <c r="D861" s="3">
        <v>2</v>
      </c>
      <c r="E861" s="3" t="s">
        <v>19</v>
      </c>
      <c r="F861" s="3" t="s">
        <v>752</v>
      </c>
      <c r="G861" s="3" t="s">
        <v>19</v>
      </c>
      <c r="H861" s="3" t="s">
        <v>790</v>
      </c>
      <c r="I861" s="3">
        <v>5.54</v>
      </c>
      <c r="J861" s="3" t="s">
        <v>91</v>
      </c>
      <c r="K861" s="3" t="s">
        <v>1419</v>
      </c>
      <c r="L861" s="3" t="s">
        <v>24</v>
      </c>
      <c r="M861" s="3">
        <v>9</v>
      </c>
      <c r="N861" s="6"/>
      <c r="O861" s="3">
        <v>5</v>
      </c>
      <c r="P861" s="3">
        <v>5</v>
      </c>
      <c r="Q861" s="3">
        <v>5</v>
      </c>
      <c r="R861" s="3">
        <v>0</v>
      </c>
      <c r="S861" s="3">
        <v>0</v>
      </c>
      <c r="T861" s="3">
        <v>0</v>
      </c>
      <c r="U861" s="3">
        <v>0</v>
      </c>
      <c r="V861" s="3">
        <f t="shared" si="197"/>
        <v>5</v>
      </c>
      <c r="W861" s="3">
        <v>5</v>
      </c>
      <c r="X861" s="3">
        <v>0</v>
      </c>
      <c r="Y861" s="3">
        <v>0</v>
      </c>
      <c r="Z861" s="3">
        <v>0</v>
      </c>
      <c r="AA861" s="3">
        <v>0</v>
      </c>
      <c r="AB861" s="3">
        <f t="shared" si="198"/>
        <v>5</v>
      </c>
      <c r="AC861" s="6">
        <f t="shared" si="206"/>
        <v>-5</v>
      </c>
      <c r="AD861" s="6">
        <f t="shared" si="207"/>
        <v>0</v>
      </c>
      <c r="AE861" s="6">
        <f t="shared" si="208"/>
        <v>0</v>
      </c>
      <c r="AF861" s="6">
        <f t="shared" si="209"/>
        <v>0</v>
      </c>
      <c r="AG861" s="6">
        <f t="shared" si="210"/>
        <v>0</v>
      </c>
      <c r="AH861" s="6">
        <f t="shared" si="199"/>
        <v>-5</v>
      </c>
      <c r="AI861" s="3"/>
      <c r="AJ861" s="3" t="e">
        <f>_xlfn.XLOOKUP(K861,工作表1!A:A,工作表1!C:C)</f>
        <v>#N/A</v>
      </c>
      <c r="AK861" s="3"/>
      <c r="AL861" s="6">
        <f t="shared" si="200"/>
        <v>0</v>
      </c>
      <c r="AM861" s="6">
        <f t="shared" si="201"/>
        <v>0</v>
      </c>
      <c r="AN861" s="6">
        <f t="shared" si="202"/>
        <v>0</v>
      </c>
      <c r="AO861" s="6">
        <f t="shared" si="203"/>
        <v>0</v>
      </c>
      <c r="AP861" s="6">
        <f t="shared" si="204"/>
        <v>0</v>
      </c>
      <c r="AQ861" s="6">
        <f t="shared" si="205"/>
        <v>0</v>
      </c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  <c r="BC861" s="6"/>
      <c r="BD861" s="6"/>
      <c r="BE861" s="6"/>
      <c r="BF861" s="6"/>
      <c r="BG861" s="6"/>
      <c r="BH861" s="6"/>
      <c r="BI861" s="6"/>
      <c r="BJ861" s="6"/>
      <c r="BK861" s="6"/>
      <c r="BL861" s="6"/>
      <c r="BM861" s="6"/>
      <c r="BN861" s="6"/>
      <c r="BO861" s="6"/>
      <c r="BP861" s="3">
        <v>5</v>
      </c>
      <c r="BQ861" s="6">
        <f t="shared" si="196"/>
        <v>0</v>
      </c>
    </row>
    <row r="862" spans="1:69" x14ac:dyDescent="0.3">
      <c r="A862" s="3" t="s">
        <v>1321</v>
      </c>
      <c r="B862" s="3">
        <v>415</v>
      </c>
      <c r="C862" s="3" t="s">
        <v>1414</v>
      </c>
      <c r="D862" s="3">
        <v>1.5</v>
      </c>
      <c r="E862" s="3" t="s">
        <v>19</v>
      </c>
      <c r="F862" s="3" t="s">
        <v>752</v>
      </c>
      <c r="G862" s="3" t="s">
        <v>19</v>
      </c>
      <c r="H862" s="3" t="s">
        <v>753</v>
      </c>
      <c r="I862" s="3">
        <v>5.08</v>
      </c>
      <c r="J862" s="3" t="s">
        <v>91</v>
      </c>
      <c r="K862" s="3" t="s">
        <v>1420</v>
      </c>
      <c r="L862" s="3" t="s">
        <v>24</v>
      </c>
      <c r="M862" s="3">
        <v>12</v>
      </c>
      <c r="N862" s="6"/>
      <c r="O862" s="3">
        <v>12</v>
      </c>
      <c r="P862" s="3">
        <v>12</v>
      </c>
      <c r="Q862" s="3">
        <v>12</v>
      </c>
      <c r="R862" s="3">
        <v>0</v>
      </c>
      <c r="S862" s="3">
        <v>0</v>
      </c>
      <c r="T862" s="3">
        <v>0</v>
      </c>
      <c r="U862" s="3">
        <v>0</v>
      </c>
      <c r="V862" s="3">
        <f t="shared" si="197"/>
        <v>12</v>
      </c>
      <c r="W862" s="3">
        <v>12</v>
      </c>
      <c r="X862" s="3">
        <v>0</v>
      </c>
      <c r="Y862" s="3">
        <v>0</v>
      </c>
      <c r="Z862" s="3">
        <v>0</v>
      </c>
      <c r="AA862" s="3">
        <v>0</v>
      </c>
      <c r="AB862" s="3">
        <f t="shared" si="198"/>
        <v>12</v>
      </c>
      <c r="AC862" s="6">
        <f t="shared" si="206"/>
        <v>-12</v>
      </c>
      <c r="AD862" s="6">
        <f t="shared" si="207"/>
        <v>0</v>
      </c>
      <c r="AE862" s="6">
        <f t="shared" si="208"/>
        <v>0</v>
      </c>
      <c r="AF862" s="6">
        <f t="shared" si="209"/>
        <v>0</v>
      </c>
      <c r="AG862" s="6">
        <f t="shared" si="210"/>
        <v>0</v>
      </c>
      <c r="AH862" s="6">
        <f t="shared" si="199"/>
        <v>-12</v>
      </c>
      <c r="AI862" s="3"/>
      <c r="AJ862" s="3" t="e">
        <f>_xlfn.XLOOKUP(K862,工作表1!A:A,工作表1!C:C)</f>
        <v>#N/A</v>
      </c>
      <c r="AK862" s="3"/>
      <c r="AL862" s="6">
        <f t="shared" si="200"/>
        <v>0</v>
      </c>
      <c r="AM862" s="6">
        <f t="shared" si="201"/>
        <v>0</v>
      </c>
      <c r="AN862" s="6">
        <f t="shared" si="202"/>
        <v>0</v>
      </c>
      <c r="AO862" s="6">
        <f t="shared" si="203"/>
        <v>0</v>
      </c>
      <c r="AP862" s="6">
        <f t="shared" si="204"/>
        <v>0</v>
      </c>
      <c r="AQ862" s="6">
        <f t="shared" si="205"/>
        <v>0</v>
      </c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  <c r="BC862" s="6"/>
      <c r="BD862" s="6"/>
      <c r="BE862" s="6"/>
      <c r="BF862" s="6"/>
      <c r="BG862" s="6"/>
      <c r="BH862" s="6"/>
      <c r="BI862" s="6"/>
      <c r="BJ862" s="6"/>
      <c r="BK862" s="6"/>
      <c r="BL862" s="6"/>
      <c r="BM862" s="6"/>
      <c r="BN862" s="6"/>
      <c r="BO862" s="6"/>
      <c r="BP862" s="3">
        <v>12</v>
      </c>
      <c r="BQ862" s="6">
        <f t="shared" si="196"/>
        <v>0</v>
      </c>
    </row>
    <row r="863" spans="1:69" x14ac:dyDescent="0.3">
      <c r="A863" s="3" t="s">
        <v>1321</v>
      </c>
      <c r="B863" s="3">
        <v>415</v>
      </c>
      <c r="C863" s="3" t="s">
        <v>1414</v>
      </c>
      <c r="D863" s="3">
        <v>1</v>
      </c>
      <c r="E863" s="3" t="s">
        <v>19</v>
      </c>
      <c r="F863" s="3" t="s">
        <v>752</v>
      </c>
      <c r="G863" s="3" t="s">
        <v>19</v>
      </c>
      <c r="H863" s="3" t="s">
        <v>797</v>
      </c>
      <c r="I863" s="3">
        <v>4.55</v>
      </c>
      <c r="J863" s="3" t="s">
        <v>91</v>
      </c>
      <c r="K863" s="3" t="s">
        <v>1421</v>
      </c>
      <c r="L863" s="3" t="s">
        <v>24</v>
      </c>
      <c r="M863" s="3">
        <v>7</v>
      </c>
      <c r="N863" s="6"/>
      <c r="O863" s="3">
        <v>4</v>
      </c>
      <c r="P863" s="3">
        <v>4</v>
      </c>
      <c r="Q863" s="3">
        <v>4</v>
      </c>
      <c r="R863" s="3">
        <v>0</v>
      </c>
      <c r="S863" s="3">
        <v>0</v>
      </c>
      <c r="T863" s="3">
        <v>0</v>
      </c>
      <c r="U863" s="3">
        <v>0</v>
      </c>
      <c r="V863" s="3">
        <f t="shared" si="197"/>
        <v>4</v>
      </c>
      <c r="W863" s="3">
        <v>4</v>
      </c>
      <c r="X863" s="3">
        <v>0</v>
      </c>
      <c r="Y863" s="3">
        <v>0</v>
      </c>
      <c r="Z863" s="3">
        <v>0</v>
      </c>
      <c r="AA863" s="3">
        <v>0</v>
      </c>
      <c r="AB863" s="3">
        <f t="shared" si="198"/>
        <v>4</v>
      </c>
      <c r="AC863" s="6">
        <f t="shared" si="206"/>
        <v>-4</v>
      </c>
      <c r="AD863" s="6">
        <f t="shared" si="207"/>
        <v>0</v>
      </c>
      <c r="AE863" s="6">
        <f t="shared" si="208"/>
        <v>0</v>
      </c>
      <c r="AF863" s="6">
        <f t="shared" si="209"/>
        <v>0</v>
      </c>
      <c r="AG863" s="6">
        <f t="shared" si="210"/>
        <v>0</v>
      </c>
      <c r="AH863" s="6">
        <f t="shared" si="199"/>
        <v>-4</v>
      </c>
      <c r="AI863" s="3"/>
      <c r="AJ863" s="3" t="e">
        <f>_xlfn.XLOOKUP(K863,工作表1!A:A,工作表1!C:C)</f>
        <v>#N/A</v>
      </c>
      <c r="AK863" s="3"/>
      <c r="AL863" s="6">
        <f t="shared" si="200"/>
        <v>0</v>
      </c>
      <c r="AM863" s="6">
        <f t="shared" si="201"/>
        <v>0</v>
      </c>
      <c r="AN863" s="6">
        <f t="shared" si="202"/>
        <v>0</v>
      </c>
      <c r="AO863" s="6">
        <f t="shared" si="203"/>
        <v>0</v>
      </c>
      <c r="AP863" s="6">
        <f t="shared" si="204"/>
        <v>0</v>
      </c>
      <c r="AQ863" s="6">
        <f t="shared" si="205"/>
        <v>0</v>
      </c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  <c r="BC863" s="6"/>
      <c r="BD863" s="6"/>
      <c r="BE863" s="6"/>
      <c r="BF863" s="6"/>
      <c r="BG863" s="6"/>
      <c r="BH863" s="6"/>
      <c r="BI863" s="6"/>
      <c r="BJ863" s="6"/>
      <c r="BK863" s="6"/>
      <c r="BL863" s="6"/>
      <c r="BM863" s="6"/>
      <c r="BN863" s="6"/>
      <c r="BO863" s="6"/>
      <c r="BP863" s="3">
        <v>4</v>
      </c>
      <c r="BQ863" s="6">
        <f t="shared" si="196"/>
        <v>0</v>
      </c>
    </row>
    <row r="864" spans="1:69" x14ac:dyDescent="0.3">
      <c r="A864" s="3" t="s">
        <v>1321</v>
      </c>
      <c r="B864" s="3">
        <v>415</v>
      </c>
      <c r="C864" s="3" t="s">
        <v>1414</v>
      </c>
      <c r="D864" s="3">
        <v>0.75</v>
      </c>
      <c r="E864" s="3" t="s">
        <v>19</v>
      </c>
      <c r="F864" s="3" t="s">
        <v>752</v>
      </c>
      <c r="G864" s="3" t="s">
        <v>19</v>
      </c>
      <c r="H864" s="3" t="s">
        <v>799</v>
      </c>
      <c r="I864" s="3">
        <v>3.91</v>
      </c>
      <c r="J864" s="3" t="s">
        <v>91</v>
      </c>
      <c r="K864" s="3" t="s">
        <v>1422</v>
      </c>
      <c r="L864" s="3" t="s">
        <v>24</v>
      </c>
      <c r="M864" s="3">
        <v>3</v>
      </c>
      <c r="N864" s="6"/>
      <c r="O864" s="3">
        <v>3</v>
      </c>
      <c r="P864" s="3">
        <v>3</v>
      </c>
      <c r="Q864" s="3">
        <v>3</v>
      </c>
      <c r="R864" s="3">
        <v>0</v>
      </c>
      <c r="S864" s="3">
        <v>0</v>
      </c>
      <c r="T864" s="3">
        <v>0</v>
      </c>
      <c r="U864" s="3">
        <v>0</v>
      </c>
      <c r="V864" s="3">
        <f t="shared" si="197"/>
        <v>3</v>
      </c>
      <c r="W864" s="3">
        <v>3</v>
      </c>
      <c r="X864" s="3">
        <v>0</v>
      </c>
      <c r="Y864" s="3">
        <v>0</v>
      </c>
      <c r="Z864" s="3">
        <v>0</v>
      </c>
      <c r="AA864" s="3">
        <v>0</v>
      </c>
      <c r="AB864" s="3">
        <f t="shared" si="198"/>
        <v>3</v>
      </c>
      <c r="AC864" s="6">
        <f t="shared" si="206"/>
        <v>-3</v>
      </c>
      <c r="AD864" s="6">
        <f t="shared" si="207"/>
        <v>0</v>
      </c>
      <c r="AE864" s="6">
        <f t="shared" si="208"/>
        <v>0</v>
      </c>
      <c r="AF864" s="6">
        <f t="shared" si="209"/>
        <v>0</v>
      </c>
      <c r="AG864" s="6">
        <f t="shared" si="210"/>
        <v>0</v>
      </c>
      <c r="AH864" s="6">
        <f t="shared" si="199"/>
        <v>-3</v>
      </c>
      <c r="AI864" s="3"/>
      <c r="AJ864" s="3" t="e">
        <f>_xlfn.XLOOKUP(K864,工作表1!A:A,工作表1!C:C)</f>
        <v>#N/A</v>
      </c>
      <c r="AK864" s="3"/>
      <c r="AL864" s="6">
        <f t="shared" si="200"/>
        <v>0</v>
      </c>
      <c r="AM864" s="6">
        <f t="shared" si="201"/>
        <v>0</v>
      </c>
      <c r="AN864" s="6">
        <f t="shared" si="202"/>
        <v>0</v>
      </c>
      <c r="AO864" s="6">
        <f t="shared" si="203"/>
        <v>0</v>
      </c>
      <c r="AP864" s="6">
        <f t="shared" si="204"/>
        <v>0</v>
      </c>
      <c r="AQ864" s="6">
        <f t="shared" si="205"/>
        <v>0</v>
      </c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  <c r="BC864" s="6"/>
      <c r="BD864" s="6"/>
      <c r="BE864" s="6"/>
      <c r="BF864" s="6"/>
      <c r="BG864" s="6"/>
      <c r="BH864" s="6"/>
      <c r="BI864" s="6"/>
      <c r="BJ864" s="6"/>
      <c r="BK864" s="6"/>
      <c r="BL864" s="6"/>
      <c r="BM864" s="6"/>
      <c r="BN864" s="6"/>
      <c r="BO864" s="6"/>
      <c r="BP864" s="3">
        <v>3</v>
      </c>
      <c r="BQ864" s="6">
        <f t="shared" si="196"/>
        <v>0</v>
      </c>
    </row>
    <row r="865" spans="1:69" x14ac:dyDescent="0.3">
      <c r="A865" s="3" t="s">
        <v>1321</v>
      </c>
      <c r="B865" s="3">
        <v>463</v>
      </c>
      <c r="C865" s="3" t="s">
        <v>1423</v>
      </c>
      <c r="D865" s="3">
        <v>16</v>
      </c>
      <c r="E865" s="3" t="s">
        <v>19</v>
      </c>
      <c r="F865" s="3" t="s">
        <v>19</v>
      </c>
      <c r="G865" s="3" t="s">
        <v>19</v>
      </c>
      <c r="H865" s="3" t="s">
        <v>1140</v>
      </c>
      <c r="I865" s="3"/>
      <c r="J865" s="3" t="s">
        <v>413</v>
      </c>
      <c r="K865" s="3" t="s">
        <v>1424</v>
      </c>
      <c r="L865" s="3" t="s">
        <v>335</v>
      </c>
      <c r="M865" s="3">
        <v>1</v>
      </c>
      <c r="N865" s="6"/>
      <c r="O865" s="3">
        <v>1</v>
      </c>
      <c r="P865" s="3">
        <v>1</v>
      </c>
      <c r="Q865" s="3">
        <v>1</v>
      </c>
      <c r="R865" s="3">
        <v>0</v>
      </c>
      <c r="S865" s="3">
        <v>0</v>
      </c>
      <c r="T865" s="3">
        <v>0</v>
      </c>
      <c r="U865" s="3">
        <v>0</v>
      </c>
      <c r="V865" s="3">
        <f t="shared" si="197"/>
        <v>1</v>
      </c>
      <c r="W865" s="3">
        <v>1</v>
      </c>
      <c r="X865" s="3">
        <v>0</v>
      </c>
      <c r="Y865" s="3">
        <v>0</v>
      </c>
      <c r="Z865" s="3">
        <v>0</v>
      </c>
      <c r="AA865" s="3">
        <v>0</v>
      </c>
      <c r="AB865" s="3">
        <f t="shared" si="198"/>
        <v>1</v>
      </c>
      <c r="AC865" s="6">
        <f t="shared" si="206"/>
        <v>-1</v>
      </c>
      <c r="AD865" s="6">
        <f t="shared" si="207"/>
        <v>0</v>
      </c>
      <c r="AE865" s="6">
        <f t="shared" si="208"/>
        <v>0</v>
      </c>
      <c r="AF865" s="6">
        <f t="shared" si="209"/>
        <v>0</v>
      </c>
      <c r="AG865" s="6">
        <f t="shared" si="210"/>
        <v>0</v>
      </c>
      <c r="AH865" s="6">
        <f t="shared" si="199"/>
        <v>-1</v>
      </c>
      <c r="AI865" s="3"/>
      <c r="AJ865" s="3" t="e">
        <f>_xlfn.XLOOKUP(K865,工作表1!A:A,工作表1!C:C)</f>
        <v>#N/A</v>
      </c>
      <c r="AK865" s="3"/>
      <c r="AL865" s="6">
        <f t="shared" si="200"/>
        <v>0</v>
      </c>
      <c r="AM865" s="6">
        <f t="shared" si="201"/>
        <v>0</v>
      </c>
      <c r="AN865" s="6">
        <f t="shared" si="202"/>
        <v>0</v>
      </c>
      <c r="AO865" s="6">
        <f t="shared" si="203"/>
        <v>0</v>
      </c>
      <c r="AP865" s="6">
        <f t="shared" si="204"/>
        <v>0</v>
      </c>
      <c r="AQ865" s="6">
        <f t="shared" si="205"/>
        <v>0</v>
      </c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  <c r="BC865" s="6"/>
      <c r="BD865" s="6"/>
      <c r="BE865" s="6"/>
      <c r="BF865" s="6"/>
      <c r="BG865" s="6"/>
      <c r="BH865" s="6"/>
      <c r="BI865" s="6"/>
      <c r="BJ865" s="6"/>
      <c r="BK865" s="6"/>
      <c r="BL865" s="6"/>
      <c r="BM865" s="6"/>
      <c r="BN865" s="6"/>
      <c r="BO865" s="6"/>
      <c r="BP865" s="3">
        <v>1</v>
      </c>
      <c r="BQ865" s="6">
        <f t="shared" si="196"/>
        <v>0</v>
      </c>
    </row>
    <row r="866" spans="1:69" x14ac:dyDescent="0.3">
      <c r="A866" s="3" t="s">
        <v>1321</v>
      </c>
      <c r="B866" s="3">
        <v>471</v>
      </c>
      <c r="C866" s="3" t="s">
        <v>1425</v>
      </c>
      <c r="D866" s="3">
        <v>16</v>
      </c>
      <c r="E866" s="3" t="s">
        <v>19</v>
      </c>
      <c r="F866" s="3" t="s">
        <v>19</v>
      </c>
      <c r="G866" s="3" t="s">
        <v>19</v>
      </c>
      <c r="H866" s="3" t="s">
        <v>1140</v>
      </c>
      <c r="I866" s="3"/>
      <c r="J866" s="3" t="s">
        <v>91</v>
      </c>
      <c r="K866" s="3" t="s">
        <v>1426</v>
      </c>
      <c r="L866" s="3" t="s">
        <v>335</v>
      </c>
      <c r="M866" s="3">
        <v>4</v>
      </c>
      <c r="N866" s="6"/>
      <c r="O866" s="3">
        <v>2</v>
      </c>
      <c r="P866" s="3">
        <v>2</v>
      </c>
      <c r="Q866" s="3">
        <v>2</v>
      </c>
      <c r="R866" s="3">
        <v>0</v>
      </c>
      <c r="S866" s="3">
        <v>0</v>
      </c>
      <c r="T866" s="3">
        <v>0</v>
      </c>
      <c r="U866" s="3">
        <v>0</v>
      </c>
      <c r="V866" s="3">
        <f t="shared" si="197"/>
        <v>2</v>
      </c>
      <c r="W866" s="3">
        <v>2</v>
      </c>
      <c r="X866" s="3">
        <v>0</v>
      </c>
      <c r="Y866" s="3">
        <v>0</v>
      </c>
      <c r="Z866" s="3">
        <v>0</v>
      </c>
      <c r="AA866" s="3">
        <v>0</v>
      </c>
      <c r="AB866" s="3">
        <f t="shared" si="198"/>
        <v>2</v>
      </c>
      <c r="AC866" s="6">
        <f t="shared" si="206"/>
        <v>-2</v>
      </c>
      <c r="AD866" s="6">
        <f t="shared" si="207"/>
        <v>0</v>
      </c>
      <c r="AE866" s="6">
        <f t="shared" si="208"/>
        <v>0</v>
      </c>
      <c r="AF866" s="6">
        <f t="shared" si="209"/>
        <v>0</v>
      </c>
      <c r="AG866" s="6">
        <f t="shared" si="210"/>
        <v>0</v>
      </c>
      <c r="AH866" s="6">
        <f t="shared" si="199"/>
        <v>-2</v>
      </c>
      <c r="AI866" s="3"/>
      <c r="AJ866" s="3" t="e">
        <f>_xlfn.XLOOKUP(K866,工作表1!A:A,工作表1!C:C)</f>
        <v>#N/A</v>
      </c>
      <c r="AK866" s="3"/>
      <c r="AL866" s="6">
        <f t="shared" si="200"/>
        <v>0</v>
      </c>
      <c r="AM866" s="6">
        <f t="shared" si="201"/>
        <v>0</v>
      </c>
      <c r="AN866" s="6">
        <f t="shared" si="202"/>
        <v>0</v>
      </c>
      <c r="AO866" s="6">
        <f t="shared" si="203"/>
        <v>0</v>
      </c>
      <c r="AP866" s="6">
        <f t="shared" si="204"/>
        <v>0</v>
      </c>
      <c r="AQ866" s="6">
        <f t="shared" si="205"/>
        <v>0</v>
      </c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  <c r="BC866" s="6"/>
      <c r="BD866" s="6"/>
      <c r="BE866" s="6"/>
      <c r="BF866" s="6"/>
      <c r="BG866" s="6"/>
      <c r="BH866" s="6"/>
      <c r="BI866" s="6"/>
      <c r="BJ866" s="6"/>
      <c r="BK866" s="6"/>
      <c r="BL866" s="6"/>
      <c r="BM866" s="6"/>
      <c r="BN866" s="6"/>
      <c r="BO866" s="6"/>
      <c r="BP866" s="3">
        <v>2</v>
      </c>
      <c r="BQ866" s="6">
        <f t="shared" si="196"/>
        <v>0</v>
      </c>
    </row>
    <row r="867" spans="1:69" x14ac:dyDescent="0.3">
      <c r="A867" s="3" t="s">
        <v>1321</v>
      </c>
      <c r="B867" s="3">
        <v>471</v>
      </c>
      <c r="C867" s="3" t="s">
        <v>1425</v>
      </c>
      <c r="D867" s="3">
        <v>14</v>
      </c>
      <c r="E867" s="3" t="s">
        <v>19</v>
      </c>
      <c r="F867" s="3" t="s">
        <v>19</v>
      </c>
      <c r="G867" s="3" t="s">
        <v>19</v>
      </c>
      <c r="H867" s="3" t="s">
        <v>1135</v>
      </c>
      <c r="I867" s="3"/>
      <c r="J867" s="3" t="s">
        <v>91</v>
      </c>
      <c r="K867" s="3" t="s">
        <v>1427</v>
      </c>
      <c r="L867" s="3" t="s">
        <v>335</v>
      </c>
      <c r="M867" s="3">
        <v>0</v>
      </c>
      <c r="N867" s="6"/>
      <c r="O867" s="3">
        <v>1</v>
      </c>
      <c r="P867" s="3">
        <v>1</v>
      </c>
      <c r="Q867" s="3">
        <v>1</v>
      </c>
      <c r="R867" s="3">
        <v>0</v>
      </c>
      <c r="S867" s="3">
        <v>0</v>
      </c>
      <c r="T867" s="3">
        <v>0</v>
      </c>
      <c r="U867" s="3">
        <v>0</v>
      </c>
      <c r="V867" s="3">
        <f t="shared" si="197"/>
        <v>1</v>
      </c>
      <c r="W867" s="3">
        <v>1</v>
      </c>
      <c r="X867" s="3">
        <v>0</v>
      </c>
      <c r="Y867" s="3">
        <v>0</v>
      </c>
      <c r="Z867" s="3">
        <v>0</v>
      </c>
      <c r="AA867" s="3">
        <v>0</v>
      </c>
      <c r="AB867" s="3">
        <f t="shared" si="198"/>
        <v>1</v>
      </c>
      <c r="AC867" s="6">
        <f t="shared" si="206"/>
        <v>-1</v>
      </c>
      <c r="AD867" s="6">
        <f t="shared" si="207"/>
        <v>0</v>
      </c>
      <c r="AE867" s="6">
        <f t="shared" si="208"/>
        <v>0</v>
      </c>
      <c r="AF867" s="6">
        <f t="shared" si="209"/>
        <v>0</v>
      </c>
      <c r="AG867" s="6">
        <f t="shared" si="210"/>
        <v>0</v>
      </c>
      <c r="AH867" s="6">
        <f t="shared" si="199"/>
        <v>-1</v>
      </c>
      <c r="AI867" s="3"/>
      <c r="AJ867" s="3" t="e">
        <f>_xlfn.XLOOKUP(K867,工作表1!A:A,工作表1!C:C)</f>
        <v>#N/A</v>
      </c>
      <c r="AK867" s="3"/>
      <c r="AL867" s="6">
        <f t="shared" si="200"/>
        <v>0</v>
      </c>
      <c r="AM867" s="6">
        <f t="shared" si="201"/>
        <v>0</v>
      </c>
      <c r="AN867" s="6">
        <f t="shared" si="202"/>
        <v>0</v>
      </c>
      <c r="AO867" s="6">
        <f t="shared" si="203"/>
        <v>0</v>
      </c>
      <c r="AP867" s="6">
        <f t="shared" si="204"/>
        <v>0</v>
      </c>
      <c r="AQ867" s="6">
        <f t="shared" si="205"/>
        <v>0</v>
      </c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  <c r="BC867" s="6"/>
      <c r="BD867" s="6"/>
      <c r="BE867" s="6"/>
      <c r="BF867" s="6"/>
      <c r="BG867" s="6"/>
      <c r="BH867" s="6"/>
      <c r="BI867" s="6"/>
      <c r="BJ867" s="6"/>
      <c r="BK867" s="6"/>
      <c r="BL867" s="6"/>
      <c r="BM867" s="6"/>
      <c r="BN867" s="6"/>
      <c r="BO867" s="6"/>
      <c r="BP867" s="3">
        <v>1</v>
      </c>
      <c r="BQ867" s="6">
        <f t="shared" si="196"/>
        <v>0</v>
      </c>
    </row>
    <row r="868" spans="1:69" x14ac:dyDescent="0.3">
      <c r="A868" s="3" t="s">
        <v>1321</v>
      </c>
      <c r="B868" s="3">
        <v>471</v>
      </c>
      <c r="C868" s="3" t="s">
        <v>1425</v>
      </c>
      <c r="D868" s="3">
        <v>10</v>
      </c>
      <c r="E868" s="3" t="s">
        <v>19</v>
      </c>
      <c r="F868" s="3" t="s">
        <v>19</v>
      </c>
      <c r="G868" s="3" t="s">
        <v>19</v>
      </c>
      <c r="H868" s="3" t="s">
        <v>333</v>
      </c>
      <c r="I868" s="3"/>
      <c r="J868" s="3" t="s">
        <v>91</v>
      </c>
      <c r="K868" s="3" t="s">
        <v>1428</v>
      </c>
      <c r="L868" s="3" t="s">
        <v>335</v>
      </c>
      <c r="M868" s="3">
        <v>12</v>
      </c>
      <c r="N868" s="6"/>
      <c r="O868" s="3">
        <v>6</v>
      </c>
      <c r="P868" s="3">
        <v>6</v>
      </c>
      <c r="Q868" s="3">
        <v>6</v>
      </c>
      <c r="R868" s="3">
        <v>0</v>
      </c>
      <c r="S868" s="3">
        <v>0</v>
      </c>
      <c r="T868" s="3">
        <v>0</v>
      </c>
      <c r="U868" s="3">
        <v>0</v>
      </c>
      <c r="V868" s="3">
        <f t="shared" si="197"/>
        <v>6</v>
      </c>
      <c r="W868" s="3">
        <v>6</v>
      </c>
      <c r="X868" s="3">
        <v>0</v>
      </c>
      <c r="Y868" s="3">
        <v>0</v>
      </c>
      <c r="Z868" s="3">
        <v>0</v>
      </c>
      <c r="AA868" s="3">
        <v>0</v>
      </c>
      <c r="AB868" s="3">
        <f t="shared" si="198"/>
        <v>6</v>
      </c>
      <c r="AC868" s="6">
        <f t="shared" si="206"/>
        <v>-6</v>
      </c>
      <c r="AD868" s="6">
        <f t="shared" si="207"/>
        <v>0</v>
      </c>
      <c r="AE868" s="6">
        <f t="shared" si="208"/>
        <v>0</v>
      </c>
      <c r="AF868" s="6">
        <f t="shared" si="209"/>
        <v>0</v>
      </c>
      <c r="AG868" s="6">
        <f t="shared" si="210"/>
        <v>0</v>
      </c>
      <c r="AH868" s="6">
        <f t="shared" si="199"/>
        <v>-6</v>
      </c>
      <c r="AI868" s="3"/>
      <c r="AJ868" s="3" t="e">
        <f>_xlfn.XLOOKUP(K868,工作表1!A:A,工作表1!C:C)</f>
        <v>#N/A</v>
      </c>
      <c r="AK868" s="3"/>
      <c r="AL868" s="6">
        <f t="shared" si="200"/>
        <v>0</v>
      </c>
      <c r="AM868" s="6">
        <f t="shared" si="201"/>
        <v>0</v>
      </c>
      <c r="AN868" s="6">
        <f t="shared" si="202"/>
        <v>0</v>
      </c>
      <c r="AO868" s="6">
        <f t="shared" si="203"/>
        <v>0</v>
      </c>
      <c r="AP868" s="6">
        <f t="shared" si="204"/>
        <v>0</v>
      </c>
      <c r="AQ868" s="6">
        <f t="shared" si="205"/>
        <v>0</v>
      </c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  <c r="BC868" s="6"/>
      <c r="BD868" s="6"/>
      <c r="BE868" s="6"/>
      <c r="BF868" s="6"/>
      <c r="BG868" s="6"/>
      <c r="BH868" s="6"/>
      <c r="BI868" s="6"/>
      <c r="BJ868" s="6"/>
      <c r="BK868" s="6"/>
      <c r="BL868" s="6"/>
      <c r="BM868" s="6"/>
      <c r="BN868" s="6"/>
      <c r="BO868" s="6"/>
      <c r="BP868" s="3">
        <v>6</v>
      </c>
      <c r="BQ868" s="6">
        <f t="shared" si="196"/>
        <v>0</v>
      </c>
    </row>
    <row r="869" spans="1:69" x14ac:dyDescent="0.3">
      <c r="A869" s="3" t="s">
        <v>1321</v>
      </c>
      <c r="B869" s="3">
        <v>471</v>
      </c>
      <c r="C869" s="3" t="s">
        <v>1425</v>
      </c>
      <c r="D869" s="3">
        <v>6</v>
      </c>
      <c r="E869" s="3" t="s">
        <v>19</v>
      </c>
      <c r="F869" s="3" t="s">
        <v>19</v>
      </c>
      <c r="G869" s="3" t="s">
        <v>19</v>
      </c>
      <c r="H869" s="3" t="s">
        <v>443</v>
      </c>
      <c r="I869" s="3"/>
      <c r="J869" s="3" t="s">
        <v>91</v>
      </c>
      <c r="K869" s="3" t="s">
        <v>1429</v>
      </c>
      <c r="L869" s="3" t="s">
        <v>335</v>
      </c>
      <c r="M869" s="3">
        <v>18</v>
      </c>
      <c r="N869" s="6"/>
      <c r="O869" s="3">
        <v>17</v>
      </c>
      <c r="P869" s="3">
        <v>17</v>
      </c>
      <c r="Q869" s="3">
        <v>17</v>
      </c>
      <c r="R869" s="3">
        <v>0</v>
      </c>
      <c r="S869" s="3">
        <v>0</v>
      </c>
      <c r="T869" s="3">
        <v>0</v>
      </c>
      <c r="U869" s="3">
        <v>0</v>
      </c>
      <c r="V869" s="3">
        <f t="shared" si="197"/>
        <v>17</v>
      </c>
      <c r="W869" s="3">
        <v>17</v>
      </c>
      <c r="X869" s="3">
        <v>0</v>
      </c>
      <c r="Y869" s="3">
        <v>0</v>
      </c>
      <c r="Z869" s="3">
        <v>0</v>
      </c>
      <c r="AA869" s="3">
        <v>0</v>
      </c>
      <c r="AB869" s="3">
        <f t="shared" si="198"/>
        <v>17</v>
      </c>
      <c r="AC869" s="6">
        <f t="shared" si="206"/>
        <v>-17</v>
      </c>
      <c r="AD869" s="6">
        <f t="shared" si="207"/>
        <v>0</v>
      </c>
      <c r="AE869" s="6">
        <f t="shared" si="208"/>
        <v>0</v>
      </c>
      <c r="AF869" s="6">
        <f t="shared" si="209"/>
        <v>0</v>
      </c>
      <c r="AG869" s="6">
        <f t="shared" si="210"/>
        <v>0</v>
      </c>
      <c r="AH869" s="6">
        <f t="shared" si="199"/>
        <v>-17</v>
      </c>
      <c r="AI869" s="3"/>
      <c r="AJ869" s="3" t="e">
        <f>_xlfn.XLOOKUP(K869,工作表1!A:A,工作表1!C:C)</f>
        <v>#N/A</v>
      </c>
      <c r="AK869" s="3"/>
      <c r="AL869" s="6">
        <f t="shared" si="200"/>
        <v>0</v>
      </c>
      <c r="AM869" s="6">
        <f t="shared" si="201"/>
        <v>0</v>
      </c>
      <c r="AN869" s="6">
        <f t="shared" si="202"/>
        <v>0</v>
      </c>
      <c r="AO869" s="6">
        <f t="shared" si="203"/>
        <v>0</v>
      </c>
      <c r="AP869" s="6">
        <f t="shared" si="204"/>
        <v>0</v>
      </c>
      <c r="AQ869" s="6">
        <f t="shared" si="205"/>
        <v>0</v>
      </c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  <c r="BC869" s="6"/>
      <c r="BD869" s="6"/>
      <c r="BE869" s="6"/>
      <c r="BF869" s="6"/>
      <c r="BG869" s="6"/>
      <c r="BH869" s="6"/>
      <c r="BI869" s="6"/>
      <c r="BJ869" s="6"/>
      <c r="BK869" s="6"/>
      <c r="BL869" s="6"/>
      <c r="BM869" s="6"/>
      <c r="BN869" s="6"/>
      <c r="BO869" s="6"/>
      <c r="BP869" s="3">
        <v>17</v>
      </c>
      <c r="BQ869" s="6">
        <f t="shared" si="196"/>
        <v>0</v>
      </c>
    </row>
    <row r="870" spans="1:69" x14ac:dyDescent="0.3">
      <c r="A870" s="3" t="s">
        <v>1321</v>
      </c>
      <c r="B870" s="3">
        <v>471</v>
      </c>
      <c r="C870" s="3" t="s">
        <v>1425</v>
      </c>
      <c r="D870" s="3">
        <v>3</v>
      </c>
      <c r="E870" s="3" t="s">
        <v>19</v>
      </c>
      <c r="F870" s="3" t="s">
        <v>19</v>
      </c>
      <c r="G870" s="3" t="s">
        <v>19</v>
      </c>
      <c r="H870" s="3" t="s">
        <v>338</v>
      </c>
      <c r="I870" s="3"/>
      <c r="J870" s="3" t="s">
        <v>91</v>
      </c>
      <c r="K870" s="3" t="s">
        <v>1430</v>
      </c>
      <c r="L870" s="3" t="s">
        <v>335</v>
      </c>
      <c r="M870" s="3">
        <v>8</v>
      </c>
      <c r="N870" s="6"/>
      <c r="O870" s="3">
        <v>2</v>
      </c>
      <c r="P870" s="3">
        <v>2</v>
      </c>
      <c r="Q870" s="3">
        <v>2</v>
      </c>
      <c r="R870" s="3">
        <v>0</v>
      </c>
      <c r="S870" s="3">
        <v>0</v>
      </c>
      <c r="T870" s="3">
        <v>0</v>
      </c>
      <c r="U870" s="3">
        <v>0</v>
      </c>
      <c r="V870" s="3">
        <f t="shared" si="197"/>
        <v>2</v>
      </c>
      <c r="W870" s="3">
        <v>2</v>
      </c>
      <c r="X870" s="3">
        <v>0</v>
      </c>
      <c r="Y870" s="3">
        <v>0</v>
      </c>
      <c r="Z870" s="3">
        <v>0</v>
      </c>
      <c r="AA870" s="3">
        <v>0</v>
      </c>
      <c r="AB870" s="3">
        <f t="shared" si="198"/>
        <v>2</v>
      </c>
      <c r="AC870" s="6">
        <f t="shared" si="206"/>
        <v>-2</v>
      </c>
      <c r="AD870" s="6">
        <f t="shared" si="207"/>
        <v>0</v>
      </c>
      <c r="AE870" s="6">
        <f t="shared" si="208"/>
        <v>0</v>
      </c>
      <c r="AF870" s="6">
        <f t="shared" si="209"/>
        <v>0</v>
      </c>
      <c r="AG870" s="6">
        <f t="shared" si="210"/>
        <v>0</v>
      </c>
      <c r="AH870" s="6">
        <f t="shared" si="199"/>
        <v>-2</v>
      </c>
      <c r="AI870" s="3"/>
      <c r="AJ870" s="3" t="e">
        <f>_xlfn.XLOOKUP(K870,工作表1!A:A,工作表1!C:C)</f>
        <v>#N/A</v>
      </c>
      <c r="AK870" s="3"/>
      <c r="AL870" s="6">
        <f t="shared" si="200"/>
        <v>0</v>
      </c>
      <c r="AM870" s="6">
        <f t="shared" si="201"/>
        <v>0</v>
      </c>
      <c r="AN870" s="6">
        <f t="shared" si="202"/>
        <v>0</v>
      </c>
      <c r="AO870" s="6">
        <f t="shared" si="203"/>
        <v>0</v>
      </c>
      <c r="AP870" s="6">
        <f t="shared" si="204"/>
        <v>0</v>
      </c>
      <c r="AQ870" s="6">
        <f t="shared" si="205"/>
        <v>0</v>
      </c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  <c r="BC870" s="6"/>
      <c r="BD870" s="6"/>
      <c r="BE870" s="6"/>
      <c r="BF870" s="6"/>
      <c r="BG870" s="6"/>
      <c r="BH870" s="6"/>
      <c r="BI870" s="6"/>
      <c r="BJ870" s="6"/>
      <c r="BK870" s="6"/>
      <c r="BL870" s="6"/>
      <c r="BM870" s="6"/>
      <c r="BN870" s="6"/>
      <c r="BO870" s="6"/>
      <c r="BP870" s="3">
        <v>2</v>
      </c>
      <c r="BQ870" s="6">
        <f t="shared" si="196"/>
        <v>0</v>
      </c>
    </row>
    <row r="871" spans="1:69" x14ac:dyDescent="0.3">
      <c r="A871" s="3" t="s">
        <v>1321</v>
      </c>
      <c r="B871" s="3">
        <v>471</v>
      </c>
      <c r="C871" s="3" t="s">
        <v>1425</v>
      </c>
      <c r="D871" s="3">
        <v>2</v>
      </c>
      <c r="E871" s="3" t="s">
        <v>19</v>
      </c>
      <c r="F871" s="3" t="s">
        <v>19</v>
      </c>
      <c r="G871" s="3" t="s">
        <v>19</v>
      </c>
      <c r="H871" s="3" t="s">
        <v>340</v>
      </c>
      <c r="I871" s="3"/>
      <c r="J871" s="3" t="s">
        <v>91</v>
      </c>
      <c r="K871" s="3" t="s">
        <v>1431</v>
      </c>
      <c r="L871" s="3" t="s">
        <v>335</v>
      </c>
      <c r="M871" s="3">
        <v>18</v>
      </c>
      <c r="N871" s="6"/>
      <c r="O871" s="3">
        <v>5</v>
      </c>
      <c r="P871" s="3">
        <v>5</v>
      </c>
      <c r="Q871" s="3">
        <v>5</v>
      </c>
      <c r="R871" s="3">
        <v>0</v>
      </c>
      <c r="S871" s="3">
        <v>0</v>
      </c>
      <c r="T871" s="3">
        <v>0</v>
      </c>
      <c r="U871" s="3">
        <v>0</v>
      </c>
      <c r="V871" s="3">
        <f t="shared" si="197"/>
        <v>5</v>
      </c>
      <c r="W871" s="3">
        <v>5</v>
      </c>
      <c r="X871" s="3">
        <v>0</v>
      </c>
      <c r="Y871" s="3">
        <v>0</v>
      </c>
      <c r="Z871" s="3">
        <v>0</v>
      </c>
      <c r="AA871" s="3">
        <v>0</v>
      </c>
      <c r="AB871" s="3">
        <f t="shared" si="198"/>
        <v>5</v>
      </c>
      <c r="AC871" s="6">
        <f t="shared" si="206"/>
        <v>-5</v>
      </c>
      <c r="AD871" s="6">
        <f t="shared" si="207"/>
        <v>0</v>
      </c>
      <c r="AE871" s="6">
        <f t="shared" si="208"/>
        <v>0</v>
      </c>
      <c r="AF871" s="6">
        <f t="shared" si="209"/>
        <v>0</v>
      </c>
      <c r="AG871" s="6">
        <f t="shared" si="210"/>
        <v>0</v>
      </c>
      <c r="AH871" s="6">
        <f t="shared" si="199"/>
        <v>-5</v>
      </c>
      <c r="AI871" s="3"/>
      <c r="AJ871" s="3" t="e">
        <f>_xlfn.XLOOKUP(K871,工作表1!A:A,工作表1!C:C)</f>
        <v>#N/A</v>
      </c>
      <c r="AK871" s="3"/>
      <c r="AL871" s="6">
        <f t="shared" si="200"/>
        <v>0</v>
      </c>
      <c r="AM871" s="6">
        <f t="shared" si="201"/>
        <v>0</v>
      </c>
      <c r="AN871" s="6">
        <f t="shared" si="202"/>
        <v>0</v>
      </c>
      <c r="AO871" s="6">
        <f t="shared" si="203"/>
        <v>0</v>
      </c>
      <c r="AP871" s="6">
        <f t="shared" si="204"/>
        <v>0</v>
      </c>
      <c r="AQ871" s="6">
        <f t="shared" si="205"/>
        <v>0</v>
      </c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  <c r="BC871" s="6"/>
      <c r="BD871" s="6"/>
      <c r="BE871" s="6"/>
      <c r="BF871" s="6"/>
      <c r="BG871" s="6"/>
      <c r="BH871" s="6"/>
      <c r="BI871" s="6"/>
      <c r="BJ871" s="6"/>
      <c r="BK871" s="6"/>
      <c r="BL871" s="6"/>
      <c r="BM871" s="6"/>
      <c r="BN871" s="6"/>
      <c r="BO871" s="6"/>
      <c r="BP871" s="3">
        <v>5</v>
      </c>
      <c r="BQ871" s="6">
        <f t="shared" si="196"/>
        <v>0</v>
      </c>
    </row>
    <row r="872" spans="1:69" x14ac:dyDescent="0.3">
      <c r="A872" s="3" t="s">
        <v>1321</v>
      </c>
      <c r="B872" s="3">
        <v>471</v>
      </c>
      <c r="C872" s="3" t="s">
        <v>1425</v>
      </c>
      <c r="D872" s="3">
        <v>1.5</v>
      </c>
      <c r="E872" s="3" t="s">
        <v>19</v>
      </c>
      <c r="F872" s="3" t="s">
        <v>19</v>
      </c>
      <c r="G872" s="3" t="s">
        <v>19</v>
      </c>
      <c r="H872" s="3" t="s">
        <v>99</v>
      </c>
      <c r="I872" s="3"/>
      <c r="J872" s="3" t="s">
        <v>91</v>
      </c>
      <c r="K872" s="3" t="s">
        <v>1432</v>
      </c>
      <c r="L872" s="3" t="s">
        <v>335</v>
      </c>
      <c r="M872" s="3">
        <v>19</v>
      </c>
      <c r="N872" s="6"/>
      <c r="O872" s="3">
        <v>2</v>
      </c>
      <c r="P872" s="3">
        <v>2</v>
      </c>
      <c r="Q872" s="3">
        <v>2</v>
      </c>
      <c r="R872" s="3">
        <v>0</v>
      </c>
      <c r="S872" s="3">
        <v>0</v>
      </c>
      <c r="T872" s="3">
        <v>0</v>
      </c>
      <c r="U872" s="3">
        <v>0</v>
      </c>
      <c r="V872" s="3">
        <f t="shared" si="197"/>
        <v>2</v>
      </c>
      <c r="W872" s="3">
        <v>2</v>
      </c>
      <c r="X872" s="3">
        <v>0</v>
      </c>
      <c r="Y872" s="3">
        <v>0</v>
      </c>
      <c r="Z872" s="3">
        <v>0</v>
      </c>
      <c r="AA872" s="3">
        <v>0</v>
      </c>
      <c r="AB872" s="3">
        <f t="shared" si="198"/>
        <v>2</v>
      </c>
      <c r="AC872" s="6">
        <f t="shared" si="206"/>
        <v>-2</v>
      </c>
      <c r="AD872" s="6">
        <f t="shared" si="207"/>
        <v>0</v>
      </c>
      <c r="AE872" s="6">
        <f t="shared" si="208"/>
        <v>0</v>
      </c>
      <c r="AF872" s="6">
        <f t="shared" si="209"/>
        <v>0</v>
      </c>
      <c r="AG872" s="6">
        <f t="shared" si="210"/>
        <v>0</v>
      </c>
      <c r="AH872" s="6">
        <f t="shared" si="199"/>
        <v>-2</v>
      </c>
      <c r="AI872" s="3"/>
      <c r="AJ872" s="3" t="e">
        <f>_xlfn.XLOOKUP(K872,工作表1!A:A,工作表1!C:C)</f>
        <v>#N/A</v>
      </c>
      <c r="AK872" s="3"/>
      <c r="AL872" s="6">
        <f t="shared" si="200"/>
        <v>0</v>
      </c>
      <c r="AM872" s="6">
        <f t="shared" si="201"/>
        <v>0</v>
      </c>
      <c r="AN872" s="6">
        <f t="shared" si="202"/>
        <v>0</v>
      </c>
      <c r="AO872" s="6">
        <f t="shared" si="203"/>
        <v>0</v>
      </c>
      <c r="AP872" s="6">
        <f t="shared" si="204"/>
        <v>0</v>
      </c>
      <c r="AQ872" s="6">
        <f t="shared" si="205"/>
        <v>0</v>
      </c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  <c r="BC872" s="6"/>
      <c r="BD872" s="6"/>
      <c r="BE872" s="6"/>
      <c r="BF872" s="6"/>
      <c r="BG872" s="6"/>
      <c r="BH872" s="6"/>
      <c r="BI872" s="6"/>
      <c r="BJ872" s="6"/>
      <c r="BK872" s="6"/>
      <c r="BL872" s="6"/>
      <c r="BM872" s="6"/>
      <c r="BN872" s="6"/>
      <c r="BO872" s="6"/>
      <c r="BP872" s="3">
        <v>2</v>
      </c>
      <c r="BQ872" s="6">
        <f t="shared" si="196"/>
        <v>0</v>
      </c>
    </row>
    <row r="873" spans="1:69" x14ac:dyDescent="0.3">
      <c r="A873" s="3" t="s">
        <v>1321</v>
      </c>
      <c r="B873" s="3">
        <v>471</v>
      </c>
      <c r="C873" s="3" t="s">
        <v>1425</v>
      </c>
      <c r="D873" s="3">
        <v>1</v>
      </c>
      <c r="E873" s="3" t="s">
        <v>19</v>
      </c>
      <c r="F873" s="3" t="s">
        <v>19</v>
      </c>
      <c r="G873" s="3" t="s">
        <v>19</v>
      </c>
      <c r="H873" s="3" t="s">
        <v>101</v>
      </c>
      <c r="I873" s="3"/>
      <c r="J873" s="3" t="s">
        <v>91</v>
      </c>
      <c r="K873" s="3" t="s">
        <v>1433</v>
      </c>
      <c r="L873" s="3" t="s">
        <v>335</v>
      </c>
      <c r="M873" s="3">
        <v>10</v>
      </c>
      <c r="N873" s="6"/>
      <c r="O873" s="3">
        <v>4</v>
      </c>
      <c r="P873" s="3">
        <v>4</v>
      </c>
      <c r="Q873" s="3">
        <v>4</v>
      </c>
      <c r="R873" s="3">
        <v>0</v>
      </c>
      <c r="S873" s="3">
        <v>0</v>
      </c>
      <c r="T873" s="3">
        <v>0</v>
      </c>
      <c r="U873" s="3">
        <v>0</v>
      </c>
      <c r="V873" s="3">
        <f t="shared" si="197"/>
        <v>4</v>
      </c>
      <c r="W873" s="3">
        <v>4</v>
      </c>
      <c r="X873" s="3">
        <v>0</v>
      </c>
      <c r="Y873" s="3">
        <v>0</v>
      </c>
      <c r="Z873" s="3">
        <v>0</v>
      </c>
      <c r="AA873" s="3">
        <v>0</v>
      </c>
      <c r="AB873" s="3">
        <f t="shared" si="198"/>
        <v>4</v>
      </c>
      <c r="AC873" s="6">
        <f t="shared" si="206"/>
        <v>-4</v>
      </c>
      <c r="AD873" s="6">
        <f t="shared" si="207"/>
        <v>0</v>
      </c>
      <c r="AE873" s="6">
        <f t="shared" si="208"/>
        <v>0</v>
      </c>
      <c r="AF873" s="6">
        <f t="shared" si="209"/>
        <v>0</v>
      </c>
      <c r="AG873" s="6">
        <f t="shared" si="210"/>
        <v>0</v>
      </c>
      <c r="AH873" s="6">
        <f t="shared" si="199"/>
        <v>-4</v>
      </c>
      <c r="AI873" s="3"/>
      <c r="AJ873" s="3" t="e">
        <f>_xlfn.XLOOKUP(K873,工作表1!A:A,工作表1!C:C)</f>
        <v>#N/A</v>
      </c>
      <c r="AK873" s="3"/>
      <c r="AL873" s="6">
        <f t="shared" si="200"/>
        <v>0</v>
      </c>
      <c r="AM873" s="6">
        <f t="shared" si="201"/>
        <v>0</v>
      </c>
      <c r="AN873" s="6">
        <f t="shared" si="202"/>
        <v>0</v>
      </c>
      <c r="AO873" s="6">
        <f t="shared" si="203"/>
        <v>0</v>
      </c>
      <c r="AP873" s="6">
        <f t="shared" si="204"/>
        <v>0</v>
      </c>
      <c r="AQ873" s="6">
        <f t="shared" si="205"/>
        <v>0</v>
      </c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  <c r="BC873" s="6"/>
      <c r="BD873" s="6"/>
      <c r="BE873" s="6"/>
      <c r="BF873" s="6"/>
      <c r="BG873" s="6"/>
      <c r="BH873" s="6"/>
      <c r="BI873" s="6"/>
      <c r="BJ873" s="6"/>
      <c r="BK873" s="6"/>
      <c r="BL873" s="6"/>
      <c r="BM873" s="6"/>
      <c r="BN873" s="6"/>
      <c r="BO873" s="6"/>
      <c r="BP873" s="3">
        <v>4</v>
      </c>
      <c r="BQ873" s="6">
        <f t="shared" si="196"/>
        <v>0</v>
      </c>
    </row>
    <row r="874" spans="1:69" x14ac:dyDescent="0.3">
      <c r="A874" s="3" t="s">
        <v>1321</v>
      </c>
      <c r="B874" s="3">
        <v>481</v>
      </c>
      <c r="C874" s="3" t="s">
        <v>884</v>
      </c>
      <c r="D874" s="3">
        <v>2.5</v>
      </c>
      <c r="E874" s="3">
        <v>690</v>
      </c>
      <c r="F874" s="3" t="s">
        <v>19</v>
      </c>
      <c r="G874" s="3" t="s">
        <v>19</v>
      </c>
      <c r="H874" s="3" t="s">
        <v>1434</v>
      </c>
      <c r="I874" s="3"/>
      <c r="J874" s="3" t="s">
        <v>486</v>
      </c>
      <c r="K874" s="3" t="s">
        <v>1435</v>
      </c>
      <c r="L874" s="3" t="s">
        <v>335</v>
      </c>
      <c r="M874" s="3">
        <v>0</v>
      </c>
      <c r="N874" s="6"/>
      <c r="O874" s="3">
        <v>16</v>
      </c>
      <c r="P874" s="3">
        <v>16</v>
      </c>
      <c r="Q874" s="3">
        <v>16</v>
      </c>
      <c r="R874" s="3">
        <v>0</v>
      </c>
      <c r="S874" s="3">
        <v>0</v>
      </c>
      <c r="T874" s="3">
        <v>0</v>
      </c>
      <c r="U874" s="3">
        <v>0</v>
      </c>
      <c r="V874" s="3">
        <f t="shared" si="197"/>
        <v>16</v>
      </c>
      <c r="W874" s="3">
        <v>16</v>
      </c>
      <c r="X874" s="3">
        <v>0</v>
      </c>
      <c r="Y874" s="3">
        <v>0</v>
      </c>
      <c r="Z874" s="3">
        <v>0</v>
      </c>
      <c r="AA874" s="3">
        <v>0</v>
      </c>
      <c r="AB874" s="3">
        <f t="shared" si="198"/>
        <v>16</v>
      </c>
      <c r="AC874" s="6">
        <f t="shared" si="206"/>
        <v>-16</v>
      </c>
      <c r="AD874" s="6">
        <f t="shared" si="207"/>
        <v>0</v>
      </c>
      <c r="AE874" s="6">
        <f t="shared" si="208"/>
        <v>0</v>
      </c>
      <c r="AF874" s="6">
        <f t="shared" si="209"/>
        <v>0</v>
      </c>
      <c r="AG874" s="6">
        <f t="shared" si="210"/>
        <v>0</v>
      </c>
      <c r="AH874" s="6">
        <f t="shared" si="199"/>
        <v>-16</v>
      </c>
      <c r="AI874" s="3"/>
      <c r="AJ874" s="3" t="e">
        <f>_xlfn.XLOOKUP(K874,工作表1!A:A,工作表1!C:C)</f>
        <v>#N/A</v>
      </c>
      <c r="AK874" s="3"/>
      <c r="AL874" s="6">
        <f t="shared" si="200"/>
        <v>0</v>
      </c>
      <c r="AM874" s="6">
        <f t="shared" si="201"/>
        <v>0</v>
      </c>
      <c r="AN874" s="6">
        <f t="shared" si="202"/>
        <v>0</v>
      </c>
      <c r="AO874" s="6">
        <f t="shared" si="203"/>
        <v>0</v>
      </c>
      <c r="AP874" s="6">
        <f t="shared" si="204"/>
        <v>0</v>
      </c>
      <c r="AQ874" s="6">
        <f t="shared" si="205"/>
        <v>0</v>
      </c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  <c r="BC874" s="6"/>
      <c r="BD874" s="6"/>
      <c r="BE874" s="6"/>
      <c r="BF874" s="6"/>
      <c r="BG874" s="6"/>
      <c r="BH874" s="6"/>
      <c r="BI874" s="6"/>
      <c r="BJ874" s="6"/>
      <c r="BK874" s="6"/>
      <c r="BL874" s="6"/>
      <c r="BM874" s="6"/>
      <c r="BN874" s="6"/>
      <c r="BO874" s="6"/>
      <c r="BP874" s="3">
        <v>16</v>
      </c>
      <c r="BQ874" s="6">
        <f t="shared" si="196"/>
        <v>0</v>
      </c>
    </row>
    <row r="875" spans="1:69" x14ac:dyDescent="0.3">
      <c r="A875" s="3" t="s">
        <v>1321</v>
      </c>
      <c r="B875" s="3">
        <v>481</v>
      </c>
      <c r="C875" s="3" t="s">
        <v>884</v>
      </c>
      <c r="D875" s="3">
        <v>1.875</v>
      </c>
      <c r="E875" s="3">
        <v>370</v>
      </c>
      <c r="F875" s="3" t="s">
        <v>19</v>
      </c>
      <c r="G875" s="3" t="s">
        <v>19</v>
      </c>
      <c r="H875" s="3" t="s">
        <v>1436</v>
      </c>
      <c r="I875" s="3"/>
      <c r="J875" s="3" t="s">
        <v>486</v>
      </c>
      <c r="K875" s="3" t="s">
        <v>1437</v>
      </c>
      <c r="L875" s="3" t="s">
        <v>335</v>
      </c>
      <c r="M875" s="3">
        <v>79</v>
      </c>
      <c r="N875" s="6"/>
      <c r="O875" s="3">
        <v>72</v>
      </c>
      <c r="P875" s="3">
        <v>72</v>
      </c>
      <c r="Q875" s="3">
        <v>72</v>
      </c>
      <c r="R875" s="3">
        <v>0</v>
      </c>
      <c r="S875" s="3">
        <v>0</v>
      </c>
      <c r="T875" s="3">
        <v>0</v>
      </c>
      <c r="U875" s="3">
        <v>0</v>
      </c>
      <c r="V875" s="3">
        <f t="shared" si="197"/>
        <v>72</v>
      </c>
      <c r="W875" s="3">
        <v>72</v>
      </c>
      <c r="X875" s="3">
        <v>0</v>
      </c>
      <c r="Y875" s="3">
        <v>0</v>
      </c>
      <c r="Z875" s="3">
        <v>0</v>
      </c>
      <c r="AA875" s="3">
        <v>0</v>
      </c>
      <c r="AB875" s="3">
        <f t="shared" si="198"/>
        <v>72</v>
      </c>
      <c r="AC875" s="6">
        <f t="shared" si="206"/>
        <v>-72</v>
      </c>
      <c r="AD875" s="6">
        <f t="shared" si="207"/>
        <v>0</v>
      </c>
      <c r="AE875" s="6">
        <f t="shared" si="208"/>
        <v>0</v>
      </c>
      <c r="AF875" s="6">
        <f t="shared" si="209"/>
        <v>0</v>
      </c>
      <c r="AG875" s="6">
        <f t="shared" si="210"/>
        <v>0</v>
      </c>
      <c r="AH875" s="6">
        <f t="shared" si="199"/>
        <v>-72</v>
      </c>
      <c r="AI875" s="3"/>
      <c r="AJ875" s="3" t="e">
        <f>_xlfn.XLOOKUP(K875,工作表1!A:A,工作表1!C:C)</f>
        <v>#N/A</v>
      </c>
      <c r="AK875" s="3"/>
      <c r="AL875" s="6">
        <f t="shared" si="200"/>
        <v>0</v>
      </c>
      <c r="AM875" s="6">
        <f t="shared" si="201"/>
        <v>0</v>
      </c>
      <c r="AN875" s="6">
        <f t="shared" si="202"/>
        <v>0</v>
      </c>
      <c r="AO875" s="6">
        <f t="shared" si="203"/>
        <v>0</v>
      </c>
      <c r="AP875" s="6">
        <f t="shared" si="204"/>
        <v>0</v>
      </c>
      <c r="AQ875" s="6">
        <f t="shared" si="205"/>
        <v>0</v>
      </c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  <c r="BC875" s="6"/>
      <c r="BD875" s="6"/>
      <c r="BE875" s="6"/>
      <c r="BF875" s="6"/>
      <c r="BG875" s="6"/>
      <c r="BH875" s="6"/>
      <c r="BI875" s="6"/>
      <c r="BJ875" s="6"/>
      <c r="BK875" s="6"/>
      <c r="BL875" s="6"/>
      <c r="BM875" s="6"/>
      <c r="BN875" s="6"/>
      <c r="BO875" s="6"/>
      <c r="BP875" s="3">
        <v>72</v>
      </c>
      <c r="BQ875" s="6">
        <f t="shared" si="196"/>
        <v>0</v>
      </c>
    </row>
    <row r="876" spans="1:69" x14ac:dyDescent="0.3">
      <c r="A876" s="3" t="s">
        <v>1321</v>
      </c>
      <c r="B876" s="3">
        <v>481</v>
      </c>
      <c r="C876" s="3" t="s">
        <v>884</v>
      </c>
      <c r="D876" s="3">
        <v>1.375</v>
      </c>
      <c r="E876" s="3">
        <v>280</v>
      </c>
      <c r="F876" s="3" t="s">
        <v>19</v>
      </c>
      <c r="G876" s="3" t="s">
        <v>19</v>
      </c>
      <c r="H876" s="3" t="s">
        <v>885</v>
      </c>
      <c r="I876" s="3"/>
      <c r="J876" s="3" t="s">
        <v>486</v>
      </c>
      <c r="K876" s="3" t="s">
        <v>886</v>
      </c>
      <c r="L876" s="3" t="s">
        <v>335</v>
      </c>
      <c r="M876" s="3">
        <v>145</v>
      </c>
      <c r="N876" s="6"/>
      <c r="O876" s="3">
        <v>228</v>
      </c>
      <c r="P876" s="3">
        <v>228</v>
      </c>
      <c r="Q876" s="3">
        <v>228</v>
      </c>
      <c r="R876" s="3">
        <v>0</v>
      </c>
      <c r="S876" s="3">
        <v>0</v>
      </c>
      <c r="T876" s="3">
        <v>0</v>
      </c>
      <c r="U876" s="3">
        <v>0</v>
      </c>
      <c r="V876" s="3">
        <f t="shared" si="197"/>
        <v>228</v>
      </c>
      <c r="W876" s="3">
        <v>228</v>
      </c>
      <c r="X876" s="3">
        <v>0</v>
      </c>
      <c r="Y876" s="3">
        <v>0</v>
      </c>
      <c r="Z876" s="3">
        <v>0</v>
      </c>
      <c r="AA876" s="3">
        <v>0</v>
      </c>
      <c r="AB876" s="3">
        <f t="shared" si="198"/>
        <v>228</v>
      </c>
      <c r="AC876" s="6">
        <f t="shared" si="206"/>
        <v>-228</v>
      </c>
      <c r="AD876" s="6">
        <f t="shared" si="207"/>
        <v>0</v>
      </c>
      <c r="AE876" s="6">
        <f t="shared" si="208"/>
        <v>0</v>
      </c>
      <c r="AF876" s="6">
        <f t="shared" si="209"/>
        <v>0</v>
      </c>
      <c r="AG876" s="6">
        <f t="shared" si="210"/>
        <v>0</v>
      </c>
      <c r="AH876" s="6">
        <f t="shared" si="199"/>
        <v>-228</v>
      </c>
      <c r="AI876" s="3"/>
      <c r="AJ876" s="3" t="e">
        <f>_xlfn.XLOOKUP(K876,工作表1!A:A,工作表1!C:C)</f>
        <v>#N/A</v>
      </c>
      <c r="AK876" s="3"/>
      <c r="AL876" s="6">
        <f t="shared" si="200"/>
        <v>0</v>
      </c>
      <c r="AM876" s="6">
        <f t="shared" si="201"/>
        <v>0</v>
      </c>
      <c r="AN876" s="6">
        <f t="shared" si="202"/>
        <v>0</v>
      </c>
      <c r="AO876" s="6">
        <f t="shared" si="203"/>
        <v>0</v>
      </c>
      <c r="AP876" s="6">
        <f t="shared" si="204"/>
        <v>0</v>
      </c>
      <c r="AQ876" s="6">
        <f t="shared" si="205"/>
        <v>0</v>
      </c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  <c r="BC876" s="6"/>
      <c r="BD876" s="6"/>
      <c r="BE876" s="6"/>
      <c r="BF876" s="6"/>
      <c r="BG876" s="6"/>
      <c r="BH876" s="6"/>
      <c r="BI876" s="6"/>
      <c r="BJ876" s="6"/>
      <c r="BK876" s="6"/>
      <c r="BL876" s="6"/>
      <c r="BM876" s="6"/>
      <c r="BN876" s="6"/>
      <c r="BO876" s="6"/>
      <c r="BP876" s="3">
        <v>228</v>
      </c>
      <c r="BQ876" s="6">
        <f t="shared" si="196"/>
        <v>0</v>
      </c>
    </row>
    <row r="877" spans="1:69" x14ac:dyDescent="0.3">
      <c r="A877" s="3" t="s">
        <v>1321</v>
      </c>
      <c r="B877" s="3">
        <v>481</v>
      </c>
      <c r="C877" s="3" t="s">
        <v>884</v>
      </c>
      <c r="D877" s="3">
        <v>1.125</v>
      </c>
      <c r="E877" s="3">
        <v>215</v>
      </c>
      <c r="F877" s="3" t="s">
        <v>19</v>
      </c>
      <c r="G877" s="3" t="s">
        <v>19</v>
      </c>
      <c r="H877" s="3" t="s">
        <v>1438</v>
      </c>
      <c r="I877" s="3"/>
      <c r="J877" s="3" t="s">
        <v>486</v>
      </c>
      <c r="K877" s="3" t="s">
        <v>1439</v>
      </c>
      <c r="L877" s="3" t="s">
        <v>335</v>
      </c>
      <c r="M877" s="3">
        <v>18</v>
      </c>
      <c r="N877" s="6"/>
      <c r="O877" s="3">
        <v>16</v>
      </c>
      <c r="P877" s="3">
        <v>16</v>
      </c>
      <c r="Q877" s="3">
        <v>16</v>
      </c>
      <c r="R877" s="3">
        <v>0</v>
      </c>
      <c r="S877" s="3">
        <v>0</v>
      </c>
      <c r="T877" s="3">
        <v>0</v>
      </c>
      <c r="U877" s="3">
        <v>0</v>
      </c>
      <c r="V877" s="3">
        <f t="shared" si="197"/>
        <v>16</v>
      </c>
      <c r="W877" s="3">
        <v>16</v>
      </c>
      <c r="X877" s="3">
        <v>0</v>
      </c>
      <c r="Y877" s="3">
        <v>0</v>
      </c>
      <c r="Z877" s="3">
        <v>0</v>
      </c>
      <c r="AA877" s="3">
        <v>0</v>
      </c>
      <c r="AB877" s="3">
        <f t="shared" si="198"/>
        <v>16</v>
      </c>
      <c r="AC877" s="6">
        <f t="shared" si="206"/>
        <v>-16</v>
      </c>
      <c r="AD877" s="6">
        <f t="shared" si="207"/>
        <v>0</v>
      </c>
      <c r="AE877" s="6">
        <f t="shared" si="208"/>
        <v>0</v>
      </c>
      <c r="AF877" s="6">
        <f t="shared" si="209"/>
        <v>0</v>
      </c>
      <c r="AG877" s="6">
        <f t="shared" si="210"/>
        <v>0</v>
      </c>
      <c r="AH877" s="6">
        <f t="shared" si="199"/>
        <v>-16</v>
      </c>
      <c r="AI877" s="3"/>
      <c r="AJ877" s="3" t="e">
        <f>_xlfn.XLOOKUP(K877,工作表1!A:A,工作表1!C:C)</f>
        <v>#N/A</v>
      </c>
      <c r="AK877" s="3"/>
      <c r="AL877" s="6">
        <f t="shared" si="200"/>
        <v>0</v>
      </c>
      <c r="AM877" s="6">
        <f t="shared" si="201"/>
        <v>0</v>
      </c>
      <c r="AN877" s="6">
        <f t="shared" si="202"/>
        <v>0</v>
      </c>
      <c r="AO877" s="6">
        <f t="shared" si="203"/>
        <v>0</v>
      </c>
      <c r="AP877" s="6">
        <f t="shared" si="204"/>
        <v>0</v>
      </c>
      <c r="AQ877" s="6">
        <f t="shared" si="205"/>
        <v>0</v>
      </c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  <c r="BC877" s="6"/>
      <c r="BD877" s="6"/>
      <c r="BE877" s="6"/>
      <c r="BF877" s="6"/>
      <c r="BG877" s="6"/>
      <c r="BH877" s="6"/>
      <c r="BI877" s="6"/>
      <c r="BJ877" s="6"/>
      <c r="BK877" s="6"/>
      <c r="BL877" s="6"/>
      <c r="BM877" s="6"/>
      <c r="BN877" s="6"/>
      <c r="BO877" s="6"/>
      <c r="BP877" s="3">
        <v>16</v>
      </c>
      <c r="BQ877" s="6">
        <f t="shared" si="196"/>
        <v>0</v>
      </c>
    </row>
    <row r="878" spans="1:69" x14ac:dyDescent="0.3">
      <c r="A878" s="3" t="s">
        <v>1321</v>
      </c>
      <c r="B878" s="3">
        <v>481</v>
      </c>
      <c r="C878" s="3" t="s">
        <v>893</v>
      </c>
      <c r="D878" s="3">
        <v>1</v>
      </c>
      <c r="E878" s="3">
        <v>150</v>
      </c>
      <c r="F878" s="3" t="s">
        <v>19</v>
      </c>
      <c r="G878" s="3" t="s">
        <v>19</v>
      </c>
      <c r="H878" s="3" t="s">
        <v>1440</v>
      </c>
      <c r="I878" s="3"/>
      <c r="J878" s="3" t="s">
        <v>486</v>
      </c>
      <c r="K878" s="3" t="s">
        <v>1441</v>
      </c>
      <c r="L878" s="3" t="s">
        <v>335</v>
      </c>
      <c r="M878" s="3">
        <v>10</v>
      </c>
      <c r="N878" s="6"/>
      <c r="O878" s="3">
        <v>8</v>
      </c>
      <c r="P878" s="3">
        <v>8</v>
      </c>
      <c r="Q878" s="3">
        <v>8</v>
      </c>
      <c r="R878" s="3">
        <v>0</v>
      </c>
      <c r="S878" s="3">
        <v>0</v>
      </c>
      <c r="T878" s="3">
        <v>0</v>
      </c>
      <c r="U878" s="3">
        <v>0</v>
      </c>
      <c r="V878" s="3">
        <f t="shared" si="197"/>
        <v>8</v>
      </c>
      <c r="W878" s="3">
        <v>8</v>
      </c>
      <c r="X878" s="3">
        <v>0</v>
      </c>
      <c r="Y878" s="3">
        <v>0</v>
      </c>
      <c r="Z878" s="3">
        <v>0</v>
      </c>
      <c r="AA878" s="3">
        <v>0</v>
      </c>
      <c r="AB878" s="3">
        <f t="shared" si="198"/>
        <v>8</v>
      </c>
      <c r="AC878" s="6">
        <f t="shared" si="206"/>
        <v>-8</v>
      </c>
      <c r="AD878" s="6">
        <f t="shared" si="207"/>
        <v>0</v>
      </c>
      <c r="AE878" s="6">
        <f t="shared" si="208"/>
        <v>0</v>
      </c>
      <c r="AF878" s="6">
        <f t="shared" si="209"/>
        <v>0</v>
      </c>
      <c r="AG878" s="6">
        <f t="shared" si="210"/>
        <v>0</v>
      </c>
      <c r="AH878" s="6">
        <f t="shared" si="199"/>
        <v>-8</v>
      </c>
      <c r="AI878" s="3"/>
      <c r="AJ878" s="3" t="e">
        <f>_xlfn.XLOOKUP(K878,工作表1!A:A,工作表1!C:C)</f>
        <v>#N/A</v>
      </c>
      <c r="AK878" s="3"/>
      <c r="AL878" s="6">
        <f t="shared" si="200"/>
        <v>0</v>
      </c>
      <c r="AM878" s="6">
        <f t="shared" si="201"/>
        <v>0</v>
      </c>
      <c r="AN878" s="6">
        <f t="shared" si="202"/>
        <v>0</v>
      </c>
      <c r="AO878" s="6">
        <f t="shared" si="203"/>
        <v>0</v>
      </c>
      <c r="AP878" s="6">
        <f t="shared" si="204"/>
        <v>0</v>
      </c>
      <c r="AQ878" s="6">
        <f t="shared" si="205"/>
        <v>0</v>
      </c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  <c r="BC878" s="6"/>
      <c r="BD878" s="6"/>
      <c r="BE878" s="6"/>
      <c r="BF878" s="6"/>
      <c r="BG878" s="6"/>
      <c r="BH878" s="6"/>
      <c r="BI878" s="6"/>
      <c r="BJ878" s="6"/>
      <c r="BK878" s="6"/>
      <c r="BL878" s="6"/>
      <c r="BM878" s="6"/>
      <c r="BN878" s="6"/>
      <c r="BO878" s="6"/>
      <c r="BP878" s="3">
        <v>8</v>
      </c>
      <c r="BQ878" s="6">
        <f t="shared" si="196"/>
        <v>0</v>
      </c>
    </row>
    <row r="879" spans="1:69" x14ac:dyDescent="0.3">
      <c r="A879" s="3" t="s">
        <v>1321</v>
      </c>
      <c r="B879" s="3">
        <v>481</v>
      </c>
      <c r="C879" s="3" t="s">
        <v>893</v>
      </c>
      <c r="D879" s="3">
        <v>0.875</v>
      </c>
      <c r="E879" s="3">
        <v>160</v>
      </c>
      <c r="F879" s="3" t="s">
        <v>19</v>
      </c>
      <c r="G879" s="3" t="s">
        <v>19</v>
      </c>
      <c r="H879" s="3" t="s">
        <v>544</v>
      </c>
      <c r="I879" s="3"/>
      <c r="J879" s="3" t="s">
        <v>486</v>
      </c>
      <c r="K879" s="3" t="s">
        <v>1442</v>
      </c>
      <c r="L879" s="3" t="s">
        <v>335</v>
      </c>
      <c r="M879" s="3">
        <v>77</v>
      </c>
      <c r="N879" s="6"/>
      <c r="O879" s="3">
        <v>32</v>
      </c>
      <c r="P879" s="3">
        <v>32</v>
      </c>
      <c r="Q879" s="3">
        <v>32</v>
      </c>
      <c r="R879" s="3">
        <v>0</v>
      </c>
      <c r="S879" s="3">
        <v>0</v>
      </c>
      <c r="T879" s="3">
        <v>0</v>
      </c>
      <c r="U879" s="3">
        <v>0</v>
      </c>
      <c r="V879" s="3">
        <f t="shared" si="197"/>
        <v>32</v>
      </c>
      <c r="W879" s="3">
        <v>32</v>
      </c>
      <c r="X879" s="3">
        <v>0</v>
      </c>
      <c r="Y879" s="3">
        <v>0</v>
      </c>
      <c r="Z879" s="3">
        <v>0</v>
      </c>
      <c r="AA879" s="3">
        <v>0</v>
      </c>
      <c r="AB879" s="3">
        <f t="shared" si="198"/>
        <v>32</v>
      </c>
      <c r="AC879" s="6">
        <f t="shared" si="206"/>
        <v>-32</v>
      </c>
      <c r="AD879" s="6">
        <f t="shared" si="207"/>
        <v>0</v>
      </c>
      <c r="AE879" s="6">
        <f t="shared" si="208"/>
        <v>0</v>
      </c>
      <c r="AF879" s="6">
        <f t="shared" si="209"/>
        <v>0</v>
      </c>
      <c r="AG879" s="6">
        <f t="shared" si="210"/>
        <v>0</v>
      </c>
      <c r="AH879" s="6">
        <f t="shared" si="199"/>
        <v>-32</v>
      </c>
      <c r="AI879" s="3"/>
      <c r="AJ879" s="3" t="e">
        <f>_xlfn.XLOOKUP(K879,工作表1!A:A,工作表1!C:C)</f>
        <v>#N/A</v>
      </c>
      <c r="AK879" s="3"/>
      <c r="AL879" s="6">
        <f t="shared" si="200"/>
        <v>0</v>
      </c>
      <c r="AM879" s="6">
        <f t="shared" si="201"/>
        <v>0</v>
      </c>
      <c r="AN879" s="6">
        <f t="shared" si="202"/>
        <v>0</v>
      </c>
      <c r="AO879" s="6">
        <f t="shared" si="203"/>
        <v>0</v>
      </c>
      <c r="AP879" s="6">
        <f t="shared" si="204"/>
        <v>0</v>
      </c>
      <c r="AQ879" s="6">
        <f t="shared" si="205"/>
        <v>0</v>
      </c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  <c r="BC879" s="6"/>
      <c r="BD879" s="6"/>
      <c r="BE879" s="6"/>
      <c r="BF879" s="6"/>
      <c r="BG879" s="6"/>
      <c r="BH879" s="6"/>
      <c r="BI879" s="6"/>
      <c r="BJ879" s="6"/>
      <c r="BK879" s="6"/>
      <c r="BL879" s="6"/>
      <c r="BM879" s="6"/>
      <c r="BN879" s="6"/>
      <c r="BO879" s="6"/>
      <c r="BP879" s="3">
        <v>32</v>
      </c>
      <c r="BQ879" s="6">
        <f t="shared" si="196"/>
        <v>0</v>
      </c>
    </row>
    <row r="880" spans="1:69" x14ac:dyDescent="0.3">
      <c r="A880" s="3" t="s">
        <v>1321</v>
      </c>
      <c r="B880" s="3">
        <v>481</v>
      </c>
      <c r="C880" s="3" t="s">
        <v>893</v>
      </c>
      <c r="D880" s="3">
        <v>0.875</v>
      </c>
      <c r="E880" s="3">
        <v>140</v>
      </c>
      <c r="F880" s="3" t="s">
        <v>19</v>
      </c>
      <c r="G880" s="3" t="s">
        <v>19</v>
      </c>
      <c r="H880" s="3" t="s">
        <v>546</v>
      </c>
      <c r="I880" s="3"/>
      <c r="J880" s="3" t="s">
        <v>486</v>
      </c>
      <c r="K880" s="3" t="s">
        <v>894</v>
      </c>
      <c r="L880" s="3" t="s">
        <v>335</v>
      </c>
      <c r="M880" s="3">
        <v>29</v>
      </c>
      <c r="N880" s="6"/>
      <c r="O880" s="3">
        <v>20</v>
      </c>
      <c r="P880" s="3">
        <v>20</v>
      </c>
      <c r="Q880" s="3">
        <v>20</v>
      </c>
      <c r="R880" s="3">
        <v>0</v>
      </c>
      <c r="S880" s="3">
        <v>0</v>
      </c>
      <c r="T880" s="3">
        <v>0</v>
      </c>
      <c r="U880" s="3">
        <v>0</v>
      </c>
      <c r="V880" s="3">
        <f t="shared" si="197"/>
        <v>20</v>
      </c>
      <c r="W880" s="3">
        <v>20</v>
      </c>
      <c r="X880" s="3">
        <v>0</v>
      </c>
      <c r="Y880" s="3">
        <v>0</v>
      </c>
      <c r="Z880" s="3">
        <v>0</v>
      </c>
      <c r="AA880" s="3">
        <v>0</v>
      </c>
      <c r="AB880" s="3">
        <f t="shared" si="198"/>
        <v>20</v>
      </c>
      <c r="AC880" s="6">
        <f t="shared" si="206"/>
        <v>-20</v>
      </c>
      <c r="AD880" s="6">
        <f t="shared" si="207"/>
        <v>0</v>
      </c>
      <c r="AE880" s="6">
        <f t="shared" si="208"/>
        <v>0</v>
      </c>
      <c r="AF880" s="6">
        <f t="shared" si="209"/>
        <v>0</v>
      </c>
      <c r="AG880" s="6">
        <f t="shared" si="210"/>
        <v>0</v>
      </c>
      <c r="AH880" s="6">
        <f t="shared" si="199"/>
        <v>-20</v>
      </c>
      <c r="AI880" s="3"/>
      <c r="AJ880" s="3" t="e">
        <f>_xlfn.XLOOKUP(K880,工作表1!A:A,工作表1!C:C)</f>
        <v>#N/A</v>
      </c>
      <c r="AK880" s="3"/>
      <c r="AL880" s="6">
        <f t="shared" si="200"/>
        <v>0</v>
      </c>
      <c r="AM880" s="6">
        <f t="shared" si="201"/>
        <v>0</v>
      </c>
      <c r="AN880" s="6">
        <f t="shared" si="202"/>
        <v>0</v>
      </c>
      <c r="AO880" s="6">
        <f t="shared" si="203"/>
        <v>0</v>
      </c>
      <c r="AP880" s="6">
        <f t="shared" si="204"/>
        <v>0</v>
      </c>
      <c r="AQ880" s="6">
        <f t="shared" si="205"/>
        <v>0</v>
      </c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  <c r="BC880" s="6"/>
      <c r="BD880" s="6"/>
      <c r="BE880" s="6"/>
      <c r="BF880" s="6"/>
      <c r="BG880" s="6"/>
      <c r="BH880" s="6"/>
      <c r="BI880" s="6"/>
      <c r="BJ880" s="6"/>
      <c r="BK880" s="6"/>
      <c r="BL880" s="6"/>
      <c r="BM880" s="6"/>
      <c r="BN880" s="6"/>
      <c r="BO880" s="6"/>
      <c r="BP880" s="3">
        <v>20</v>
      </c>
      <c r="BQ880" s="6">
        <f t="shared" si="196"/>
        <v>0</v>
      </c>
    </row>
    <row r="881" spans="1:69" x14ac:dyDescent="0.3">
      <c r="A881" s="3" t="s">
        <v>1321</v>
      </c>
      <c r="B881" s="3">
        <v>610</v>
      </c>
      <c r="C881" s="3" t="s">
        <v>1443</v>
      </c>
      <c r="D881" s="3">
        <v>1</v>
      </c>
      <c r="E881" s="3" t="s">
        <v>19</v>
      </c>
      <c r="F881" s="3" t="s">
        <v>752</v>
      </c>
      <c r="G881" s="3" t="s">
        <v>19</v>
      </c>
      <c r="H881" s="3" t="s">
        <v>797</v>
      </c>
      <c r="I881" s="3">
        <v>4.55</v>
      </c>
      <c r="J881" s="3" t="s">
        <v>91</v>
      </c>
      <c r="K881" s="3" t="s">
        <v>1444</v>
      </c>
      <c r="L881" s="3" t="s">
        <v>24</v>
      </c>
      <c r="M881" s="3">
        <v>7</v>
      </c>
      <c r="N881" s="6"/>
      <c r="O881" s="3">
        <v>6</v>
      </c>
      <c r="P881" s="3">
        <v>6</v>
      </c>
      <c r="Q881" s="3">
        <v>6</v>
      </c>
      <c r="R881" s="3">
        <v>0</v>
      </c>
      <c r="S881" s="3">
        <v>0</v>
      </c>
      <c r="T881" s="3">
        <v>0</v>
      </c>
      <c r="U881" s="3">
        <v>0</v>
      </c>
      <c r="V881" s="3">
        <f t="shared" si="197"/>
        <v>6</v>
      </c>
      <c r="W881" s="3">
        <v>6</v>
      </c>
      <c r="X881" s="3">
        <v>0</v>
      </c>
      <c r="Y881" s="3">
        <v>0</v>
      </c>
      <c r="Z881" s="3">
        <v>0</v>
      </c>
      <c r="AA881" s="3">
        <v>0</v>
      </c>
      <c r="AB881" s="3">
        <f t="shared" si="198"/>
        <v>6</v>
      </c>
      <c r="AC881" s="6">
        <f t="shared" si="206"/>
        <v>-6</v>
      </c>
      <c r="AD881" s="6">
        <f t="shared" si="207"/>
        <v>0</v>
      </c>
      <c r="AE881" s="6">
        <f t="shared" si="208"/>
        <v>0</v>
      </c>
      <c r="AF881" s="6">
        <f t="shared" si="209"/>
        <v>0</v>
      </c>
      <c r="AG881" s="6">
        <f t="shared" si="210"/>
        <v>0</v>
      </c>
      <c r="AH881" s="6">
        <f t="shared" si="199"/>
        <v>-6</v>
      </c>
      <c r="AI881" s="3"/>
      <c r="AJ881" s="3" t="e">
        <f>_xlfn.XLOOKUP(K881,工作表1!A:A,工作表1!C:C)</f>
        <v>#N/A</v>
      </c>
      <c r="AK881" s="3"/>
      <c r="AL881" s="6">
        <f t="shared" si="200"/>
        <v>0</v>
      </c>
      <c r="AM881" s="6">
        <f t="shared" si="201"/>
        <v>0</v>
      </c>
      <c r="AN881" s="6">
        <f t="shared" si="202"/>
        <v>0</v>
      </c>
      <c r="AO881" s="6">
        <f t="shared" si="203"/>
        <v>0</v>
      </c>
      <c r="AP881" s="6">
        <f t="shared" si="204"/>
        <v>0</v>
      </c>
      <c r="AQ881" s="6">
        <f t="shared" si="205"/>
        <v>0</v>
      </c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  <c r="BC881" s="6"/>
      <c r="BD881" s="6"/>
      <c r="BE881" s="6"/>
      <c r="BF881" s="6"/>
      <c r="BG881" s="6"/>
      <c r="BH881" s="6"/>
      <c r="BI881" s="6"/>
      <c r="BJ881" s="6"/>
      <c r="BK881" s="6"/>
      <c r="BL881" s="6"/>
      <c r="BM881" s="6"/>
      <c r="BN881" s="6"/>
      <c r="BO881" s="6"/>
      <c r="BP881" s="3">
        <v>6</v>
      </c>
      <c r="BQ881" s="6">
        <f t="shared" si="196"/>
        <v>0</v>
      </c>
    </row>
    <row r="882" spans="1:69" x14ac:dyDescent="0.3">
      <c r="A882" s="3" t="s">
        <v>1321</v>
      </c>
      <c r="B882" s="3">
        <v>610</v>
      </c>
      <c r="C882" s="3" t="s">
        <v>1445</v>
      </c>
      <c r="D882" s="3">
        <v>1</v>
      </c>
      <c r="E882" s="3" t="s">
        <v>19</v>
      </c>
      <c r="F882" s="3" t="s">
        <v>752</v>
      </c>
      <c r="G882" s="3" t="s">
        <v>19</v>
      </c>
      <c r="H882" s="3" t="s">
        <v>797</v>
      </c>
      <c r="I882" s="3">
        <v>4.55</v>
      </c>
      <c r="J882" s="3" t="s">
        <v>91</v>
      </c>
      <c r="K882" s="3" t="s">
        <v>1446</v>
      </c>
      <c r="L882" s="3" t="s">
        <v>24</v>
      </c>
      <c r="M882" s="3">
        <v>1</v>
      </c>
      <c r="N882" s="6"/>
      <c r="O882" s="3">
        <v>1</v>
      </c>
      <c r="P882" s="3">
        <v>1</v>
      </c>
      <c r="Q882" s="3">
        <v>1</v>
      </c>
      <c r="R882" s="3">
        <v>0</v>
      </c>
      <c r="S882" s="3">
        <v>0</v>
      </c>
      <c r="T882" s="3">
        <v>0</v>
      </c>
      <c r="U882" s="3">
        <v>0</v>
      </c>
      <c r="V882" s="3">
        <f t="shared" si="197"/>
        <v>1</v>
      </c>
      <c r="W882" s="3">
        <v>1</v>
      </c>
      <c r="X882" s="3">
        <v>0</v>
      </c>
      <c r="Y882" s="3">
        <v>0</v>
      </c>
      <c r="Z882" s="3">
        <v>0</v>
      </c>
      <c r="AA882" s="3">
        <v>0</v>
      </c>
      <c r="AB882" s="3">
        <f t="shared" si="198"/>
        <v>1</v>
      </c>
      <c r="AC882" s="6">
        <f t="shared" si="206"/>
        <v>-1</v>
      </c>
      <c r="AD882" s="6">
        <f t="shared" si="207"/>
        <v>0</v>
      </c>
      <c r="AE882" s="6">
        <f t="shared" si="208"/>
        <v>0</v>
      </c>
      <c r="AF882" s="6">
        <f t="shared" si="209"/>
        <v>0</v>
      </c>
      <c r="AG882" s="6">
        <f t="shared" si="210"/>
        <v>0</v>
      </c>
      <c r="AH882" s="6">
        <f t="shared" si="199"/>
        <v>-1</v>
      </c>
      <c r="AI882" s="3"/>
      <c r="AJ882" s="3" t="e">
        <f>_xlfn.XLOOKUP(K882,工作表1!A:A,工作表1!C:C)</f>
        <v>#N/A</v>
      </c>
      <c r="AK882" s="3"/>
      <c r="AL882" s="6">
        <f t="shared" si="200"/>
        <v>0</v>
      </c>
      <c r="AM882" s="6">
        <f t="shared" si="201"/>
        <v>0</v>
      </c>
      <c r="AN882" s="6">
        <f t="shared" si="202"/>
        <v>0</v>
      </c>
      <c r="AO882" s="6">
        <f t="shared" si="203"/>
        <v>0</v>
      </c>
      <c r="AP882" s="6">
        <f t="shared" si="204"/>
        <v>0</v>
      </c>
      <c r="AQ882" s="6">
        <f t="shared" si="205"/>
        <v>0</v>
      </c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  <c r="BC882" s="6"/>
      <c r="BD882" s="6"/>
      <c r="BE882" s="6"/>
      <c r="BF882" s="6"/>
      <c r="BG882" s="6"/>
      <c r="BH882" s="6"/>
      <c r="BI882" s="6"/>
      <c r="BJ882" s="6"/>
      <c r="BK882" s="6"/>
      <c r="BL882" s="6"/>
      <c r="BM882" s="6"/>
      <c r="BN882" s="6"/>
      <c r="BO882" s="6"/>
      <c r="BP882" s="3">
        <v>1</v>
      </c>
      <c r="BQ882" s="6">
        <f t="shared" si="196"/>
        <v>0</v>
      </c>
    </row>
    <row r="883" spans="1:69" x14ac:dyDescent="0.3">
      <c r="A883" s="3" t="s">
        <v>1321</v>
      </c>
      <c r="B883" s="3">
        <v>620</v>
      </c>
      <c r="C883" s="3" t="s">
        <v>1447</v>
      </c>
      <c r="D883" s="3">
        <v>0.75</v>
      </c>
      <c r="E883" s="3" t="s">
        <v>19</v>
      </c>
      <c r="F883" s="3" t="s">
        <v>752</v>
      </c>
      <c r="G883" s="3" t="s">
        <v>19</v>
      </c>
      <c r="H883" s="3" t="s">
        <v>799</v>
      </c>
      <c r="I883" s="3">
        <v>3.91</v>
      </c>
      <c r="J883" s="3" t="s">
        <v>91</v>
      </c>
      <c r="K883" s="3" t="s">
        <v>1448</v>
      </c>
      <c r="L883" s="3" t="s">
        <v>24</v>
      </c>
      <c r="M883" s="3">
        <v>7</v>
      </c>
      <c r="N883" s="6"/>
      <c r="O883" s="3">
        <v>6</v>
      </c>
      <c r="P883" s="3">
        <v>6</v>
      </c>
      <c r="Q883" s="3">
        <v>6</v>
      </c>
      <c r="R883" s="3">
        <v>0</v>
      </c>
      <c r="S883" s="3">
        <v>0</v>
      </c>
      <c r="T883" s="3">
        <v>0</v>
      </c>
      <c r="U883" s="3">
        <v>0</v>
      </c>
      <c r="V883" s="3">
        <f t="shared" si="197"/>
        <v>6</v>
      </c>
      <c r="W883" s="3">
        <v>6</v>
      </c>
      <c r="X883" s="3">
        <v>0</v>
      </c>
      <c r="Y883" s="3">
        <v>0</v>
      </c>
      <c r="Z883" s="3">
        <v>0</v>
      </c>
      <c r="AA883" s="3">
        <v>0</v>
      </c>
      <c r="AB883" s="3">
        <f t="shared" si="198"/>
        <v>6</v>
      </c>
      <c r="AC883" s="6">
        <f t="shared" si="206"/>
        <v>-6</v>
      </c>
      <c r="AD883" s="6">
        <f t="shared" si="207"/>
        <v>0</v>
      </c>
      <c r="AE883" s="6">
        <f t="shared" si="208"/>
        <v>0</v>
      </c>
      <c r="AF883" s="6">
        <f t="shared" si="209"/>
        <v>0</v>
      </c>
      <c r="AG883" s="6">
        <f t="shared" si="210"/>
        <v>0</v>
      </c>
      <c r="AH883" s="6">
        <f t="shared" si="199"/>
        <v>-6</v>
      </c>
      <c r="AI883" s="3"/>
      <c r="AJ883" s="3" t="e">
        <f>_xlfn.XLOOKUP(K883,工作表1!A:A,工作表1!C:C)</f>
        <v>#N/A</v>
      </c>
      <c r="AK883" s="3"/>
      <c r="AL883" s="6">
        <f t="shared" si="200"/>
        <v>0</v>
      </c>
      <c r="AM883" s="6">
        <f t="shared" si="201"/>
        <v>0</v>
      </c>
      <c r="AN883" s="6">
        <f t="shared" si="202"/>
        <v>0</v>
      </c>
      <c r="AO883" s="6">
        <f t="shared" si="203"/>
        <v>0</v>
      </c>
      <c r="AP883" s="6">
        <f t="shared" si="204"/>
        <v>0</v>
      </c>
      <c r="AQ883" s="6">
        <f t="shared" si="205"/>
        <v>0</v>
      </c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  <c r="BC883" s="6"/>
      <c r="BD883" s="6"/>
      <c r="BE883" s="6"/>
      <c r="BF883" s="6"/>
      <c r="BG883" s="6"/>
      <c r="BH883" s="6"/>
      <c r="BI883" s="6"/>
      <c r="BJ883" s="6"/>
      <c r="BK883" s="6"/>
      <c r="BL883" s="6"/>
      <c r="BM883" s="6"/>
      <c r="BN883" s="6"/>
      <c r="BO883" s="6"/>
      <c r="BP883" s="3">
        <v>6</v>
      </c>
      <c r="BQ883" s="6">
        <f t="shared" si="196"/>
        <v>0</v>
      </c>
    </row>
    <row r="884" spans="1:69" x14ac:dyDescent="0.3">
      <c r="A884" s="3" t="s">
        <v>1321</v>
      </c>
      <c r="B884" s="3">
        <v>620</v>
      </c>
      <c r="C884" s="3" t="s">
        <v>1449</v>
      </c>
      <c r="D884" s="3">
        <v>2</v>
      </c>
      <c r="E884" s="3" t="s">
        <v>19</v>
      </c>
      <c r="F884" s="3" t="s">
        <v>752</v>
      </c>
      <c r="G884" s="3" t="s">
        <v>19</v>
      </c>
      <c r="H884" s="3" t="s">
        <v>790</v>
      </c>
      <c r="I884" s="3">
        <v>5.54</v>
      </c>
      <c r="J884" s="3" t="s">
        <v>91</v>
      </c>
      <c r="K884" s="3" t="s">
        <v>1450</v>
      </c>
      <c r="L884" s="3" t="s">
        <v>24</v>
      </c>
      <c r="M884" s="3">
        <v>3</v>
      </c>
      <c r="N884" s="6"/>
      <c r="O884" s="3">
        <v>3</v>
      </c>
      <c r="P884" s="3">
        <v>3</v>
      </c>
      <c r="Q884" s="3">
        <v>3</v>
      </c>
      <c r="R884" s="3">
        <v>0</v>
      </c>
      <c r="S884" s="3">
        <v>0</v>
      </c>
      <c r="T884" s="3">
        <v>0</v>
      </c>
      <c r="U884" s="3">
        <v>0</v>
      </c>
      <c r="V884" s="3">
        <f t="shared" si="197"/>
        <v>3</v>
      </c>
      <c r="W884" s="3">
        <v>3</v>
      </c>
      <c r="X884" s="3">
        <v>0</v>
      </c>
      <c r="Y884" s="3">
        <v>0</v>
      </c>
      <c r="Z884" s="3">
        <v>0</v>
      </c>
      <c r="AA884" s="3">
        <v>0</v>
      </c>
      <c r="AB884" s="3">
        <f t="shared" si="198"/>
        <v>3</v>
      </c>
      <c r="AC884" s="6">
        <f t="shared" si="206"/>
        <v>-3</v>
      </c>
      <c r="AD884" s="6">
        <f t="shared" si="207"/>
        <v>0</v>
      </c>
      <c r="AE884" s="6">
        <f t="shared" si="208"/>
        <v>0</v>
      </c>
      <c r="AF884" s="6">
        <f t="shared" si="209"/>
        <v>0</v>
      </c>
      <c r="AG884" s="6">
        <f t="shared" si="210"/>
        <v>0</v>
      </c>
      <c r="AH884" s="6">
        <f t="shared" si="199"/>
        <v>-3</v>
      </c>
      <c r="AI884" s="3"/>
      <c r="AJ884" s="3" t="e">
        <f>_xlfn.XLOOKUP(K884,工作表1!A:A,工作表1!C:C)</f>
        <v>#N/A</v>
      </c>
      <c r="AK884" s="3"/>
      <c r="AL884" s="6">
        <f t="shared" si="200"/>
        <v>0</v>
      </c>
      <c r="AM884" s="6">
        <f t="shared" si="201"/>
        <v>0</v>
      </c>
      <c r="AN884" s="6">
        <f t="shared" si="202"/>
        <v>0</v>
      </c>
      <c r="AO884" s="6">
        <f t="shared" si="203"/>
        <v>0</v>
      </c>
      <c r="AP884" s="6">
        <f t="shared" si="204"/>
        <v>0</v>
      </c>
      <c r="AQ884" s="6">
        <f t="shared" si="205"/>
        <v>0</v>
      </c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  <c r="BC884" s="6"/>
      <c r="BD884" s="6"/>
      <c r="BE884" s="6"/>
      <c r="BF884" s="6"/>
      <c r="BG884" s="6"/>
      <c r="BH884" s="6"/>
      <c r="BI884" s="6"/>
      <c r="BJ884" s="6"/>
      <c r="BK884" s="6"/>
      <c r="BL884" s="6"/>
      <c r="BM884" s="6"/>
      <c r="BN884" s="6"/>
      <c r="BO884" s="6"/>
      <c r="BP884" s="3">
        <v>3</v>
      </c>
      <c r="BQ884" s="6">
        <f t="shared" si="196"/>
        <v>0</v>
      </c>
    </row>
    <row r="885" spans="1:69" x14ac:dyDescent="0.3">
      <c r="A885" s="3" t="s">
        <v>1321</v>
      </c>
      <c r="B885" s="3">
        <v>630</v>
      </c>
      <c r="C885" s="3" t="s">
        <v>1451</v>
      </c>
      <c r="D885" s="3">
        <v>6</v>
      </c>
      <c r="E885" s="3" t="s">
        <v>19</v>
      </c>
      <c r="F885" s="3" t="s">
        <v>752</v>
      </c>
      <c r="G885" s="3" t="s">
        <v>19</v>
      </c>
      <c r="H885" s="3" t="s">
        <v>1338</v>
      </c>
      <c r="I885" s="3">
        <v>10.97</v>
      </c>
      <c r="J885" s="3" t="s">
        <v>91</v>
      </c>
      <c r="K885" s="3" t="s">
        <v>1452</v>
      </c>
      <c r="L885" s="3" t="s">
        <v>24</v>
      </c>
      <c r="M885" s="3">
        <v>1</v>
      </c>
      <c r="N885" s="6"/>
      <c r="O885" s="3">
        <v>1</v>
      </c>
      <c r="P885" s="3">
        <v>1</v>
      </c>
      <c r="Q885" s="3">
        <v>1</v>
      </c>
      <c r="R885" s="3">
        <v>0</v>
      </c>
      <c r="S885" s="3">
        <v>0</v>
      </c>
      <c r="T885" s="3">
        <v>0</v>
      </c>
      <c r="U885" s="3">
        <v>0</v>
      </c>
      <c r="V885" s="3">
        <f t="shared" si="197"/>
        <v>1</v>
      </c>
      <c r="W885" s="3">
        <v>1</v>
      </c>
      <c r="X885" s="3">
        <v>0</v>
      </c>
      <c r="Y885" s="3">
        <v>0</v>
      </c>
      <c r="Z885" s="3">
        <v>0</v>
      </c>
      <c r="AA885" s="3">
        <v>0</v>
      </c>
      <c r="AB885" s="3">
        <f t="shared" si="198"/>
        <v>1</v>
      </c>
      <c r="AC885" s="6">
        <f t="shared" si="206"/>
        <v>-1</v>
      </c>
      <c r="AD885" s="6">
        <f t="shared" si="207"/>
        <v>0</v>
      </c>
      <c r="AE885" s="6">
        <f t="shared" si="208"/>
        <v>0</v>
      </c>
      <c r="AF885" s="6">
        <f t="shared" si="209"/>
        <v>0</v>
      </c>
      <c r="AG885" s="6">
        <f t="shared" si="210"/>
        <v>0</v>
      </c>
      <c r="AH885" s="6">
        <f t="shared" si="199"/>
        <v>-1</v>
      </c>
      <c r="AI885" s="3"/>
      <c r="AJ885" s="3" t="e">
        <f>_xlfn.XLOOKUP(K885,工作表1!A:A,工作表1!C:C)</f>
        <v>#N/A</v>
      </c>
      <c r="AK885" s="3"/>
      <c r="AL885" s="6">
        <f t="shared" si="200"/>
        <v>0</v>
      </c>
      <c r="AM885" s="6">
        <f t="shared" si="201"/>
        <v>0</v>
      </c>
      <c r="AN885" s="6">
        <f t="shared" si="202"/>
        <v>0</v>
      </c>
      <c r="AO885" s="6">
        <f t="shared" si="203"/>
        <v>0</v>
      </c>
      <c r="AP885" s="6">
        <f t="shared" si="204"/>
        <v>0</v>
      </c>
      <c r="AQ885" s="6">
        <f t="shared" si="205"/>
        <v>0</v>
      </c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  <c r="BC885" s="6"/>
      <c r="BD885" s="6"/>
      <c r="BE885" s="6"/>
      <c r="BF885" s="6"/>
      <c r="BG885" s="6"/>
      <c r="BH885" s="6"/>
      <c r="BI885" s="6"/>
      <c r="BJ885" s="6"/>
      <c r="BK885" s="6"/>
      <c r="BL885" s="6"/>
      <c r="BM885" s="6"/>
      <c r="BN885" s="6"/>
      <c r="BO885" s="6"/>
      <c r="BP885" s="3">
        <v>1</v>
      </c>
      <c r="BQ885" s="6">
        <f t="shared" si="196"/>
        <v>0</v>
      </c>
    </row>
    <row r="886" spans="1:69" x14ac:dyDescent="0.3">
      <c r="A886" s="3" t="s">
        <v>1321</v>
      </c>
      <c r="B886" s="3">
        <v>674</v>
      </c>
      <c r="C886" s="3" t="s">
        <v>1453</v>
      </c>
      <c r="D886" s="3">
        <v>2</v>
      </c>
      <c r="E886" s="3" t="s">
        <v>19</v>
      </c>
      <c r="F886" s="3" t="s">
        <v>752</v>
      </c>
      <c r="G886" s="3" t="s">
        <v>19</v>
      </c>
      <c r="H886" s="3" t="s">
        <v>790</v>
      </c>
      <c r="I886" s="3">
        <v>5.54</v>
      </c>
      <c r="J886" s="3" t="s">
        <v>91</v>
      </c>
      <c r="K886" s="3" t="s">
        <v>1454</v>
      </c>
      <c r="L886" s="3" t="s">
        <v>24</v>
      </c>
      <c r="M886" s="3">
        <v>3</v>
      </c>
      <c r="N886" s="6"/>
      <c r="O886" s="3">
        <v>3</v>
      </c>
      <c r="P886" s="3">
        <v>3</v>
      </c>
      <c r="Q886" s="3">
        <v>3</v>
      </c>
      <c r="R886" s="3">
        <v>0</v>
      </c>
      <c r="S886" s="3">
        <v>0</v>
      </c>
      <c r="T886" s="3">
        <v>0</v>
      </c>
      <c r="U886" s="3">
        <v>0</v>
      </c>
      <c r="V886" s="3">
        <f t="shared" si="197"/>
        <v>3</v>
      </c>
      <c r="W886" s="3">
        <v>3</v>
      </c>
      <c r="X886" s="3">
        <v>0</v>
      </c>
      <c r="Y886" s="3">
        <v>0</v>
      </c>
      <c r="Z886" s="3">
        <v>0</v>
      </c>
      <c r="AA886" s="3">
        <v>0</v>
      </c>
      <c r="AB886" s="3">
        <f t="shared" si="198"/>
        <v>3</v>
      </c>
      <c r="AC886" s="6">
        <f t="shared" si="206"/>
        <v>-3</v>
      </c>
      <c r="AD886" s="6">
        <f t="shared" si="207"/>
        <v>0</v>
      </c>
      <c r="AE886" s="6">
        <f t="shared" si="208"/>
        <v>0</v>
      </c>
      <c r="AF886" s="6">
        <f t="shared" si="209"/>
        <v>0</v>
      </c>
      <c r="AG886" s="6">
        <f t="shared" si="210"/>
        <v>0</v>
      </c>
      <c r="AH886" s="6">
        <f t="shared" si="199"/>
        <v>-3</v>
      </c>
      <c r="AI886" s="3"/>
      <c r="AJ886" s="3" t="e">
        <f>_xlfn.XLOOKUP(K886,工作表1!A:A,工作表1!C:C)</f>
        <v>#N/A</v>
      </c>
      <c r="AK886" s="3"/>
      <c r="AL886" s="6">
        <f t="shared" si="200"/>
        <v>0</v>
      </c>
      <c r="AM886" s="6">
        <f t="shared" si="201"/>
        <v>0</v>
      </c>
      <c r="AN886" s="6">
        <f t="shared" si="202"/>
        <v>0</v>
      </c>
      <c r="AO886" s="6">
        <f t="shared" si="203"/>
        <v>0</v>
      </c>
      <c r="AP886" s="6">
        <f t="shared" si="204"/>
        <v>0</v>
      </c>
      <c r="AQ886" s="6">
        <f t="shared" si="205"/>
        <v>0</v>
      </c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  <c r="BC886" s="6"/>
      <c r="BD886" s="6"/>
      <c r="BE886" s="6"/>
      <c r="BF886" s="6"/>
      <c r="BG886" s="6"/>
      <c r="BH886" s="6"/>
      <c r="BI886" s="6"/>
      <c r="BJ886" s="6"/>
      <c r="BK886" s="6"/>
      <c r="BL886" s="6"/>
      <c r="BM886" s="6"/>
      <c r="BN886" s="6"/>
      <c r="BO886" s="6"/>
      <c r="BP886" s="3">
        <v>3</v>
      </c>
      <c r="BQ886" s="6">
        <f t="shared" si="196"/>
        <v>0</v>
      </c>
    </row>
    <row r="887" spans="1:69" x14ac:dyDescent="0.3">
      <c r="A887" s="3" t="s">
        <v>1321</v>
      </c>
      <c r="B887" s="3">
        <v>999</v>
      </c>
      <c r="C887" s="3" t="s">
        <v>1472</v>
      </c>
      <c r="D887" s="3" t="s">
        <v>19</v>
      </c>
      <c r="E887" s="3" t="s">
        <v>19</v>
      </c>
      <c r="F887" s="3" t="s">
        <v>19</v>
      </c>
      <c r="G887" s="3" t="s">
        <v>19</v>
      </c>
      <c r="H887" s="3"/>
      <c r="I887" s="3"/>
      <c r="J887" s="3" t="s">
        <v>91</v>
      </c>
      <c r="K887" s="3" t="s">
        <v>1455</v>
      </c>
      <c r="L887" s="3" t="s">
        <v>1467</v>
      </c>
      <c r="M887" s="3">
        <v>4</v>
      </c>
      <c r="N887" s="6"/>
      <c r="O887" s="3">
        <v>4</v>
      </c>
      <c r="P887" s="3">
        <v>4</v>
      </c>
      <c r="Q887" s="3">
        <v>4</v>
      </c>
      <c r="R887" s="3">
        <v>0</v>
      </c>
      <c r="S887" s="3">
        <v>0</v>
      </c>
      <c r="T887" s="3">
        <v>0</v>
      </c>
      <c r="U887" s="3">
        <v>0</v>
      </c>
      <c r="V887" s="3">
        <f t="shared" si="197"/>
        <v>4</v>
      </c>
      <c r="W887" s="3">
        <v>4</v>
      </c>
      <c r="X887" s="3">
        <v>0</v>
      </c>
      <c r="Y887" s="3">
        <v>0</v>
      </c>
      <c r="Z887" s="3">
        <v>0</v>
      </c>
      <c r="AA887" s="3">
        <v>0</v>
      </c>
      <c r="AB887" s="3">
        <f t="shared" si="198"/>
        <v>4</v>
      </c>
      <c r="AC887" s="6">
        <f t="shared" si="206"/>
        <v>-4</v>
      </c>
      <c r="AD887" s="6">
        <f t="shared" si="207"/>
        <v>0</v>
      </c>
      <c r="AE887" s="6">
        <f t="shared" si="208"/>
        <v>0</v>
      </c>
      <c r="AF887" s="6">
        <f t="shared" si="209"/>
        <v>0</v>
      </c>
      <c r="AG887" s="6">
        <f t="shared" si="210"/>
        <v>0</v>
      </c>
      <c r="AH887" s="6">
        <f t="shared" si="199"/>
        <v>-4</v>
      </c>
      <c r="AI887" s="3"/>
      <c r="AJ887" s="3" t="e">
        <f>_xlfn.XLOOKUP(K887,工作表1!A:A,工作表1!C:C)</f>
        <v>#N/A</v>
      </c>
      <c r="AK887" s="3"/>
      <c r="AL887" s="6">
        <f t="shared" si="200"/>
        <v>0</v>
      </c>
      <c r="AM887" s="6">
        <f t="shared" si="201"/>
        <v>0</v>
      </c>
      <c r="AN887" s="6">
        <f t="shared" si="202"/>
        <v>0</v>
      </c>
      <c r="AO887" s="6">
        <f t="shared" si="203"/>
        <v>0</v>
      </c>
      <c r="AP887" s="6">
        <f t="shared" si="204"/>
        <v>0</v>
      </c>
      <c r="AQ887" s="6">
        <f t="shared" si="205"/>
        <v>0</v>
      </c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  <c r="BC887" s="6"/>
      <c r="BD887" s="6"/>
      <c r="BE887" s="6"/>
      <c r="BF887" s="6"/>
      <c r="BG887" s="6"/>
      <c r="BH887" s="6"/>
      <c r="BI887" s="6"/>
      <c r="BJ887" s="6"/>
      <c r="BK887" s="6"/>
      <c r="BL887" s="6"/>
      <c r="BM887" s="6"/>
      <c r="BN887" s="6"/>
      <c r="BO887" s="6"/>
      <c r="BP887" s="3">
        <v>4</v>
      </c>
      <c r="BQ887" s="6">
        <f t="shared" si="196"/>
        <v>0</v>
      </c>
    </row>
    <row r="888" spans="1:69" x14ac:dyDescent="0.3">
      <c r="A888" s="3" t="s">
        <v>1321</v>
      </c>
      <c r="B888" s="3">
        <v>999</v>
      </c>
      <c r="C888" s="3" t="s">
        <v>1456</v>
      </c>
      <c r="D888" s="3" t="s">
        <v>19</v>
      </c>
      <c r="E888" s="3" t="s">
        <v>19</v>
      </c>
      <c r="F888" s="3" t="s">
        <v>19</v>
      </c>
      <c r="G888" s="3" t="s">
        <v>19</v>
      </c>
      <c r="H888" s="3"/>
      <c r="I888" s="3"/>
      <c r="J888" s="3" t="s">
        <v>91</v>
      </c>
      <c r="K888" s="3" t="s">
        <v>1457</v>
      </c>
      <c r="L888" s="3" t="s">
        <v>335</v>
      </c>
      <c r="M888" s="3">
        <v>2</v>
      </c>
      <c r="N888" s="6"/>
      <c r="O888" s="3">
        <v>2</v>
      </c>
      <c r="P888" s="3">
        <v>2</v>
      </c>
      <c r="Q888" s="3">
        <v>2</v>
      </c>
      <c r="R888" s="3">
        <v>0</v>
      </c>
      <c r="S888" s="3">
        <v>0</v>
      </c>
      <c r="T888" s="3">
        <v>0</v>
      </c>
      <c r="U888" s="3">
        <v>0</v>
      </c>
      <c r="V888" s="3">
        <f t="shared" si="197"/>
        <v>2</v>
      </c>
      <c r="W888" s="3">
        <v>2</v>
      </c>
      <c r="X888" s="3">
        <v>0</v>
      </c>
      <c r="Y888" s="3">
        <v>0</v>
      </c>
      <c r="Z888" s="3">
        <v>0</v>
      </c>
      <c r="AA888" s="3">
        <v>0</v>
      </c>
      <c r="AB888" s="3">
        <f t="shared" si="198"/>
        <v>2</v>
      </c>
      <c r="AC888" s="6">
        <f t="shared" si="206"/>
        <v>-2</v>
      </c>
      <c r="AD888" s="6">
        <f t="shared" si="207"/>
        <v>0</v>
      </c>
      <c r="AE888" s="6">
        <f t="shared" si="208"/>
        <v>0</v>
      </c>
      <c r="AF888" s="6">
        <f t="shared" si="209"/>
        <v>0</v>
      </c>
      <c r="AG888" s="6">
        <f t="shared" si="210"/>
        <v>0</v>
      </c>
      <c r="AH888" s="6">
        <f t="shared" si="199"/>
        <v>-2</v>
      </c>
      <c r="AI888" s="3"/>
      <c r="AJ888" s="3" t="e">
        <f>_xlfn.XLOOKUP(K888,工作表1!A:A,工作表1!C:C)</f>
        <v>#N/A</v>
      </c>
      <c r="AK888" s="3"/>
      <c r="AL888" s="6">
        <f t="shared" si="200"/>
        <v>0</v>
      </c>
      <c r="AM888" s="6">
        <f t="shared" si="201"/>
        <v>0</v>
      </c>
      <c r="AN888" s="6">
        <f t="shared" si="202"/>
        <v>0</v>
      </c>
      <c r="AO888" s="6">
        <f t="shared" si="203"/>
        <v>0</v>
      </c>
      <c r="AP888" s="6">
        <f t="shared" si="204"/>
        <v>0</v>
      </c>
      <c r="AQ888" s="6">
        <f t="shared" si="205"/>
        <v>0</v>
      </c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  <c r="BC888" s="6"/>
      <c r="BD888" s="6"/>
      <c r="BE888" s="6"/>
      <c r="BF888" s="6"/>
      <c r="BG888" s="6"/>
      <c r="BH888" s="6"/>
      <c r="BI888" s="6"/>
      <c r="BJ888" s="6"/>
      <c r="BK888" s="6"/>
      <c r="BL888" s="6"/>
      <c r="BM888" s="6"/>
      <c r="BN888" s="6"/>
      <c r="BO888" s="6"/>
      <c r="BP888" s="3">
        <v>2</v>
      </c>
      <c r="BQ888" s="6">
        <f t="shared" si="196"/>
        <v>0</v>
      </c>
    </row>
    <row r="889" spans="1:69" x14ac:dyDescent="0.3">
      <c r="A889" t="s">
        <v>1458</v>
      </c>
      <c r="O889">
        <v>14044.34</v>
      </c>
      <c r="AC889" s="6">
        <f t="shared" si="206"/>
        <v>0</v>
      </c>
      <c r="AD889" s="6">
        <f t="shared" si="207"/>
        <v>0</v>
      </c>
      <c r="AE889" s="6">
        <f t="shared" si="208"/>
        <v>0</v>
      </c>
      <c r="AF889" s="6">
        <f t="shared" si="209"/>
        <v>0</v>
      </c>
      <c r="AG889" s="6">
        <f t="shared" si="210"/>
        <v>0</v>
      </c>
      <c r="AH889" s="6"/>
      <c r="AI889" s="6"/>
      <c r="AJ889" s="3">
        <f>_xlfn.XLOOKUP(K889,工作表1!A:A,工作表1!C:C)</f>
        <v>0</v>
      </c>
      <c r="AK889" s="3"/>
      <c r="AL889" s="6">
        <f t="shared" si="200"/>
        <v>0</v>
      </c>
      <c r="AM889" s="6">
        <f t="shared" si="201"/>
        <v>0</v>
      </c>
      <c r="AN889" s="6">
        <f t="shared" si="202"/>
        <v>0</v>
      </c>
      <c r="AO889" s="6">
        <f t="shared" si="203"/>
        <v>0</v>
      </c>
      <c r="AP889" s="6">
        <f t="shared" si="204"/>
        <v>0</v>
      </c>
      <c r="AQ889" s="6">
        <f t="shared" si="205"/>
        <v>0</v>
      </c>
      <c r="AR889" s="16"/>
      <c r="AS889" s="16"/>
      <c r="AT889" s="16"/>
      <c r="AU889" s="16"/>
      <c r="AV889" s="16"/>
      <c r="AW889" s="16"/>
      <c r="AX889" s="16"/>
      <c r="AY889" s="16"/>
      <c r="AZ889" s="16"/>
      <c r="BA889" s="16"/>
      <c r="BB889" s="16"/>
      <c r="BC889" s="16"/>
      <c r="BD889" s="16"/>
      <c r="BE889" s="16"/>
      <c r="BF889" s="16"/>
      <c r="BG889" s="16"/>
      <c r="BH889" s="16"/>
      <c r="BI889" s="16"/>
      <c r="BJ889" s="16"/>
      <c r="BK889" s="16"/>
      <c r="BL889" s="16"/>
      <c r="BM889" s="16"/>
      <c r="BN889" s="16"/>
      <c r="BO889" s="16"/>
      <c r="BQ889" s="6"/>
    </row>
  </sheetData>
  <autoFilter ref="A6:BV889" xr:uid="{611D3DC9-D65A-4F9B-88FC-2B8889526CFE}"/>
  <mergeCells count="10">
    <mergeCell ref="BR4:BV4"/>
    <mergeCell ref="AL5:AQ5"/>
    <mergeCell ref="Q5:V5"/>
    <mergeCell ref="W5:AB5"/>
    <mergeCell ref="AR5:AV5"/>
    <mergeCell ref="BJ5:BN5"/>
    <mergeCell ref="BF5:BI5"/>
    <mergeCell ref="BA5:BE5"/>
    <mergeCell ref="AW5:AZ5"/>
    <mergeCell ref="AC5:AH5"/>
  </mergeCells>
  <phoneticPr fontId="1" type="noConversion"/>
  <conditionalFormatting sqref="P7:P888">
    <cfRule type="cellIs" dxfId="4" priority="5" operator="notEqual">
      <formula>O7</formula>
    </cfRule>
  </conditionalFormatting>
  <conditionalFormatting sqref="AC7:AG889">
    <cfRule type="cellIs" dxfId="3" priority="2" operator="lessThan">
      <formula>0</formula>
    </cfRule>
  </conditionalFormatting>
  <conditionalFormatting sqref="AH7:AH888">
    <cfRule type="cellIs" dxfId="2" priority="1" operator="equal">
      <formula>"SUM($AC$7:$AG$7)"</formula>
    </cfRule>
  </conditionalFormatting>
  <conditionalFormatting sqref="AI7:AK7 AH7:AH888 AH889:AI889">
    <cfRule type="cellIs" dxfId="1" priority="6" operator="lessThan">
      <formula>0</formula>
    </cfRule>
  </conditionalFormatting>
  <conditionalFormatting sqref="AQ7:AQ889">
    <cfRule type="cellIs" dxfId="0" priority="7" operator="notEqual">
      <formula>BQ7</formula>
    </cfRule>
  </conditionalFormatting>
  <pageMargins left="0.23622047244094491" right="0.23622047244094491" top="0.74803149606299213" bottom="0.74803149606299213" header="0.31496062992125984" footer="0.31496062992125984"/>
  <pageSetup paperSize="9" scale="99" fitToHeight="0" orientation="landscape" r:id="rId1"/>
  <headerFooter>
    <oddFooter>第 &amp;P 頁，共 &amp;N 頁</oddFooter>
  </headerFooter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0590BD-8FA6-4B2E-BF72-33C3786F571D}">
  <sheetPr codeName="工作表2"/>
  <dimension ref="A1:N888"/>
  <sheetViews>
    <sheetView workbookViewId="0">
      <selection activeCell="R8" sqref="R8"/>
    </sheetView>
  </sheetViews>
  <sheetFormatPr defaultRowHeight="16.2" x14ac:dyDescent="0.3"/>
  <cols>
    <col min="13" max="14" width="15.109375" bestFit="1" customWidth="1"/>
  </cols>
  <sheetData>
    <row r="1" spans="1:14" x14ac:dyDescent="0.25">
      <c r="A1" s="10" t="s">
        <v>1475</v>
      </c>
      <c r="B1" s="11" t="s">
        <v>1476</v>
      </c>
      <c r="C1" s="12" t="s">
        <v>1477</v>
      </c>
    </row>
    <row r="2" spans="1:14" x14ac:dyDescent="0.2">
      <c r="A2" s="13" t="s">
        <v>23</v>
      </c>
      <c r="B2" s="13" t="s">
        <v>1478</v>
      </c>
      <c r="C2" s="13">
        <v>120</v>
      </c>
      <c r="N2" t="s">
        <v>12</v>
      </c>
    </row>
    <row r="3" spans="1:14" x14ac:dyDescent="0.2">
      <c r="A3" s="13" t="s">
        <v>29</v>
      </c>
      <c r="B3" s="13" t="s">
        <v>1478</v>
      </c>
      <c r="C3" s="13">
        <v>228</v>
      </c>
      <c r="N3" t="s">
        <v>1522</v>
      </c>
    </row>
    <row r="4" spans="1:14" x14ac:dyDescent="0.2">
      <c r="A4" s="13" t="s">
        <v>31</v>
      </c>
      <c r="B4" s="13" t="s">
        <v>1478</v>
      </c>
      <c r="C4" s="13">
        <v>168</v>
      </c>
      <c r="N4" t="s">
        <v>27</v>
      </c>
    </row>
    <row r="5" spans="1:14" x14ac:dyDescent="0.2">
      <c r="A5" s="13" t="s">
        <v>33</v>
      </c>
      <c r="B5" s="13" t="s">
        <v>1478</v>
      </c>
      <c r="C5" s="13">
        <v>132</v>
      </c>
      <c r="N5" t="s">
        <v>29</v>
      </c>
    </row>
    <row r="6" spans="1:14" x14ac:dyDescent="0.2">
      <c r="A6" s="13" t="s">
        <v>71</v>
      </c>
      <c r="B6" s="13" t="s">
        <v>1478</v>
      </c>
      <c r="C6" s="13">
        <v>6</v>
      </c>
      <c r="M6" s="3" t="s">
        <v>12</v>
      </c>
      <c r="N6" s="3" t="s">
        <v>31</v>
      </c>
    </row>
    <row r="7" spans="1:14" x14ac:dyDescent="0.2">
      <c r="A7" s="13" t="s">
        <v>43</v>
      </c>
      <c r="B7" s="13" t="s">
        <v>1478</v>
      </c>
      <c r="C7" s="13">
        <v>18</v>
      </c>
      <c r="M7" s="3" t="s">
        <v>1522</v>
      </c>
      <c r="N7" s="3" t="s">
        <v>33</v>
      </c>
    </row>
    <row r="8" spans="1:14" x14ac:dyDescent="0.2">
      <c r="A8" s="13" t="s">
        <v>142</v>
      </c>
      <c r="B8" s="13" t="s">
        <v>1478</v>
      </c>
      <c r="C8" s="13">
        <v>2</v>
      </c>
      <c r="M8" s="3" t="s">
        <v>27</v>
      </c>
      <c r="N8" s="3" t="s">
        <v>1509</v>
      </c>
    </row>
    <row r="9" spans="1:14" x14ac:dyDescent="0.2">
      <c r="A9" s="13" t="s">
        <v>115</v>
      </c>
      <c r="B9" s="13" t="s">
        <v>1478</v>
      </c>
      <c r="C9" s="13">
        <v>2</v>
      </c>
      <c r="M9" s="3" t="s">
        <v>29</v>
      </c>
      <c r="N9" s="3" t="s">
        <v>38</v>
      </c>
    </row>
    <row r="10" spans="1:14" x14ac:dyDescent="0.2">
      <c r="A10" s="13" t="s">
        <v>312</v>
      </c>
      <c r="B10" s="13" t="s">
        <v>1478</v>
      </c>
      <c r="C10" s="13">
        <v>2</v>
      </c>
      <c r="M10" s="3" t="s">
        <v>31</v>
      </c>
      <c r="N10" s="3" t="s">
        <v>40</v>
      </c>
    </row>
    <row r="11" spans="1:14" x14ac:dyDescent="0.2">
      <c r="A11" s="13" t="s">
        <v>314</v>
      </c>
      <c r="B11" s="13" t="s">
        <v>1478</v>
      </c>
      <c r="C11" s="13">
        <v>1</v>
      </c>
      <c r="M11" s="3" t="s">
        <v>33</v>
      </c>
      <c r="N11" s="3" t="s">
        <v>43</v>
      </c>
    </row>
    <row r="12" spans="1:14" x14ac:dyDescent="0.2">
      <c r="A12" s="13" t="s">
        <v>301</v>
      </c>
      <c r="B12" s="13" t="s">
        <v>1478</v>
      </c>
      <c r="C12" s="13">
        <v>1</v>
      </c>
      <c r="M12" s="3" t="s">
        <v>1509</v>
      </c>
      <c r="N12" s="3" t="s">
        <v>44</v>
      </c>
    </row>
    <row r="13" spans="1:14" x14ac:dyDescent="0.2">
      <c r="A13" s="13" t="s">
        <v>730</v>
      </c>
      <c r="B13" s="13" t="s">
        <v>1479</v>
      </c>
      <c r="C13" s="13" t="s">
        <v>1480</v>
      </c>
      <c r="M13" s="3" t="s">
        <v>38</v>
      </c>
      <c r="N13" s="3" t="s">
        <v>47</v>
      </c>
    </row>
    <row r="14" spans="1:14" x14ac:dyDescent="0.2">
      <c r="A14" s="13" t="s">
        <v>167</v>
      </c>
      <c r="B14" s="13" t="s">
        <v>1478</v>
      </c>
      <c r="C14" s="13">
        <v>3</v>
      </c>
      <c r="M14" s="3" t="s">
        <v>40</v>
      </c>
      <c r="N14" s="3" t="s">
        <v>49</v>
      </c>
    </row>
    <row r="15" spans="1:14" x14ac:dyDescent="0.2">
      <c r="A15" s="13" t="s">
        <v>166</v>
      </c>
      <c r="B15" s="13" t="s">
        <v>1478</v>
      </c>
      <c r="C15" s="13">
        <v>10</v>
      </c>
      <c r="M15" s="3" t="s">
        <v>43</v>
      </c>
      <c r="N15" s="3" t="s">
        <v>50</v>
      </c>
    </row>
    <row r="16" spans="1:14" x14ac:dyDescent="0.2">
      <c r="A16" s="13" t="s">
        <v>405</v>
      </c>
      <c r="B16" s="13" t="s">
        <v>1478</v>
      </c>
      <c r="C16" s="13">
        <v>10</v>
      </c>
      <c r="M16" s="3" t="s">
        <v>44</v>
      </c>
      <c r="N16" s="3" t="s">
        <v>52</v>
      </c>
    </row>
    <row r="17" spans="1:14" x14ac:dyDescent="0.2">
      <c r="A17" s="13" t="s">
        <v>404</v>
      </c>
      <c r="B17" s="13" t="s">
        <v>1478</v>
      </c>
      <c r="C17" s="13">
        <v>7</v>
      </c>
      <c r="M17" s="3" t="s">
        <v>47</v>
      </c>
      <c r="N17" s="3" t="s">
        <v>53</v>
      </c>
    </row>
    <row r="18" spans="1:14" x14ac:dyDescent="0.2">
      <c r="A18" s="13" t="s">
        <v>406</v>
      </c>
      <c r="B18" s="13" t="s">
        <v>1478</v>
      </c>
      <c r="C18" s="13">
        <v>3</v>
      </c>
      <c r="M18" s="3" t="s">
        <v>49</v>
      </c>
      <c r="N18" s="3" t="s">
        <v>55</v>
      </c>
    </row>
    <row r="19" spans="1:14" x14ac:dyDescent="0.2">
      <c r="A19" s="13" t="s">
        <v>398</v>
      </c>
      <c r="B19" s="13" t="s">
        <v>1478</v>
      </c>
      <c r="C19" s="13">
        <v>23</v>
      </c>
      <c r="M19" s="3" t="s">
        <v>50</v>
      </c>
      <c r="N19" s="3" t="s">
        <v>56</v>
      </c>
    </row>
    <row r="20" spans="1:14" x14ac:dyDescent="0.2">
      <c r="A20" s="13" t="s">
        <v>395</v>
      </c>
      <c r="B20" s="13" t="s">
        <v>1478</v>
      </c>
      <c r="C20" s="13">
        <v>1</v>
      </c>
      <c r="M20" s="3" t="s">
        <v>52</v>
      </c>
      <c r="N20" s="3" t="s">
        <v>58</v>
      </c>
    </row>
    <row r="21" spans="1:14" x14ac:dyDescent="0.2">
      <c r="A21" s="13" t="s">
        <v>386</v>
      </c>
      <c r="B21" s="13" t="s">
        <v>1478</v>
      </c>
      <c r="C21" s="13">
        <v>1</v>
      </c>
      <c r="M21" s="3" t="s">
        <v>53</v>
      </c>
      <c r="N21" s="3" t="s">
        <v>60</v>
      </c>
    </row>
    <row r="22" spans="1:14" x14ac:dyDescent="0.2">
      <c r="A22" s="13" t="s">
        <v>346</v>
      </c>
      <c r="B22" s="13" t="s">
        <v>1478</v>
      </c>
      <c r="C22" s="13">
        <v>11</v>
      </c>
      <c r="M22" s="3" t="s">
        <v>55</v>
      </c>
      <c r="N22" s="3" t="s">
        <v>62</v>
      </c>
    </row>
    <row r="23" spans="1:14" x14ac:dyDescent="0.3">
      <c r="M23" s="3" t="s">
        <v>56</v>
      </c>
      <c r="N23" s="3" t="s">
        <v>65</v>
      </c>
    </row>
    <row r="24" spans="1:14" x14ac:dyDescent="0.3">
      <c r="M24" s="3" t="s">
        <v>58</v>
      </c>
      <c r="N24" s="3" t="s">
        <v>67</v>
      </c>
    </row>
    <row r="25" spans="1:14" x14ac:dyDescent="0.3">
      <c r="M25" s="3" t="s">
        <v>60</v>
      </c>
      <c r="N25" s="3" t="s">
        <v>71</v>
      </c>
    </row>
    <row r="26" spans="1:14" x14ac:dyDescent="0.3">
      <c r="M26" s="3" t="s">
        <v>62</v>
      </c>
      <c r="N26" s="3" t="s">
        <v>74</v>
      </c>
    </row>
    <row r="27" spans="1:14" x14ac:dyDescent="0.3">
      <c r="M27" s="3" t="s">
        <v>65</v>
      </c>
      <c r="N27" s="3" t="s">
        <v>75</v>
      </c>
    </row>
    <row r="28" spans="1:14" x14ac:dyDescent="0.3">
      <c r="M28" s="3" t="s">
        <v>67</v>
      </c>
      <c r="N28" s="3" t="s">
        <v>77</v>
      </c>
    </row>
    <row r="29" spans="1:14" x14ac:dyDescent="0.3">
      <c r="M29" s="3" t="s">
        <v>71</v>
      </c>
      <c r="N29" s="3" t="s">
        <v>79</v>
      </c>
    </row>
    <row r="30" spans="1:14" x14ac:dyDescent="0.3">
      <c r="M30" s="3" t="s">
        <v>74</v>
      </c>
      <c r="N30" s="3" t="s">
        <v>80</v>
      </c>
    </row>
    <row r="31" spans="1:14" x14ac:dyDescent="0.3">
      <c r="M31" s="3" t="s">
        <v>75</v>
      </c>
      <c r="N31" s="3" t="s">
        <v>82</v>
      </c>
    </row>
    <row r="32" spans="1:14" x14ac:dyDescent="0.3">
      <c r="M32" s="3" t="s">
        <v>77</v>
      </c>
      <c r="N32" s="3" t="s">
        <v>84</v>
      </c>
    </row>
    <row r="33" spans="13:14" x14ac:dyDescent="0.3">
      <c r="M33" s="3" t="s">
        <v>79</v>
      </c>
      <c r="N33" s="3" t="s">
        <v>85</v>
      </c>
    </row>
    <row r="34" spans="13:14" x14ac:dyDescent="0.3">
      <c r="M34" s="3" t="s">
        <v>80</v>
      </c>
      <c r="N34" s="3" t="s">
        <v>86</v>
      </c>
    </row>
    <row r="35" spans="13:14" x14ac:dyDescent="0.3">
      <c r="M35" s="3" t="s">
        <v>82</v>
      </c>
      <c r="N35" s="3" t="s">
        <v>87</v>
      </c>
    </row>
    <row r="36" spans="13:14" x14ac:dyDescent="0.3">
      <c r="M36" s="3" t="s">
        <v>84</v>
      </c>
      <c r="N36" s="3" t="s">
        <v>88</v>
      </c>
    </row>
    <row r="37" spans="13:14" x14ac:dyDescent="0.3">
      <c r="M37" s="3" t="s">
        <v>85</v>
      </c>
      <c r="N37" s="3" t="s">
        <v>89</v>
      </c>
    </row>
    <row r="38" spans="13:14" x14ac:dyDescent="0.3">
      <c r="M38" s="3" t="s">
        <v>86</v>
      </c>
      <c r="N38" s="3" t="s">
        <v>92</v>
      </c>
    </row>
    <row r="39" spans="13:14" x14ac:dyDescent="0.3">
      <c r="M39" s="3" t="s">
        <v>87</v>
      </c>
      <c r="N39" s="3" t="s">
        <v>94</v>
      </c>
    </row>
    <row r="40" spans="13:14" x14ac:dyDescent="0.3">
      <c r="M40" s="3" t="s">
        <v>88</v>
      </c>
      <c r="N40" s="3" t="s">
        <v>95</v>
      </c>
    </row>
    <row r="41" spans="13:14" x14ac:dyDescent="0.3">
      <c r="M41" s="3" t="s">
        <v>89</v>
      </c>
      <c r="N41" s="3" t="s">
        <v>97</v>
      </c>
    </row>
    <row r="42" spans="13:14" x14ac:dyDescent="0.3">
      <c r="M42" s="3" t="s">
        <v>92</v>
      </c>
      <c r="N42" s="3" t="s">
        <v>100</v>
      </c>
    </row>
    <row r="43" spans="13:14" x14ac:dyDescent="0.3">
      <c r="M43" s="3" t="s">
        <v>94</v>
      </c>
      <c r="N43" s="3" t="s">
        <v>102</v>
      </c>
    </row>
    <row r="44" spans="13:14" x14ac:dyDescent="0.3">
      <c r="M44" s="3" t="s">
        <v>95</v>
      </c>
      <c r="N44" s="3" t="s">
        <v>104</v>
      </c>
    </row>
    <row r="45" spans="13:14" x14ac:dyDescent="0.3">
      <c r="M45" s="3" t="s">
        <v>97</v>
      </c>
      <c r="N45" s="3" t="s">
        <v>106</v>
      </c>
    </row>
    <row r="46" spans="13:14" x14ac:dyDescent="0.3">
      <c r="M46" s="3" t="s">
        <v>100</v>
      </c>
      <c r="N46" s="3" t="s">
        <v>108</v>
      </c>
    </row>
    <row r="47" spans="13:14" x14ac:dyDescent="0.3">
      <c r="M47" s="3" t="s">
        <v>102</v>
      </c>
      <c r="N47" s="3" t="s">
        <v>110</v>
      </c>
    </row>
    <row r="48" spans="13:14" x14ac:dyDescent="0.3">
      <c r="M48" s="3" t="s">
        <v>104</v>
      </c>
      <c r="N48" s="3" t="s">
        <v>111</v>
      </c>
    </row>
    <row r="49" spans="13:14" x14ac:dyDescent="0.3">
      <c r="M49" s="3" t="s">
        <v>106</v>
      </c>
      <c r="N49" s="3" t="s">
        <v>112</v>
      </c>
    </row>
    <row r="50" spans="13:14" x14ac:dyDescent="0.3">
      <c r="M50" s="3" t="s">
        <v>108</v>
      </c>
      <c r="N50" s="3" t="s">
        <v>113</v>
      </c>
    </row>
    <row r="51" spans="13:14" x14ac:dyDescent="0.3">
      <c r="M51" s="3" t="s">
        <v>110</v>
      </c>
      <c r="N51" s="7" t="s">
        <v>1463</v>
      </c>
    </row>
    <row r="52" spans="13:14" x14ac:dyDescent="0.3">
      <c r="M52" s="3" t="s">
        <v>111</v>
      </c>
      <c r="N52" s="3" t="s">
        <v>115</v>
      </c>
    </row>
    <row r="53" spans="13:14" x14ac:dyDescent="0.3">
      <c r="M53" s="3" t="s">
        <v>112</v>
      </c>
      <c r="N53" s="3" t="s">
        <v>116</v>
      </c>
    </row>
    <row r="54" spans="13:14" x14ac:dyDescent="0.3">
      <c r="M54" s="3" t="s">
        <v>113</v>
      </c>
      <c r="N54" s="3" t="s">
        <v>117</v>
      </c>
    </row>
    <row r="55" spans="13:14" x14ac:dyDescent="0.3">
      <c r="M55" s="7" t="s">
        <v>1463</v>
      </c>
      <c r="N55" s="3" t="s">
        <v>118</v>
      </c>
    </row>
    <row r="56" spans="13:14" x14ac:dyDescent="0.3">
      <c r="M56" s="3" t="s">
        <v>115</v>
      </c>
      <c r="N56" s="3" t="s">
        <v>119</v>
      </c>
    </row>
    <row r="57" spans="13:14" x14ac:dyDescent="0.3">
      <c r="M57" s="3" t="s">
        <v>116</v>
      </c>
      <c r="N57" s="3" t="s">
        <v>120</v>
      </c>
    </row>
    <row r="58" spans="13:14" x14ac:dyDescent="0.3">
      <c r="M58" s="3" t="s">
        <v>117</v>
      </c>
      <c r="N58" s="3" t="s">
        <v>121</v>
      </c>
    </row>
    <row r="59" spans="13:14" x14ac:dyDescent="0.3">
      <c r="M59" s="3" t="s">
        <v>118</v>
      </c>
      <c r="N59" s="3" t="s">
        <v>122</v>
      </c>
    </row>
    <row r="60" spans="13:14" x14ac:dyDescent="0.3">
      <c r="M60" s="3" t="s">
        <v>119</v>
      </c>
      <c r="N60" s="3" t="s">
        <v>124</v>
      </c>
    </row>
    <row r="61" spans="13:14" x14ac:dyDescent="0.3">
      <c r="M61" s="3" t="s">
        <v>120</v>
      </c>
      <c r="N61" s="3" t="s">
        <v>125</v>
      </c>
    </row>
    <row r="62" spans="13:14" x14ac:dyDescent="0.3">
      <c r="M62" s="3" t="s">
        <v>121</v>
      </c>
      <c r="N62" s="3" t="s">
        <v>126</v>
      </c>
    </row>
    <row r="63" spans="13:14" x14ac:dyDescent="0.3">
      <c r="M63" s="3" t="s">
        <v>122</v>
      </c>
      <c r="N63" s="3" t="s">
        <v>1542</v>
      </c>
    </row>
    <row r="64" spans="13:14" x14ac:dyDescent="0.3">
      <c r="M64" s="3" t="s">
        <v>124</v>
      </c>
      <c r="N64" s="3" t="s">
        <v>128</v>
      </c>
    </row>
    <row r="65" spans="13:14" x14ac:dyDescent="0.3">
      <c r="M65" s="3" t="s">
        <v>125</v>
      </c>
      <c r="N65" s="3" t="s">
        <v>129</v>
      </c>
    </row>
    <row r="66" spans="13:14" x14ac:dyDescent="0.3">
      <c r="M66" s="3" t="s">
        <v>126</v>
      </c>
      <c r="N66" s="3" t="s">
        <v>130</v>
      </c>
    </row>
    <row r="67" spans="13:14" x14ac:dyDescent="0.3">
      <c r="M67" s="3" t="s">
        <v>1542</v>
      </c>
      <c r="N67" s="3" t="s">
        <v>132</v>
      </c>
    </row>
    <row r="68" spans="13:14" x14ac:dyDescent="0.3">
      <c r="M68" s="3" t="s">
        <v>128</v>
      </c>
      <c r="N68" s="3" t="s">
        <v>134</v>
      </c>
    </row>
    <row r="69" spans="13:14" x14ac:dyDescent="0.3">
      <c r="M69" s="3" t="s">
        <v>129</v>
      </c>
      <c r="N69" s="3" t="s">
        <v>136</v>
      </c>
    </row>
    <row r="70" spans="13:14" x14ac:dyDescent="0.3">
      <c r="M70" s="3" t="s">
        <v>130</v>
      </c>
      <c r="N70" s="3" t="s">
        <v>137</v>
      </c>
    </row>
    <row r="71" spans="13:14" x14ac:dyDescent="0.3">
      <c r="M71" s="3" t="s">
        <v>132</v>
      </c>
      <c r="N71" s="3" t="s">
        <v>138</v>
      </c>
    </row>
    <row r="72" spans="13:14" x14ac:dyDescent="0.3">
      <c r="M72" s="3" t="s">
        <v>134</v>
      </c>
      <c r="N72" s="3" t="s">
        <v>139</v>
      </c>
    </row>
    <row r="73" spans="13:14" x14ac:dyDescent="0.3">
      <c r="M73" s="3" t="s">
        <v>136</v>
      </c>
      <c r="N73" s="3" t="s">
        <v>140</v>
      </c>
    </row>
    <row r="74" spans="13:14" x14ac:dyDescent="0.3">
      <c r="M74" s="3" t="s">
        <v>137</v>
      </c>
      <c r="N74" s="3" t="s">
        <v>142</v>
      </c>
    </row>
    <row r="75" spans="13:14" x14ac:dyDescent="0.3">
      <c r="M75" s="3" t="s">
        <v>138</v>
      </c>
      <c r="N75" s="3" t="s">
        <v>143</v>
      </c>
    </row>
    <row r="76" spans="13:14" x14ac:dyDescent="0.3">
      <c r="M76" s="3" t="s">
        <v>139</v>
      </c>
      <c r="N76" s="3" t="s">
        <v>144</v>
      </c>
    </row>
    <row r="77" spans="13:14" x14ac:dyDescent="0.3">
      <c r="M77" s="3" t="s">
        <v>140</v>
      </c>
      <c r="N77" s="3" t="s">
        <v>145</v>
      </c>
    </row>
    <row r="78" spans="13:14" x14ac:dyDescent="0.3">
      <c r="M78" s="3" t="s">
        <v>142</v>
      </c>
      <c r="N78" s="3" t="s">
        <v>146</v>
      </c>
    </row>
    <row r="79" spans="13:14" x14ac:dyDescent="0.3">
      <c r="M79" s="3" t="s">
        <v>143</v>
      </c>
      <c r="N79" s="3" t="s">
        <v>147</v>
      </c>
    </row>
    <row r="80" spans="13:14" x14ac:dyDescent="0.3">
      <c r="M80" s="3" t="s">
        <v>144</v>
      </c>
      <c r="N80" s="3" t="s">
        <v>148</v>
      </c>
    </row>
    <row r="81" spans="13:14" x14ac:dyDescent="0.3">
      <c r="M81" s="3" t="s">
        <v>145</v>
      </c>
      <c r="N81" s="3" t="s">
        <v>149</v>
      </c>
    </row>
    <row r="82" spans="13:14" x14ac:dyDescent="0.3">
      <c r="M82" s="3" t="s">
        <v>146</v>
      </c>
      <c r="N82" s="3" t="s">
        <v>150</v>
      </c>
    </row>
    <row r="83" spans="13:14" x14ac:dyDescent="0.3">
      <c r="M83" s="3" t="s">
        <v>147</v>
      </c>
      <c r="N83" s="3" t="s">
        <v>151</v>
      </c>
    </row>
    <row r="84" spans="13:14" x14ac:dyDescent="0.3">
      <c r="M84" s="3" t="s">
        <v>148</v>
      </c>
      <c r="N84" s="3" t="s">
        <v>153</v>
      </c>
    </row>
    <row r="85" spans="13:14" x14ac:dyDescent="0.3">
      <c r="M85" s="3" t="s">
        <v>149</v>
      </c>
      <c r="N85" s="3" t="s">
        <v>155</v>
      </c>
    </row>
    <row r="86" spans="13:14" x14ac:dyDescent="0.3">
      <c r="M86" s="3" t="s">
        <v>150</v>
      </c>
      <c r="N86" s="3" t="s">
        <v>156</v>
      </c>
    </row>
    <row r="87" spans="13:14" x14ac:dyDescent="0.3">
      <c r="M87" s="3" t="s">
        <v>151</v>
      </c>
      <c r="N87" s="3" t="s">
        <v>157</v>
      </c>
    </row>
    <row r="88" spans="13:14" x14ac:dyDescent="0.3">
      <c r="M88" s="3" t="s">
        <v>153</v>
      </c>
      <c r="N88" s="3" t="s">
        <v>159</v>
      </c>
    </row>
    <row r="89" spans="13:14" x14ac:dyDescent="0.3">
      <c r="M89" s="3" t="s">
        <v>155</v>
      </c>
      <c r="N89" s="3" t="s">
        <v>160</v>
      </c>
    </row>
    <row r="90" spans="13:14" x14ac:dyDescent="0.3">
      <c r="M90" s="3" t="s">
        <v>156</v>
      </c>
      <c r="N90" s="3" t="s">
        <v>162</v>
      </c>
    </row>
    <row r="91" spans="13:14" x14ac:dyDescent="0.3">
      <c r="M91" s="3" t="s">
        <v>157</v>
      </c>
      <c r="N91" s="3" t="s">
        <v>164</v>
      </c>
    </row>
    <row r="92" spans="13:14" x14ac:dyDescent="0.3">
      <c r="M92" s="3" t="s">
        <v>159</v>
      </c>
      <c r="N92" s="3" t="s">
        <v>165</v>
      </c>
    </row>
    <row r="93" spans="13:14" x14ac:dyDescent="0.3">
      <c r="M93" s="3" t="s">
        <v>160</v>
      </c>
      <c r="N93" s="3" t="s">
        <v>166</v>
      </c>
    </row>
    <row r="94" spans="13:14" x14ac:dyDescent="0.3">
      <c r="M94" s="3" t="s">
        <v>162</v>
      </c>
      <c r="N94" s="3" t="s">
        <v>167</v>
      </c>
    </row>
    <row r="95" spans="13:14" x14ac:dyDescent="0.3">
      <c r="M95" s="3" t="s">
        <v>164</v>
      </c>
      <c r="N95" s="3" t="s">
        <v>168</v>
      </c>
    </row>
    <row r="96" spans="13:14" x14ac:dyDescent="0.3">
      <c r="M96" s="3" t="s">
        <v>165</v>
      </c>
      <c r="N96" s="3" t="s">
        <v>170</v>
      </c>
    </row>
    <row r="97" spans="13:14" x14ac:dyDescent="0.3">
      <c r="M97" s="3" t="s">
        <v>166</v>
      </c>
      <c r="N97" s="3" t="s">
        <v>171</v>
      </c>
    </row>
    <row r="98" spans="13:14" x14ac:dyDescent="0.3">
      <c r="M98" s="3" t="s">
        <v>167</v>
      </c>
      <c r="N98" s="3" t="s">
        <v>172</v>
      </c>
    </row>
    <row r="99" spans="13:14" x14ac:dyDescent="0.3">
      <c r="M99" s="3" t="s">
        <v>168</v>
      </c>
      <c r="N99" s="3" t="s">
        <v>173</v>
      </c>
    </row>
    <row r="100" spans="13:14" x14ac:dyDescent="0.3">
      <c r="M100" s="3" t="s">
        <v>170</v>
      </c>
      <c r="N100" s="3" t="s">
        <v>176</v>
      </c>
    </row>
    <row r="101" spans="13:14" x14ac:dyDescent="0.3">
      <c r="M101" s="3" t="s">
        <v>171</v>
      </c>
      <c r="N101" s="3" t="s">
        <v>178</v>
      </c>
    </row>
    <row r="102" spans="13:14" x14ac:dyDescent="0.3">
      <c r="M102" s="3" t="s">
        <v>172</v>
      </c>
      <c r="N102" s="3" t="s">
        <v>180</v>
      </c>
    </row>
    <row r="103" spans="13:14" x14ac:dyDescent="0.3">
      <c r="M103" s="3" t="s">
        <v>173</v>
      </c>
      <c r="N103" s="3" t="s">
        <v>182</v>
      </c>
    </row>
    <row r="104" spans="13:14" x14ac:dyDescent="0.3">
      <c r="M104" s="3" t="s">
        <v>176</v>
      </c>
      <c r="N104" s="3" t="s">
        <v>185</v>
      </c>
    </row>
    <row r="105" spans="13:14" x14ac:dyDescent="0.3">
      <c r="M105" s="3" t="s">
        <v>178</v>
      </c>
      <c r="N105" s="3" t="s">
        <v>187</v>
      </c>
    </row>
    <row r="106" spans="13:14" x14ac:dyDescent="0.3">
      <c r="M106" s="3" t="s">
        <v>180</v>
      </c>
      <c r="N106" s="3" t="s">
        <v>189</v>
      </c>
    </row>
    <row r="107" spans="13:14" x14ac:dyDescent="0.3">
      <c r="M107" s="3" t="s">
        <v>182</v>
      </c>
      <c r="N107" s="3" t="s">
        <v>191</v>
      </c>
    </row>
    <row r="108" spans="13:14" x14ac:dyDescent="0.3">
      <c r="M108" s="3" t="s">
        <v>185</v>
      </c>
      <c r="N108" s="3" t="s">
        <v>193</v>
      </c>
    </row>
    <row r="109" spans="13:14" x14ac:dyDescent="0.3">
      <c r="M109" s="3" t="s">
        <v>187</v>
      </c>
      <c r="N109" s="3" t="s">
        <v>195</v>
      </c>
    </row>
    <row r="110" spans="13:14" x14ac:dyDescent="0.3">
      <c r="M110" s="3" t="s">
        <v>189</v>
      </c>
      <c r="N110" s="3" t="s">
        <v>198</v>
      </c>
    </row>
    <row r="111" spans="13:14" x14ac:dyDescent="0.3">
      <c r="M111" s="3" t="s">
        <v>191</v>
      </c>
      <c r="N111" s="3" t="s">
        <v>200</v>
      </c>
    </row>
    <row r="112" spans="13:14" x14ac:dyDescent="0.3">
      <c r="M112" s="3" t="s">
        <v>193</v>
      </c>
      <c r="N112" s="3" t="s">
        <v>203</v>
      </c>
    </row>
    <row r="113" spans="13:14" x14ac:dyDescent="0.3">
      <c r="M113" s="3" t="s">
        <v>195</v>
      </c>
      <c r="N113" s="3" t="s">
        <v>205</v>
      </c>
    </row>
    <row r="114" spans="13:14" x14ac:dyDescent="0.3">
      <c r="M114" s="3" t="s">
        <v>198</v>
      </c>
      <c r="N114" s="3" t="s">
        <v>207</v>
      </c>
    </row>
    <row r="115" spans="13:14" x14ac:dyDescent="0.3">
      <c r="M115" s="3" t="s">
        <v>200</v>
      </c>
      <c r="N115" s="3" t="s">
        <v>210</v>
      </c>
    </row>
    <row r="116" spans="13:14" x14ac:dyDescent="0.3">
      <c r="M116" s="3" t="s">
        <v>203</v>
      </c>
      <c r="N116" s="3" t="s">
        <v>212</v>
      </c>
    </row>
    <row r="117" spans="13:14" x14ac:dyDescent="0.3">
      <c r="M117" s="3" t="s">
        <v>205</v>
      </c>
      <c r="N117" s="3" t="s">
        <v>214</v>
      </c>
    </row>
    <row r="118" spans="13:14" x14ac:dyDescent="0.3">
      <c r="M118" s="3" t="s">
        <v>207</v>
      </c>
      <c r="N118" s="3" t="s">
        <v>216</v>
      </c>
    </row>
    <row r="119" spans="13:14" x14ac:dyDescent="0.3">
      <c r="M119" s="3" t="s">
        <v>210</v>
      </c>
      <c r="N119" s="3" t="s">
        <v>218</v>
      </c>
    </row>
    <row r="120" spans="13:14" x14ac:dyDescent="0.3">
      <c r="M120" s="3" t="s">
        <v>212</v>
      </c>
      <c r="N120" s="3" t="s">
        <v>220</v>
      </c>
    </row>
    <row r="121" spans="13:14" x14ac:dyDescent="0.3">
      <c r="M121" s="3" t="s">
        <v>214</v>
      </c>
      <c r="N121" s="3" t="s">
        <v>222</v>
      </c>
    </row>
    <row r="122" spans="13:14" x14ac:dyDescent="0.3">
      <c r="M122" s="3" t="s">
        <v>216</v>
      </c>
      <c r="N122" s="3" t="s">
        <v>224</v>
      </c>
    </row>
    <row r="123" spans="13:14" x14ac:dyDescent="0.3">
      <c r="M123" s="3" t="s">
        <v>218</v>
      </c>
      <c r="N123" s="3" t="s">
        <v>226</v>
      </c>
    </row>
    <row r="124" spans="13:14" x14ac:dyDescent="0.3">
      <c r="M124" s="3" t="s">
        <v>220</v>
      </c>
      <c r="N124" s="3" t="s">
        <v>228</v>
      </c>
    </row>
    <row r="125" spans="13:14" x14ac:dyDescent="0.3">
      <c r="M125" s="3" t="s">
        <v>222</v>
      </c>
      <c r="N125" s="3" t="s">
        <v>230</v>
      </c>
    </row>
    <row r="126" spans="13:14" x14ac:dyDescent="0.3">
      <c r="M126" s="3" t="s">
        <v>224</v>
      </c>
      <c r="N126" s="3" t="s">
        <v>232</v>
      </c>
    </row>
    <row r="127" spans="13:14" x14ac:dyDescent="0.3">
      <c r="M127" s="3" t="s">
        <v>226</v>
      </c>
      <c r="N127" s="3" t="s">
        <v>234</v>
      </c>
    </row>
    <row r="128" spans="13:14" x14ac:dyDescent="0.3">
      <c r="M128" s="3" t="s">
        <v>228</v>
      </c>
      <c r="N128" s="3" t="s">
        <v>236</v>
      </c>
    </row>
    <row r="129" spans="13:14" x14ac:dyDescent="0.3">
      <c r="M129" s="3" t="s">
        <v>230</v>
      </c>
      <c r="N129" s="3" t="s">
        <v>237</v>
      </c>
    </row>
    <row r="130" spans="13:14" x14ac:dyDescent="0.3">
      <c r="M130" s="3" t="s">
        <v>232</v>
      </c>
      <c r="N130" s="3" t="s">
        <v>238</v>
      </c>
    </row>
    <row r="131" spans="13:14" x14ac:dyDescent="0.3">
      <c r="M131" s="3" t="s">
        <v>234</v>
      </c>
      <c r="N131" s="3" t="s">
        <v>239</v>
      </c>
    </row>
    <row r="132" spans="13:14" x14ac:dyDescent="0.3">
      <c r="M132" s="3" t="s">
        <v>236</v>
      </c>
      <c r="N132" s="3" t="s">
        <v>242</v>
      </c>
    </row>
    <row r="133" spans="13:14" x14ac:dyDescent="0.3">
      <c r="M133" s="3" t="s">
        <v>237</v>
      </c>
      <c r="N133" s="3" t="s">
        <v>245</v>
      </c>
    </row>
    <row r="134" spans="13:14" x14ac:dyDescent="0.3">
      <c r="M134" s="3" t="s">
        <v>238</v>
      </c>
      <c r="N134" s="3" t="s">
        <v>247</v>
      </c>
    </row>
    <row r="135" spans="13:14" x14ac:dyDescent="0.3">
      <c r="M135" s="3" t="s">
        <v>239</v>
      </c>
      <c r="N135" s="3" t="s">
        <v>249</v>
      </c>
    </row>
    <row r="136" spans="13:14" x14ac:dyDescent="0.3">
      <c r="M136" s="3" t="s">
        <v>242</v>
      </c>
      <c r="N136" s="3" t="s">
        <v>251</v>
      </c>
    </row>
    <row r="137" spans="13:14" x14ac:dyDescent="0.3">
      <c r="M137" s="3" t="s">
        <v>245</v>
      </c>
      <c r="N137" s="3" t="s">
        <v>253</v>
      </c>
    </row>
    <row r="138" spans="13:14" x14ac:dyDescent="0.3">
      <c r="M138" s="3" t="s">
        <v>247</v>
      </c>
      <c r="N138" s="3" t="s">
        <v>254</v>
      </c>
    </row>
    <row r="139" spans="13:14" x14ac:dyDescent="0.3">
      <c r="M139" s="3" t="s">
        <v>249</v>
      </c>
      <c r="N139" s="3" t="s">
        <v>255</v>
      </c>
    </row>
    <row r="140" spans="13:14" x14ac:dyDescent="0.3">
      <c r="M140" s="3" t="s">
        <v>251</v>
      </c>
      <c r="N140" s="3" t="s">
        <v>256</v>
      </c>
    </row>
    <row r="141" spans="13:14" x14ac:dyDescent="0.3">
      <c r="M141" s="3" t="s">
        <v>253</v>
      </c>
      <c r="N141" s="3" t="s">
        <v>258</v>
      </c>
    </row>
    <row r="142" spans="13:14" x14ac:dyDescent="0.3">
      <c r="M142" s="3" t="s">
        <v>254</v>
      </c>
      <c r="N142" s="3" t="s">
        <v>259</v>
      </c>
    </row>
    <row r="143" spans="13:14" x14ac:dyDescent="0.3">
      <c r="M143" s="3" t="s">
        <v>255</v>
      </c>
      <c r="N143" s="3" t="s">
        <v>261</v>
      </c>
    </row>
    <row r="144" spans="13:14" x14ac:dyDescent="0.3">
      <c r="M144" s="3" t="s">
        <v>256</v>
      </c>
      <c r="N144" s="3" t="s">
        <v>263</v>
      </c>
    </row>
    <row r="145" spans="13:14" x14ac:dyDescent="0.3">
      <c r="M145" s="3" t="s">
        <v>258</v>
      </c>
      <c r="N145" s="3" t="s">
        <v>266</v>
      </c>
    </row>
    <row r="146" spans="13:14" x14ac:dyDescent="0.3">
      <c r="M146" s="3" t="s">
        <v>259</v>
      </c>
      <c r="N146" s="3" t="s">
        <v>267</v>
      </c>
    </row>
    <row r="147" spans="13:14" x14ac:dyDescent="0.3">
      <c r="M147" s="3" t="s">
        <v>261</v>
      </c>
      <c r="N147" s="3" t="s">
        <v>269</v>
      </c>
    </row>
    <row r="148" spans="13:14" x14ac:dyDescent="0.3">
      <c r="M148" s="3" t="s">
        <v>263</v>
      </c>
      <c r="N148" s="3" t="s">
        <v>271</v>
      </c>
    </row>
    <row r="149" spans="13:14" x14ac:dyDescent="0.3">
      <c r="M149" s="3" t="s">
        <v>266</v>
      </c>
      <c r="N149" s="3" t="s">
        <v>273</v>
      </c>
    </row>
    <row r="150" spans="13:14" x14ac:dyDescent="0.3">
      <c r="M150" s="3" t="s">
        <v>267</v>
      </c>
      <c r="N150" s="3" t="s">
        <v>275</v>
      </c>
    </row>
    <row r="151" spans="13:14" x14ac:dyDescent="0.3">
      <c r="M151" s="3" t="s">
        <v>269</v>
      </c>
      <c r="N151" s="3" t="s">
        <v>1511</v>
      </c>
    </row>
    <row r="152" spans="13:14" x14ac:dyDescent="0.3">
      <c r="M152" s="3" t="s">
        <v>271</v>
      </c>
      <c r="N152" s="3" t="s">
        <v>279</v>
      </c>
    </row>
    <row r="153" spans="13:14" x14ac:dyDescent="0.3">
      <c r="M153" s="3" t="s">
        <v>273</v>
      </c>
      <c r="N153" s="3" t="s">
        <v>281</v>
      </c>
    </row>
    <row r="154" spans="13:14" x14ac:dyDescent="0.3">
      <c r="M154" s="3" t="s">
        <v>275</v>
      </c>
      <c r="N154" s="3" t="s">
        <v>284</v>
      </c>
    </row>
    <row r="155" spans="13:14" x14ac:dyDescent="0.3">
      <c r="M155" s="3" t="s">
        <v>1511</v>
      </c>
      <c r="N155" s="3" t="s">
        <v>287</v>
      </c>
    </row>
    <row r="156" spans="13:14" x14ac:dyDescent="0.3">
      <c r="M156" s="3" t="s">
        <v>279</v>
      </c>
      <c r="N156" s="3" t="s">
        <v>1513</v>
      </c>
    </row>
    <row r="157" spans="13:14" x14ac:dyDescent="0.3">
      <c r="M157" s="3" t="s">
        <v>281</v>
      </c>
      <c r="N157" s="3" t="s">
        <v>289</v>
      </c>
    </row>
    <row r="158" spans="13:14" x14ac:dyDescent="0.3">
      <c r="M158" s="3" t="s">
        <v>284</v>
      </c>
      <c r="N158" s="3" t="s">
        <v>290</v>
      </c>
    </row>
    <row r="159" spans="13:14" x14ac:dyDescent="0.3">
      <c r="M159" s="3" t="s">
        <v>287</v>
      </c>
      <c r="N159" s="3" t="s">
        <v>293</v>
      </c>
    </row>
    <row r="160" spans="13:14" x14ac:dyDescent="0.3">
      <c r="M160" s="3" t="s">
        <v>1513</v>
      </c>
      <c r="N160" s="3" t="s">
        <v>296</v>
      </c>
    </row>
    <row r="161" spans="13:14" x14ac:dyDescent="0.3">
      <c r="M161" s="3" t="s">
        <v>289</v>
      </c>
      <c r="N161" s="3" t="s">
        <v>297</v>
      </c>
    </row>
    <row r="162" spans="13:14" x14ac:dyDescent="0.3">
      <c r="M162" s="3" t="s">
        <v>290</v>
      </c>
      <c r="N162" s="3" t="s">
        <v>1512</v>
      </c>
    </row>
    <row r="163" spans="13:14" x14ac:dyDescent="0.3">
      <c r="M163" s="3" t="s">
        <v>293</v>
      </c>
      <c r="N163" s="3" t="s">
        <v>298</v>
      </c>
    </row>
    <row r="164" spans="13:14" x14ac:dyDescent="0.3">
      <c r="M164" s="3" t="s">
        <v>296</v>
      </c>
      <c r="N164" s="3" t="s">
        <v>299</v>
      </c>
    </row>
    <row r="165" spans="13:14" x14ac:dyDescent="0.3">
      <c r="M165" s="3" t="s">
        <v>297</v>
      </c>
      <c r="N165" s="3" t="s">
        <v>301</v>
      </c>
    </row>
    <row r="166" spans="13:14" x14ac:dyDescent="0.3">
      <c r="M166" s="3" t="s">
        <v>1512</v>
      </c>
      <c r="N166" s="3" t="s">
        <v>303</v>
      </c>
    </row>
    <row r="167" spans="13:14" x14ac:dyDescent="0.3">
      <c r="M167" s="3" t="s">
        <v>298</v>
      </c>
      <c r="N167" s="3" t="s">
        <v>305</v>
      </c>
    </row>
    <row r="168" spans="13:14" x14ac:dyDescent="0.3">
      <c r="M168" s="3" t="s">
        <v>299</v>
      </c>
      <c r="N168" s="3" t="s">
        <v>307</v>
      </c>
    </row>
    <row r="169" spans="13:14" x14ac:dyDescent="0.3">
      <c r="M169" s="3" t="s">
        <v>301</v>
      </c>
      <c r="N169" s="3" t="s">
        <v>309</v>
      </c>
    </row>
    <row r="170" spans="13:14" x14ac:dyDescent="0.3">
      <c r="M170" s="3" t="s">
        <v>303</v>
      </c>
      <c r="N170" s="3" t="s">
        <v>310</v>
      </c>
    </row>
    <row r="171" spans="13:14" x14ac:dyDescent="0.3">
      <c r="M171" s="3" t="s">
        <v>305</v>
      </c>
      <c r="N171" s="3" t="s">
        <v>312</v>
      </c>
    </row>
    <row r="172" spans="13:14" x14ac:dyDescent="0.3">
      <c r="M172" s="3" t="s">
        <v>307</v>
      </c>
      <c r="N172" s="3" t="s">
        <v>314</v>
      </c>
    </row>
    <row r="173" spans="13:14" x14ac:dyDescent="0.3">
      <c r="M173" s="3" t="s">
        <v>309</v>
      </c>
      <c r="N173" s="3" t="s">
        <v>315</v>
      </c>
    </row>
    <row r="174" spans="13:14" x14ac:dyDescent="0.3">
      <c r="M174" s="3" t="s">
        <v>310</v>
      </c>
      <c r="N174" s="3" t="s">
        <v>318</v>
      </c>
    </row>
    <row r="175" spans="13:14" x14ac:dyDescent="0.3">
      <c r="M175" s="3" t="s">
        <v>312</v>
      </c>
      <c r="N175" s="3" t="s">
        <v>320</v>
      </c>
    </row>
    <row r="176" spans="13:14" x14ac:dyDescent="0.3">
      <c r="M176" s="3" t="s">
        <v>314</v>
      </c>
      <c r="N176" s="3" t="s">
        <v>321</v>
      </c>
    </row>
    <row r="177" spans="13:14" x14ac:dyDescent="0.3">
      <c r="M177" s="3" t="s">
        <v>315</v>
      </c>
      <c r="N177" s="3" t="s">
        <v>323</v>
      </c>
    </row>
    <row r="178" spans="13:14" x14ac:dyDescent="0.3">
      <c r="M178" s="3" t="s">
        <v>318</v>
      </c>
      <c r="N178" s="3" t="s">
        <v>325</v>
      </c>
    </row>
    <row r="179" spans="13:14" x14ac:dyDescent="0.3">
      <c r="M179" s="3" t="s">
        <v>320</v>
      </c>
      <c r="N179" s="3" t="s">
        <v>326</v>
      </c>
    </row>
    <row r="180" spans="13:14" x14ac:dyDescent="0.3">
      <c r="M180" s="3" t="s">
        <v>321</v>
      </c>
      <c r="N180" s="3" t="s">
        <v>328</v>
      </c>
    </row>
    <row r="181" spans="13:14" x14ac:dyDescent="0.3">
      <c r="M181" s="3" t="s">
        <v>323</v>
      </c>
      <c r="N181" s="3" t="s">
        <v>329</v>
      </c>
    </row>
    <row r="182" spans="13:14" x14ac:dyDescent="0.3">
      <c r="M182" s="3" t="s">
        <v>325</v>
      </c>
      <c r="N182" s="3" t="s">
        <v>331</v>
      </c>
    </row>
    <row r="183" spans="13:14" x14ac:dyDescent="0.3">
      <c r="M183" s="3" t="s">
        <v>326</v>
      </c>
      <c r="N183" s="3" t="s">
        <v>334</v>
      </c>
    </row>
    <row r="184" spans="13:14" x14ac:dyDescent="0.3">
      <c r="M184" s="3" t="s">
        <v>328</v>
      </c>
      <c r="N184" s="3" t="s">
        <v>337</v>
      </c>
    </row>
    <row r="185" spans="13:14" x14ac:dyDescent="0.3">
      <c r="M185" s="3" t="s">
        <v>329</v>
      </c>
      <c r="N185" s="3" t="s">
        <v>339</v>
      </c>
    </row>
    <row r="186" spans="13:14" x14ac:dyDescent="0.3">
      <c r="M186" s="3" t="s">
        <v>331</v>
      </c>
      <c r="N186" s="3" t="s">
        <v>341</v>
      </c>
    </row>
    <row r="187" spans="13:14" x14ac:dyDescent="0.3">
      <c r="M187" s="3" t="s">
        <v>334</v>
      </c>
      <c r="N187" s="3" t="s">
        <v>342</v>
      </c>
    </row>
    <row r="188" spans="13:14" x14ac:dyDescent="0.3">
      <c r="M188" s="3" t="s">
        <v>337</v>
      </c>
      <c r="N188" s="3" t="s">
        <v>344</v>
      </c>
    </row>
    <row r="189" spans="13:14" x14ac:dyDescent="0.3">
      <c r="M189" s="3" t="s">
        <v>339</v>
      </c>
      <c r="N189" s="3" t="s">
        <v>346</v>
      </c>
    </row>
    <row r="190" spans="13:14" x14ac:dyDescent="0.3">
      <c r="M190" s="3" t="s">
        <v>341</v>
      </c>
      <c r="N190" s="3" t="s">
        <v>349</v>
      </c>
    </row>
    <row r="191" spans="13:14" x14ac:dyDescent="0.3">
      <c r="M191" s="3" t="s">
        <v>342</v>
      </c>
      <c r="N191" s="3" t="s">
        <v>350</v>
      </c>
    </row>
    <row r="192" spans="13:14" x14ac:dyDescent="0.3">
      <c r="M192" s="3" t="s">
        <v>344</v>
      </c>
      <c r="N192" s="3" t="s">
        <v>351</v>
      </c>
    </row>
    <row r="193" spans="13:14" x14ac:dyDescent="0.3">
      <c r="M193" s="3" t="s">
        <v>346</v>
      </c>
      <c r="N193" s="3" t="s">
        <v>353</v>
      </c>
    </row>
    <row r="194" spans="13:14" x14ac:dyDescent="0.3">
      <c r="M194" s="3" t="s">
        <v>349</v>
      </c>
      <c r="N194" s="3" t="s">
        <v>354</v>
      </c>
    </row>
    <row r="195" spans="13:14" x14ac:dyDescent="0.3">
      <c r="M195" s="3" t="s">
        <v>350</v>
      </c>
      <c r="N195" s="3" t="s">
        <v>355</v>
      </c>
    </row>
    <row r="196" spans="13:14" x14ac:dyDescent="0.3">
      <c r="M196" s="3" t="s">
        <v>351</v>
      </c>
      <c r="N196" s="3" t="s">
        <v>356</v>
      </c>
    </row>
    <row r="197" spans="13:14" x14ac:dyDescent="0.3">
      <c r="M197" s="3" t="s">
        <v>353</v>
      </c>
      <c r="N197" s="3" t="s">
        <v>357</v>
      </c>
    </row>
    <row r="198" spans="13:14" x14ac:dyDescent="0.3">
      <c r="M198" s="3" t="s">
        <v>354</v>
      </c>
      <c r="N198" s="3" t="s">
        <v>359</v>
      </c>
    </row>
    <row r="199" spans="13:14" x14ac:dyDescent="0.3">
      <c r="M199" s="3" t="s">
        <v>355</v>
      </c>
      <c r="N199" s="3" t="s">
        <v>360</v>
      </c>
    </row>
    <row r="200" spans="13:14" x14ac:dyDescent="0.3">
      <c r="M200" s="3" t="s">
        <v>356</v>
      </c>
      <c r="N200" s="3" t="s">
        <v>361</v>
      </c>
    </row>
    <row r="201" spans="13:14" x14ac:dyDescent="0.3">
      <c r="M201" s="3" t="s">
        <v>357</v>
      </c>
      <c r="N201" s="3" t="s">
        <v>363</v>
      </c>
    </row>
    <row r="202" spans="13:14" x14ac:dyDescent="0.3">
      <c r="M202" s="3" t="s">
        <v>359</v>
      </c>
      <c r="N202" s="3" t="s">
        <v>364</v>
      </c>
    </row>
    <row r="203" spans="13:14" x14ac:dyDescent="0.3">
      <c r="M203" s="3" t="s">
        <v>360</v>
      </c>
      <c r="N203" s="3" t="s">
        <v>366</v>
      </c>
    </row>
    <row r="204" spans="13:14" x14ac:dyDescent="0.3">
      <c r="M204" s="3" t="s">
        <v>361</v>
      </c>
      <c r="N204" s="3" t="s">
        <v>367</v>
      </c>
    </row>
    <row r="205" spans="13:14" x14ac:dyDescent="0.3">
      <c r="M205" s="3" t="s">
        <v>363</v>
      </c>
      <c r="N205" s="3" t="s">
        <v>368</v>
      </c>
    </row>
    <row r="206" spans="13:14" x14ac:dyDescent="0.3">
      <c r="M206" s="3" t="s">
        <v>364</v>
      </c>
      <c r="N206" s="3" t="s">
        <v>369</v>
      </c>
    </row>
    <row r="207" spans="13:14" x14ac:dyDescent="0.3">
      <c r="M207" s="3" t="s">
        <v>366</v>
      </c>
      <c r="N207" s="3" t="s">
        <v>371</v>
      </c>
    </row>
    <row r="208" spans="13:14" x14ac:dyDescent="0.3">
      <c r="M208" s="3" t="s">
        <v>367</v>
      </c>
      <c r="N208" s="3" t="s">
        <v>372</v>
      </c>
    </row>
    <row r="209" spans="13:14" x14ac:dyDescent="0.3">
      <c r="M209" s="3" t="s">
        <v>368</v>
      </c>
      <c r="N209" s="3" t="s">
        <v>375</v>
      </c>
    </row>
    <row r="210" spans="13:14" x14ac:dyDescent="0.3">
      <c r="M210" s="3" t="s">
        <v>369</v>
      </c>
      <c r="N210" s="3" t="s">
        <v>376</v>
      </c>
    </row>
    <row r="211" spans="13:14" x14ac:dyDescent="0.3">
      <c r="M211" s="3" t="s">
        <v>371</v>
      </c>
      <c r="N211" s="3" t="s">
        <v>377</v>
      </c>
    </row>
    <row r="212" spans="13:14" x14ac:dyDescent="0.3">
      <c r="M212" s="3" t="s">
        <v>372</v>
      </c>
      <c r="N212" s="3" t="s">
        <v>378</v>
      </c>
    </row>
    <row r="213" spans="13:14" x14ac:dyDescent="0.3">
      <c r="M213" s="3" t="s">
        <v>375</v>
      </c>
      <c r="N213" s="3" t="s">
        <v>379</v>
      </c>
    </row>
    <row r="214" spans="13:14" x14ac:dyDescent="0.3">
      <c r="M214" s="3" t="s">
        <v>376</v>
      </c>
      <c r="N214" s="3" t="s">
        <v>380</v>
      </c>
    </row>
    <row r="215" spans="13:14" x14ac:dyDescent="0.3">
      <c r="M215" s="3" t="s">
        <v>377</v>
      </c>
      <c r="N215" s="3" t="s">
        <v>382</v>
      </c>
    </row>
    <row r="216" spans="13:14" x14ac:dyDescent="0.3">
      <c r="M216" s="3" t="s">
        <v>378</v>
      </c>
      <c r="N216" s="3" t="s">
        <v>383</v>
      </c>
    </row>
    <row r="217" spans="13:14" x14ac:dyDescent="0.3">
      <c r="M217" s="3" t="s">
        <v>379</v>
      </c>
      <c r="N217" s="3" t="s">
        <v>384</v>
      </c>
    </row>
    <row r="218" spans="13:14" x14ac:dyDescent="0.3">
      <c r="M218" s="3" t="s">
        <v>380</v>
      </c>
      <c r="N218" s="3" t="s">
        <v>386</v>
      </c>
    </row>
    <row r="219" spans="13:14" x14ac:dyDescent="0.3">
      <c r="M219" s="3" t="s">
        <v>382</v>
      </c>
      <c r="N219" s="3" t="s">
        <v>387</v>
      </c>
    </row>
    <row r="220" spans="13:14" x14ac:dyDescent="0.3">
      <c r="M220" s="3" t="s">
        <v>383</v>
      </c>
      <c r="N220" s="3" t="s">
        <v>388</v>
      </c>
    </row>
    <row r="221" spans="13:14" x14ac:dyDescent="0.3">
      <c r="M221" s="3" t="s">
        <v>384</v>
      </c>
      <c r="N221" s="3" t="s">
        <v>390</v>
      </c>
    </row>
    <row r="222" spans="13:14" x14ac:dyDescent="0.3">
      <c r="M222" s="3" t="s">
        <v>386</v>
      </c>
      <c r="N222" s="3" t="s">
        <v>391</v>
      </c>
    </row>
    <row r="223" spans="13:14" x14ac:dyDescent="0.3">
      <c r="M223" s="3" t="s">
        <v>387</v>
      </c>
      <c r="N223" s="3" t="s">
        <v>392</v>
      </c>
    </row>
    <row r="224" spans="13:14" x14ac:dyDescent="0.3">
      <c r="M224" s="3" t="s">
        <v>388</v>
      </c>
      <c r="N224" s="3" t="s">
        <v>394</v>
      </c>
    </row>
    <row r="225" spans="13:14" x14ac:dyDescent="0.3">
      <c r="M225" s="3" t="s">
        <v>390</v>
      </c>
      <c r="N225" s="3" t="s">
        <v>395</v>
      </c>
    </row>
    <row r="226" spans="13:14" x14ac:dyDescent="0.3">
      <c r="M226" s="3" t="s">
        <v>391</v>
      </c>
      <c r="N226" s="3" t="s">
        <v>396</v>
      </c>
    </row>
    <row r="227" spans="13:14" x14ac:dyDescent="0.3">
      <c r="M227" s="3" t="s">
        <v>392</v>
      </c>
      <c r="N227" s="3" t="s">
        <v>397</v>
      </c>
    </row>
    <row r="228" spans="13:14" x14ac:dyDescent="0.3">
      <c r="M228" s="3" t="s">
        <v>394</v>
      </c>
      <c r="N228" s="3" t="s">
        <v>398</v>
      </c>
    </row>
    <row r="229" spans="13:14" x14ac:dyDescent="0.3">
      <c r="M229" s="3" t="s">
        <v>395</v>
      </c>
      <c r="N229" s="3" t="s">
        <v>399</v>
      </c>
    </row>
    <row r="230" spans="13:14" x14ac:dyDescent="0.3">
      <c r="M230" s="3" t="s">
        <v>396</v>
      </c>
      <c r="N230" s="3" t="s">
        <v>400</v>
      </c>
    </row>
    <row r="231" spans="13:14" x14ac:dyDescent="0.3">
      <c r="M231" s="3" t="s">
        <v>397</v>
      </c>
      <c r="N231" s="3" t="s">
        <v>402</v>
      </c>
    </row>
    <row r="232" spans="13:14" x14ac:dyDescent="0.3">
      <c r="M232" s="3" t="s">
        <v>398</v>
      </c>
      <c r="N232" s="3" t="s">
        <v>403</v>
      </c>
    </row>
    <row r="233" spans="13:14" x14ac:dyDescent="0.3">
      <c r="M233" s="3" t="s">
        <v>399</v>
      </c>
      <c r="N233" s="3" t="s">
        <v>404</v>
      </c>
    </row>
    <row r="234" spans="13:14" x14ac:dyDescent="0.3">
      <c r="M234" s="3" t="s">
        <v>400</v>
      </c>
      <c r="N234" s="3" t="s">
        <v>405</v>
      </c>
    </row>
    <row r="235" spans="13:14" x14ac:dyDescent="0.3">
      <c r="M235" s="3" t="s">
        <v>402</v>
      </c>
      <c r="N235" s="3" t="s">
        <v>406</v>
      </c>
    </row>
    <row r="236" spans="13:14" x14ac:dyDescent="0.3">
      <c r="M236" s="3" t="s">
        <v>403</v>
      </c>
      <c r="N236" s="3" t="s">
        <v>408</v>
      </c>
    </row>
    <row r="237" spans="13:14" x14ac:dyDescent="0.3">
      <c r="M237" s="3" t="s">
        <v>404</v>
      </c>
      <c r="N237" s="3" t="s">
        <v>409</v>
      </c>
    </row>
    <row r="238" spans="13:14" x14ac:dyDescent="0.3">
      <c r="M238" s="3" t="s">
        <v>405</v>
      </c>
      <c r="N238" s="3" t="s">
        <v>411</v>
      </c>
    </row>
    <row r="239" spans="13:14" x14ac:dyDescent="0.3">
      <c r="M239" s="3" t="s">
        <v>406</v>
      </c>
      <c r="N239" s="3" t="s">
        <v>414</v>
      </c>
    </row>
    <row r="240" spans="13:14" x14ac:dyDescent="0.3">
      <c r="M240" s="3" t="s">
        <v>408</v>
      </c>
      <c r="N240" s="3" t="s">
        <v>416</v>
      </c>
    </row>
    <row r="241" spans="13:14" x14ac:dyDescent="0.3">
      <c r="M241" s="3" t="s">
        <v>409</v>
      </c>
      <c r="N241" s="3" t="s">
        <v>418</v>
      </c>
    </row>
    <row r="242" spans="13:14" x14ac:dyDescent="0.3">
      <c r="M242" s="3" t="s">
        <v>411</v>
      </c>
      <c r="N242" s="3" t="s">
        <v>419</v>
      </c>
    </row>
    <row r="243" spans="13:14" x14ac:dyDescent="0.3">
      <c r="M243" s="3" t="s">
        <v>414</v>
      </c>
      <c r="N243" s="3" t="s">
        <v>420</v>
      </c>
    </row>
    <row r="244" spans="13:14" x14ac:dyDescent="0.3">
      <c r="M244" s="3" t="s">
        <v>416</v>
      </c>
      <c r="N244" s="3" t="s">
        <v>421</v>
      </c>
    </row>
    <row r="245" spans="13:14" x14ac:dyDescent="0.3">
      <c r="M245" s="3" t="s">
        <v>418</v>
      </c>
      <c r="N245" s="3" t="s">
        <v>423</v>
      </c>
    </row>
    <row r="246" spans="13:14" x14ac:dyDescent="0.3">
      <c r="M246" s="3" t="s">
        <v>419</v>
      </c>
      <c r="N246" s="3" t="s">
        <v>424</v>
      </c>
    </row>
    <row r="247" spans="13:14" x14ac:dyDescent="0.3">
      <c r="M247" s="3" t="s">
        <v>420</v>
      </c>
      <c r="N247" s="3" t="s">
        <v>426</v>
      </c>
    </row>
    <row r="248" spans="13:14" x14ac:dyDescent="0.3">
      <c r="M248" s="3" t="s">
        <v>421</v>
      </c>
      <c r="N248" s="3" t="s">
        <v>427</v>
      </c>
    </row>
    <row r="249" spans="13:14" x14ac:dyDescent="0.3">
      <c r="M249" s="3" t="s">
        <v>423</v>
      </c>
      <c r="N249" s="3" t="s">
        <v>429</v>
      </c>
    </row>
    <row r="250" spans="13:14" x14ac:dyDescent="0.3">
      <c r="M250" s="3" t="s">
        <v>424</v>
      </c>
      <c r="N250" s="3" t="s">
        <v>430</v>
      </c>
    </row>
    <row r="251" spans="13:14" x14ac:dyDescent="0.3">
      <c r="M251" s="3" t="s">
        <v>426</v>
      </c>
      <c r="N251" s="3" t="s">
        <v>432</v>
      </c>
    </row>
    <row r="252" spans="13:14" x14ac:dyDescent="0.3">
      <c r="M252" s="3" t="s">
        <v>427</v>
      </c>
      <c r="N252" s="3" t="s">
        <v>434</v>
      </c>
    </row>
    <row r="253" spans="13:14" x14ac:dyDescent="0.3">
      <c r="M253" s="3" t="s">
        <v>429</v>
      </c>
      <c r="N253" s="3" t="s">
        <v>436</v>
      </c>
    </row>
    <row r="254" spans="13:14" x14ac:dyDescent="0.3">
      <c r="M254" s="3" t="s">
        <v>430</v>
      </c>
      <c r="N254" s="3" t="s">
        <v>437</v>
      </c>
    </row>
    <row r="255" spans="13:14" x14ac:dyDescent="0.3">
      <c r="M255" s="3" t="s">
        <v>432</v>
      </c>
      <c r="N255" s="3" t="s">
        <v>439</v>
      </c>
    </row>
    <row r="256" spans="13:14" x14ac:dyDescent="0.3">
      <c r="M256" s="3" t="s">
        <v>434</v>
      </c>
      <c r="N256" s="3" t="s">
        <v>441</v>
      </c>
    </row>
    <row r="257" spans="13:14" x14ac:dyDescent="0.3">
      <c r="M257" s="3" t="s">
        <v>436</v>
      </c>
      <c r="N257" s="3" t="s">
        <v>442</v>
      </c>
    </row>
    <row r="258" spans="13:14" x14ac:dyDescent="0.3">
      <c r="M258" s="3" t="s">
        <v>437</v>
      </c>
      <c r="N258" s="3" t="s">
        <v>444</v>
      </c>
    </row>
    <row r="259" spans="13:14" x14ac:dyDescent="0.3">
      <c r="M259" s="3" t="s">
        <v>439</v>
      </c>
      <c r="N259" s="3" t="s">
        <v>445</v>
      </c>
    </row>
    <row r="260" spans="13:14" x14ac:dyDescent="0.3">
      <c r="M260" s="3" t="s">
        <v>441</v>
      </c>
      <c r="N260" s="3" t="s">
        <v>446</v>
      </c>
    </row>
    <row r="261" spans="13:14" x14ac:dyDescent="0.3">
      <c r="M261" s="3" t="s">
        <v>442</v>
      </c>
      <c r="N261" s="3" t="s">
        <v>447</v>
      </c>
    </row>
    <row r="262" spans="13:14" x14ac:dyDescent="0.3">
      <c r="M262" s="3" t="s">
        <v>444</v>
      </c>
      <c r="N262" s="3" t="s">
        <v>449</v>
      </c>
    </row>
    <row r="263" spans="13:14" x14ac:dyDescent="0.3">
      <c r="M263" s="3" t="s">
        <v>445</v>
      </c>
      <c r="N263" s="3" t="s">
        <v>450</v>
      </c>
    </row>
    <row r="264" spans="13:14" x14ac:dyDescent="0.3">
      <c r="M264" s="3" t="s">
        <v>446</v>
      </c>
      <c r="N264" s="3" t="s">
        <v>454</v>
      </c>
    </row>
    <row r="265" spans="13:14" x14ac:dyDescent="0.3">
      <c r="M265" s="3" t="s">
        <v>447</v>
      </c>
      <c r="N265" s="3" t="s">
        <v>455</v>
      </c>
    </row>
    <row r="266" spans="13:14" x14ac:dyDescent="0.3">
      <c r="M266" s="3" t="s">
        <v>449</v>
      </c>
      <c r="N266" s="3" t="s">
        <v>458</v>
      </c>
    </row>
    <row r="267" spans="13:14" x14ac:dyDescent="0.3">
      <c r="M267" s="3" t="s">
        <v>450</v>
      </c>
      <c r="N267" s="3" t="s">
        <v>459</v>
      </c>
    </row>
    <row r="268" spans="13:14" x14ac:dyDescent="0.3">
      <c r="M268" s="3" t="s">
        <v>454</v>
      </c>
      <c r="N268" s="3" t="s">
        <v>460</v>
      </c>
    </row>
    <row r="269" spans="13:14" x14ac:dyDescent="0.3">
      <c r="M269" s="3" t="s">
        <v>455</v>
      </c>
      <c r="N269" s="3" t="s">
        <v>462</v>
      </c>
    </row>
    <row r="270" spans="13:14" x14ac:dyDescent="0.3">
      <c r="M270" s="3" t="s">
        <v>458</v>
      </c>
      <c r="N270" s="3" t="s">
        <v>464</v>
      </c>
    </row>
    <row r="271" spans="13:14" x14ac:dyDescent="0.3">
      <c r="M271" s="3" t="s">
        <v>459</v>
      </c>
      <c r="N271" s="3" t="s">
        <v>465</v>
      </c>
    </row>
    <row r="272" spans="13:14" x14ac:dyDescent="0.3">
      <c r="M272" s="3" t="s">
        <v>460</v>
      </c>
      <c r="N272" s="3" t="s">
        <v>467</v>
      </c>
    </row>
    <row r="273" spans="13:14" x14ac:dyDescent="0.3">
      <c r="M273" s="3" t="s">
        <v>462</v>
      </c>
      <c r="N273" s="3" t="s">
        <v>468</v>
      </c>
    </row>
    <row r="274" spans="13:14" x14ac:dyDescent="0.3">
      <c r="M274" s="3" t="s">
        <v>464</v>
      </c>
      <c r="N274" s="3" t="s">
        <v>469</v>
      </c>
    </row>
    <row r="275" spans="13:14" x14ac:dyDescent="0.3">
      <c r="M275" s="3" t="s">
        <v>465</v>
      </c>
      <c r="N275" s="3" t="s">
        <v>470</v>
      </c>
    </row>
    <row r="276" spans="13:14" x14ac:dyDescent="0.3">
      <c r="M276" s="3" t="s">
        <v>467</v>
      </c>
      <c r="N276" s="3" t="s">
        <v>471</v>
      </c>
    </row>
    <row r="277" spans="13:14" x14ac:dyDescent="0.3">
      <c r="M277" s="3" t="s">
        <v>468</v>
      </c>
      <c r="N277" s="3" t="s">
        <v>472</v>
      </c>
    </row>
    <row r="278" spans="13:14" x14ac:dyDescent="0.3">
      <c r="M278" s="3" t="s">
        <v>469</v>
      </c>
      <c r="N278" s="3" t="s">
        <v>473</v>
      </c>
    </row>
    <row r="279" spans="13:14" x14ac:dyDescent="0.3">
      <c r="M279" s="3" t="s">
        <v>470</v>
      </c>
      <c r="N279" s="3" t="s">
        <v>474</v>
      </c>
    </row>
    <row r="280" spans="13:14" x14ac:dyDescent="0.3">
      <c r="M280" s="3" t="s">
        <v>471</v>
      </c>
      <c r="N280" s="3" t="s">
        <v>475</v>
      </c>
    </row>
    <row r="281" spans="13:14" x14ac:dyDescent="0.3">
      <c r="M281" s="3" t="s">
        <v>472</v>
      </c>
      <c r="N281" s="3" t="s">
        <v>477</v>
      </c>
    </row>
    <row r="282" spans="13:14" x14ac:dyDescent="0.3">
      <c r="M282" s="3" t="s">
        <v>473</v>
      </c>
      <c r="N282" s="3" t="s">
        <v>478</v>
      </c>
    </row>
    <row r="283" spans="13:14" x14ac:dyDescent="0.3">
      <c r="M283" s="3" t="s">
        <v>474</v>
      </c>
      <c r="N283" s="3" t="s">
        <v>481</v>
      </c>
    </row>
    <row r="284" spans="13:14" x14ac:dyDescent="0.3">
      <c r="M284" s="3" t="s">
        <v>475</v>
      </c>
      <c r="N284" s="3" t="s">
        <v>482</v>
      </c>
    </row>
    <row r="285" spans="13:14" x14ac:dyDescent="0.3">
      <c r="M285" s="3" t="s">
        <v>477</v>
      </c>
      <c r="N285" s="3" t="s">
        <v>488</v>
      </c>
    </row>
    <row r="286" spans="13:14" x14ac:dyDescent="0.3">
      <c r="M286" s="3" t="s">
        <v>478</v>
      </c>
      <c r="N286" s="3" t="s">
        <v>489</v>
      </c>
    </row>
    <row r="287" spans="13:14" x14ac:dyDescent="0.3">
      <c r="M287" s="3" t="s">
        <v>481</v>
      </c>
      <c r="N287" s="3" t="s">
        <v>492</v>
      </c>
    </row>
    <row r="288" spans="13:14" x14ac:dyDescent="0.3">
      <c r="M288" s="3" t="s">
        <v>482</v>
      </c>
      <c r="N288" s="3" t="s">
        <v>494</v>
      </c>
    </row>
    <row r="289" spans="13:14" x14ac:dyDescent="0.3">
      <c r="M289" s="3" t="s">
        <v>488</v>
      </c>
      <c r="N289" s="3" t="s">
        <v>497</v>
      </c>
    </row>
    <row r="290" spans="13:14" x14ac:dyDescent="0.3">
      <c r="M290" s="3" t="s">
        <v>489</v>
      </c>
      <c r="N290" s="3" t="s">
        <v>499</v>
      </c>
    </row>
    <row r="291" spans="13:14" x14ac:dyDescent="0.3">
      <c r="M291" s="3" t="s">
        <v>492</v>
      </c>
      <c r="N291" s="3" t="s">
        <v>501</v>
      </c>
    </row>
    <row r="292" spans="13:14" x14ac:dyDescent="0.3">
      <c r="M292" s="3" t="s">
        <v>494</v>
      </c>
      <c r="N292" s="3" t="s">
        <v>503</v>
      </c>
    </row>
    <row r="293" spans="13:14" x14ac:dyDescent="0.3">
      <c r="M293" s="3" t="s">
        <v>497</v>
      </c>
      <c r="N293" s="3" t="s">
        <v>505</v>
      </c>
    </row>
    <row r="294" spans="13:14" x14ac:dyDescent="0.3">
      <c r="M294" s="3" t="s">
        <v>499</v>
      </c>
      <c r="N294" s="3" t="s">
        <v>507</v>
      </c>
    </row>
    <row r="295" spans="13:14" x14ac:dyDescent="0.3">
      <c r="M295" s="3" t="s">
        <v>501</v>
      </c>
      <c r="N295" s="3" t="s">
        <v>509</v>
      </c>
    </row>
    <row r="296" spans="13:14" x14ac:dyDescent="0.3">
      <c r="M296" s="3" t="s">
        <v>503</v>
      </c>
      <c r="N296" s="3" t="s">
        <v>511</v>
      </c>
    </row>
    <row r="297" spans="13:14" x14ac:dyDescent="0.3">
      <c r="M297" s="3" t="s">
        <v>505</v>
      </c>
      <c r="N297" s="3" t="s">
        <v>513</v>
      </c>
    </row>
    <row r="298" spans="13:14" x14ac:dyDescent="0.3">
      <c r="M298" s="3" t="s">
        <v>507</v>
      </c>
      <c r="N298" s="3" t="s">
        <v>515</v>
      </c>
    </row>
    <row r="299" spans="13:14" x14ac:dyDescent="0.3">
      <c r="M299" s="3" t="s">
        <v>509</v>
      </c>
      <c r="N299" s="3" t="s">
        <v>517</v>
      </c>
    </row>
    <row r="300" spans="13:14" x14ac:dyDescent="0.3">
      <c r="M300" s="3" t="s">
        <v>511</v>
      </c>
      <c r="N300" s="3" t="s">
        <v>519</v>
      </c>
    </row>
    <row r="301" spans="13:14" x14ac:dyDescent="0.3">
      <c r="M301" s="3" t="s">
        <v>513</v>
      </c>
      <c r="N301" s="3" t="s">
        <v>521</v>
      </c>
    </row>
    <row r="302" spans="13:14" x14ac:dyDescent="0.3">
      <c r="M302" s="3" t="s">
        <v>515</v>
      </c>
      <c r="N302" s="3" t="s">
        <v>523</v>
      </c>
    </row>
    <row r="303" spans="13:14" x14ac:dyDescent="0.3">
      <c r="M303" s="3" t="s">
        <v>517</v>
      </c>
      <c r="N303" s="3" t="s">
        <v>525</v>
      </c>
    </row>
    <row r="304" spans="13:14" x14ac:dyDescent="0.3">
      <c r="M304" s="3" t="s">
        <v>519</v>
      </c>
      <c r="N304" s="3" t="s">
        <v>527</v>
      </c>
    </row>
    <row r="305" spans="13:14" x14ac:dyDescent="0.3">
      <c r="M305" s="3" t="s">
        <v>521</v>
      </c>
      <c r="N305" s="3" t="s">
        <v>529</v>
      </c>
    </row>
    <row r="306" spans="13:14" x14ac:dyDescent="0.3">
      <c r="M306" s="3" t="s">
        <v>523</v>
      </c>
      <c r="N306" s="3" t="s">
        <v>532</v>
      </c>
    </row>
    <row r="307" spans="13:14" x14ac:dyDescent="0.3">
      <c r="M307" s="3" t="s">
        <v>525</v>
      </c>
      <c r="N307" s="3" t="s">
        <v>534</v>
      </c>
    </row>
    <row r="308" spans="13:14" x14ac:dyDescent="0.3">
      <c r="M308" s="3" t="s">
        <v>527</v>
      </c>
      <c r="N308" s="3" t="s">
        <v>536</v>
      </c>
    </row>
    <row r="309" spans="13:14" x14ac:dyDescent="0.3">
      <c r="M309" s="3" t="s">
        <v>529</v>
      </c>
      <c r="N309" s="3" t="s">
        <v>538</v>
      </c>
    </row>
    <row r="310" spans="13:14" x14ac:dyDescent="0.3">
      <c r="M310" s="3" t="s">
        <v>532</v>
      </c>
      <c r="N310" s="3" t="s">
        <v>540</v>
      </c>
    </row>
    <row r="311" spans="13:14" x14ac:dyDescent="0.3">
      <c r="M311" s="3" t="s">
        <v>534</v>
      </c>
      <c r="N311" s="3" t="s">
        <v>543</v>
      </c>
    </row>
    <row r="312" spans="13:14" x14ac:dyDescent="0.3">
      <c r="M312" s="3" t="s">
        <v>536</v>
      </c>
      <c r="N312" s="3" t="s">
        <v>545</v>
      </c>
    </row>
    <row r="313" spans="13:14" x14ac:dyDescent="0.3">
      <c r="M313" s="3" t="s">
        <v>538</v>
      </c>
      <c r="N313" s="3" t="s">
        <v>547</v>
      </c>
    </row>
    <row r="314" spans="13:14" x14ac:dyDescent="0.3">
      <c r="M314" s="3" t="s">
        <v>540</v>
      </c>
      <c r="N314" s="3" t="s">
        <v>548</v>
      </c>
    </row>
    <row r="315" spans="13:14" x14ac:dyDescent="0.3">
      <c r="M315" s="3" t="s">
        <v>543</v>
      </c>
      <c r="N315" s="3" t="s">
        <v>549</v>
      </c>
    </row>
    <row r="316" spans="13:14" x14ac:dyDescent="0.3">
      <c r="M316" s="3" t="s">
        <v>545</v>
      </c>
      <c r="N316" s="3" t="s">
        <v>551</v>
      </c>
    </row>
    <row r="317" spans="13:14" x14ac:dyDescent="0.3">
      <c r="M317" s="3" t="s">
        <v>547</v>
      </c>
      <c r="N317" s="3" t="s">
        <v>552</v>
      </c>
    </row>
    <row r="318" spans="13:14" x14ac:dyDescent="0.3">
      <c r="M318" s="3" t="s">
        <v>548</v>
      </c>
      <c r="N318" s="3" t="s">
        <v>553</v>
      </c>
    </row>
    <row r="319" spans="13:14" x14ac:dyDescent="0.3">
      <c r="M319" s="3" t="s">
        <v>549</v>
      </c>
      <c r="N319" s="3" t="s">
        <v>554</v>
      </c>
    </row>
    <row r="320" spans="13:14" x14ac:dyDescent="0.3">
      <c r="M320" s="3" t="s">
        <v>551</v>
      </c>
      <c r="N320" s="3" t="s">
        <v>556</v>
      </c>
    </row>
    <row r="321" spans="13:14" x14ac:dyDescent="0.3">
      <c r="M321" s="3" t="s">
        <v>552</v>
      </c>
      <c r="N321" s="3" t="s">
        <v>558</v>
      </c>
    </row>
    <row r="322" spans="13:14" x14ac:dyDescent="0.3">
      <c r="M322" s="3" t="s">
        <v>553</v>
      </c>
      <c r="N322" s="3" t="s">
        <v>559</v>
      </c>
    </row>
    <row r="323" spans="13:14" x14ac:dyDescent="0.3">
      <c r="M323" s="3" t="s">
        <v>554</v>
      </c>
      <c r="N323" s="3" t="s">
        <v>560</v>
      </c>
    </row>
    <row r="324" spans="13:14" x14ac:dyDescent="0.3">
      <c r="M324" s="3" t="s">
        <v>556</v>
      </c>
      <c r="N324" s="3" t="s">
        <v>561</v>
      </c>
    </row>
    <row r="325" spans="13:14" x14ac:dyDescent="0.3">
      <c r="M325" s="3" t="s">
        <v>558</v>
      </c>
      <c r="N325" s="3" t="s">
        <v>562</v>
      </c>
    </row>
    <row r="326" spans="13:14" x14ac:dyDescent="0.3">
      <c r="M326" s="3" t="s">
        <v>559</v>
      </c>
      <c r="N326" s="3" t="s">
        <v>563</v>
      </c>
    </row>
    <row r="327" spans="13:14" x14ac:dyDescent="0.3">
      <c r="M327" s="3" t="s">
        <v>560</v>
      </c>
      <c r="N327" s="3" t="s">
        <v>565</v>
      </c>
    </row>
    <row r="328" spans="13:14" x14ac:dyDescent="0.3">
      <c r="M328" s="3" t="s">
        <v>561</v>
      </c>
      <c r="N328" s="3" t="s">
        <v>566</v>
      </c>
    </row>
    <row r="329" spans="13:14" x14ac:dyDescent="0.3">
      <c r="M329" s="3" t="s">
        <v>562</v>
      </c>
      <c r="N329" s="3" t="s">
        <v>567</v>
      </c>
    </row>
    <row r="330" spans="13:14" x14ac:dyDescent="0.3">
      <c r="M330" s="3" t="s">
        <v>563</v>
      </c>
      <c r="N330" s="3" t="s">
        <v>568</v>
      </c>
    </row>
    <row r="331" spans="13:14" x14ac:dyDescent="0.3">
      <c r="M331" s="3" t="s">
        <v>565</v>
      </c>
      <c r="N331" s="3" t="s">
        <v>570</v>
      </c>
    </row>
    <row r="332" spans="13:14" x14ac:dyDescent="0.3">
      <c r="M332" s="3" t="s">
        <v>566</v>
      </c>
      <c r="N332" s="3" t="s">
        <v>571</v>
      </c>
    </row>
    <row r="333" spans="13:14" x14ac:dyDescent="0.3">
      <c r="M333" s="3" t="s">
        <v>567</v>
      </c>
      <c r="N333" s="3" t="s">
        <v>573</v>
      </c>
    </row>
    <row r="334" spans="13:14" x14ac:dyDescent="0.3">
      <c r="M334" s="3" t="s">
        <v>568</v>
      </c>
      <c r="N334" s="3" t="s">
        <v>574</v>
      </c>
    </row>
    <row r="335" spans="13:14" x14ac:dyDescent="0.3">
      <c r="M335" s="3" t="s">
        <v>570</v>
      </c>
      <c r="N335" s="3" t="s">
        <v>575</v>
      </c>
    </row>
    <row r="336" spans="13:14" x14ac:dyDescent="0.3">
      <c r="M336" s="3" t="s">
        <v>571</v>
      </c>
      <c r="N336" s="3" t="s">
        <v>577</v>
      </c>
    </row>
    <row r="337" spans="13:14" x14ac:dyDescent="0.3">
      <c r="M337" s="3" t="s">
        <v>573</v>
      </c>
      <c r="N337" s="3" t="s">
        <v>578</v>
      </c>
    </row>
    <row r="338" spans="13:14" x14ac:dyDescent="0.3">
      <c r="M338" s="3" t="s">
        <v>574</v>
      </c>
      <c r="N338" s="3" t="s">
        <v>579</v>
      </c>
    </row>
    <row r="339" spans="13:14" x14ac:dyDescent="0.3">
      <c r="M339" s="3" t="s">
        <v>575</v>
      </c>
      <c r="N339" s="3" t="s">
        <v>580</v>
      </c>
    </row>
    <row r="340" spans="13:14" x14ac:dyDescent="0.3">
      <c r="M340" s="3" t="s">
        <v>577</v>
      </c>
      <c r="N340" s="3" t="s">
        <v>582</v>
      </c>
    </row>
    <row r="341" spans="13:14" x14ac:dyDescent="0.3">
      <c r="M341" s="3" t="s">
        <v>578</v>
      </c>
      <c r="N341" s="3" t="s">
        <v>584</v>
      </c>
    </row>
    <row r="342" spans="13:14" x14ac:dyDescent="0.3">
      <c r="M342" s="3" t="s">
        <v>579</v>
      </c>
      <c r="N342" s="3" t="s">
        <v>585</v>
      </c>
    </row>
    <row r="343" spans="13:14" x14ac:dyDescent="0.3">
      <c r="M343" s="3" t="s">
        <v>580</v>
      </c>
      <c r="N343" s="3" t="s">
        <v>587</v>
      </c>
    </row>
    <row r="344" spans="13:14" x14ac:dyDescent="0.3">
      <c r="M344" s="3" t="s">
        <v>582</v>
      </c>
      <c r="N344" s="3" t="s">
        <v>588</v>
      </c>
    </row>
    <row r="345" spans="13:14" x14ac:dyDescent="0.3">
      <c r="M345" s="3" t="s">
        <v>584</v>
      </c>
      <c r="N345" s="3" t="s">
        <v>590</v>
      </c>
    </row>
    <row r="346" spans="13:14" x14ac:dyDescent="0.3">
      <c r="M346" s="3" t="s">
        <v>585</v>
      </c>
      <c r="N346" s="3" t="s">
        <v>591</v>
      </c>
    </row>
    <row r="347" spans="13:14" x14ac:dyDescent="0.3">
      <c r="M347" s="3" t="s">
        <v>587</v>
      </c>
      <c r="N347" s="3" t="s">
        <v>592</v>
      </c>
    </row>
    <row r="348" spans="13:14" x14ac:dyDescent="0.3">
      <c r="M348" s="3" t="s">
        <v>588</v>
      </c>
      <c r="N348" s="3" t="s">
        <v>593</v>
      </c>
    </row>
    <row r="349" spans="13:14" x14ac:dyDescent="0.3">
      <c r="M349" s="3" t="s">
        <v>590</v>
      </c>
      <c r="N349" s="3" t="s">
        <v>595</v>
      </c>
    </row>
    <row r="350" spans="13:14" x14ac:dyDescent="0.3">
      <c r="M350" s="3" t="s">
        <v>591</v>
      </c>
      <c r="N350" s="3" t="s">
        <v>596</v>
      </c>
    </row>
    <row r="351" spans="13:14" x14ac:dyDescent="0.3">
      <c r="M351" s="3" t="s">
        <v>592</v>
      </c>
      <c r="N351" s="3" t="s">
        <v>597</v>
      </c>
    </row>
    <row r="352" spans="13:14" x14ac:dyDescent="0.3">
      <c r="M352" s="3" t="s">
        <v>593</v>
      </c>
      <c r="N352" s="3" t="s">
        <v>598</v>
      </c>
    </row>
    <row r="353" spans="13:14" x14ac:dyDescent="0.3">
      <c r="M353" s="3" t="s">
        <v>595</v>
      </c>
      <c r="N353" s="3" t="s">
        <v>600</v>
      </c>
    </row>
    <row r="354" spans="13:14" x14ac:dyDescent="0.3">
      <c r="M354" s="3" t="s">
        <v>596</v>
      </c>
      <c r="N354" s="3" t="s">
        <v>601</v>
      </c>
    </row>
    <row r="355" spans="13:14" x14ac:dyDescent="0.3">
      <c r="M355" s="3" t="s">
        <v>597</v>
      </c>
      <c r="N355" s="3" t="s">
        <v>602</v>
      </c>
    </row>
    <row r="356" spans="13:14" x14ac:dyDescent="0.3">
      <c r="M356" s="3" t="s">
        <v>598</v>
      </c>
      <c r="N356" s="3" t="s">
        <v>604</v>
      </c>
    </row>
    <row r="357" spans="13:14" x14ac:dyDescent="0.3">
      <c r="M357" s="3" t="s">
        <v>600</v>
      </c>
      <c r="N357" s="3" t="s">
        <v>605</v>
      </c>
    </row>
    <row r="358" spans="13:14" x14ac:dyDescent="0.3">
      <c r="M358" s="3" t="s">
        <v>601</v>
      </c>
      <c r="N358" s="3" t="s">
        <v>607</v>
      </c>
    </row>
    <row r="359" spans="13:14" x14ac:dyDescent="0.3">
      <c r="M359" s="3" t="s">
        <v>602</v>
      </c>
      <c r="N359" s="3" t="s">
        <v>608</v>
      </c>
    </row>
    <row r="360" spans="13:14" x14ac:dyDescent="0.3">
      <c r="M360" s="3" t="s">
        <v>604</v>
      </c>
      <c r="N360" s="3" t="s">
        <v>610</v>
      </c>
    </row>
    <row r="361" spans="13:14" x14ac:dyDescent="0.3">
      <c r="M361" s="3" t="s">
        <v>605</v>
      </c>
      <c r="N361" s="3" t="s">
        <v>612</v>
      </c>
    </row>
    <row r="362" spans="13:14" x14ac:dyDescent="0.3">
      <c r="M362" s="3" t="s">
        <v>607</v>
      </c>
      <c r="N362" s="3" t="s">
        <v>614</v>
      </c>
    </row>
    <row r="363" spans="13:14" x14ac:dyDescent="0.3">
      <c r="M363" s="3" t="s">
        <v>608</v>
      </c>
      <c r="N363" s="3" t="s">
        <v>616</v>
      </c>
    </row>
    <row r="364" spans="13:14" x14ac:dyDescent="0.3">
      <c r="M364" s="3" t="s">
        <v>610</v>
      </c>
      <c r="N364" s="3" t="s">
        <v>617</v>
      </c>
    </row>
    <row r="365" spans="13:14" x14ac:dyDescent="0.3">
      <c r="M365" s="3" t="s">
        <v>612</v>
      </c>
      <c r="N365" s="3" t="s">
        <v>619</v>
      </c>
    </row>
    <row r="366" spans="13:14" x14ac:dyDescent="0.3">
      <c r="M366" s="3" t="s">
        <v>614</v>
      </c>
      <c r="N366" s="3" t="s">
        <v>620</v>
      </c>
    </row>
    <row r="367" spans="13:14" x14ac:dyDescent="0.3">
      <c r="M367" s="3" t="s">
        <v>616</v>
      </c>
      <c r="N367" s="3" t="s">
        <v>621</v>
      </c>
    </row>
    <row r="368" spans="13:14" x14ac:dyDescent="0.3">
      <c r="M368" s="3" t="s">
        <v>617</v>
      </c>
      <c r="N368" s="3" t="s">
        <v>623</v>
      </c>
    </row>
    <row r="369" spans="13:14" x14ac:dyDescent="0.3">
      <c r="M369" s="3" t="s">
        <v>619</v>
      </c>
      <c r="N369" s="3" t="s">
        <v>625</v>
      </c>
    </row>
    <row r="370" spans="13:14" x14ac:dyDescent="0.3">
      <c r="M370" s="3" t="s">
        <v>620</v>
      </c>
      <c r="N370" s="3" t="s">
        <v>627</v>
      </c>
    </row>
    <row r="371" spans="13:14" x14ac:dyDescent="0.3">
      <c r="M371" s="3" t="s">
        <v>621</v>
      </c>
      <c r="N371" s="3" t="s">
        <v>629</v>
      </c>
    </row>
    <row r="372" spans="13:14" x14ac:dyDescent="0.3">
      <c r="M372" s="3" t="s">
        <v>623</v>
      </c>
      <c r="N372" s="3" t="s">
        <v>630</v>
      </c>
    </row>
    <row r="373" spans="13:14" x14ac:dyDescent="0.3">
      <c r="M373" s="3" t="s">
        <v>625</v>
      </c>
      <c r="N373" s="3" t="s">
        <v>631</v>
      </c>
    </row>
    <row r="374" spans="13:14" x14ac:dyDescent="0.3">
      <c r="M374" s="3" t="s">
        <v>627</v>
      </c>
      <c r="N374" s="3" t="s">
        <v>633</v>
      </c>
    </row>
    <row r="375" spans="13:14" x14ac:dyDescent="0.3">
      <c r="M375" s="3" t="s">
        <v>629</v>
      </c>
      <c r="N375" s="3" t="s">
        <v>635</v>
      </c>
    </row>
    <row r="376" spans="13:14" x14ac:dyDescent="0.3">
      <c r="M376" s="3" t="s">
        <v>630</v>
      </c>
      <c r="N376" s="3" t="s">
        <v>636</v>
      </c>
    </row>
    <row r="377" spans="13:14" x14ac:dyDescent="0.3">
      <c r="M377" s="3" t="s">
        <v>631</v>
      </c>
      <c r="N377" s="3" t="s">
        <v>638</v>
      </c>
    </row>
    <row r="378" spans="13:14" x14ac:dyDescent="0.3">
      <c r="M378" s="3" t="s">
        <v>633</v>
      </c>
      <c r="N378" s="3" t="s">
        <v>640</v>
      </c>
    </row>
    <row r="379" spans="13:14" x14ac:dyDescent="0.3">
      <c r="M379" s="3" t="s">
        <v>635</v>
      </c>
      <c r="N379" s="3" t="s">
        <v>642</v>
      </c>
    </row>
    <row r="380" spans="13:14" x14ac:dyDescent="0.3">
      <c r="M380" s="3" t="s">
        <v>636</v>
      </c>
      <c r="N380" s="3" t="s">
        <v>644</v>
      </c>
    </row>
    <row r="381" spans="13:14" x14ac:dyDescent="0.3">
      <c r="M381" s="3" t="s">
        <v>638</v>
      </c>
      <c r="N381" s="3" t="s">
        <v>645</v>
      </c>
    </row>
    <row r="382" spans="13:14" x14ac:dyDescent="0.3">
      <c r="M382" s="3" t="s">
        <v>640</v>
      </c>
      <c r="N382" s="3" t="s">
        <v>646</v>
      </c>
    </row>
    <row r="383" spans="13:14" x14ac:dyDescent="0.3">
      <c r="M383" s="3" t="s">
        <v>642</v>
      </c>
      <c r="N383" s="3" t="s">
        <v>648</v>
      </c>
    </row>
    <row r="384" spans="13:14" x14ac:dyDescent="0.3">
      <c r="M384" s="3" t="s">
        <v>644</v>
      </c>
      <c r="N384" s="3" t="s">
        <v>649</v>
      </c>
    </row>
    <row r="385" spans="13:14" x14ac:dyDescent="0.3">
      <c r="M385" s="3" t="s">
        <v>645</v>
      </c>
      <c r="N385" s="3" t="s">
        <v>650</v>
      </c>
    </row>
    <row r="386" spans="13:14" x14ac:dyDescent="0.3">
      <c r="M386" s="3" t="s">
        <v>646</v>
      </c>
      <c r="N386" s="3" t="s">
        <v>652</v>
      </c>
    </row>
    <row r="387" spans="13:14" x14ac:dyDescent="0.3">
      <c r="M387" s="3" t="s">
        <v>648</v>
      </c>
      <c r="N387" s="3" t="s">
        <v>654</v>
      </c>
    </row>
    <row r="388" spans="13:14" x14ac:dyDescent="0.3">
      <c r="M388" s="3" t="s">
        <v>649</v>
      </c>
      <c r="N388" s="3" t="s">
        <v>656</v>
      </c>
    </row>
    <row r="389" spans="13:14" x14ac:dyDescent="0.3">
      <c r="M389" s="3" t="s">
        <v>650</v>
      </c>
      <c r="N389" s="3" t="s">
        <v>658</v>
      </c>
    </row>
    <row r="390" spans="13:14" x14ac:dyDescent="0.3">
      <c r="M390" s="3" t="s">
        <v>652</v>
      </c>
      <c r="N390" s="3" t="s">
        <v>660</v>
      </c>
    </row>
    <row r="391" spans="13:14" x14ac:dyDescent="0.3">
      <c r="M391" s="3" t="s">
        <v>654</v>
      </c>
      <c r="N391" s="3" t="s">
        <v>661</v>
      </c>
    </row>
    <row r="392" spans="13:14" x14ac:dyDescent="0.3">
      <c r="M392" s="3" t="s">
        <v>656</v>
      </c>
      <c r="N392" s="3" t="s">
        <v>663</v>
      </c>
    </row>
    <row r="393" spans="13:14" x14ac:dyDescent="0.3">
      <c r="M393" s="3" t="s">
        <v>658</v>
      </c>
      <c r="N393" s="3" t="s">
        <v>664</v>
      </c>
    </row>
    <row r="394" spans="13:14" x14ac:dyDescent="0.3">
      <c r="M394" s="3" t="s">
        <v>660</v>
      </c>
      <c r="N394" s="3" t="s">
        <v>666</v>
      </c>
    </row>
    <row r="395" spans="13:14" x14ac:dyDescent="0.3">
      <c r="M395" s="3" t="s">
        <v>661</v>
      </c>
      <c r="N395" s="3" t="s">
        <v>668</v>
      </c>
    </row>
    <row r="396" spans="13:14" x14ac:dyDescent="0.3">
      <c r="M396" s="3" t="s">
        <v>663</v>
      </c>
      <c r="N396" s="3" t="s">
        <v>669</v>
      </c>
    </row>
    <row r="397" spans="13:14" x14ac:dyDescent="0.3">
      <c r="M397" s="3" t="s">
        <v>664</v>
      </c>
      <c r="N397" s="3" t="s">
        <v>671</v>
      </c>
    </row>
    <row r="398" spans="13:14" x14ac:dyDescent="0.3">
      <c r="M398" s="3" t="s">
        <v>666</v>
      </c>
      <c r="N398" s="3" t="s">
        <v>672</v>
      </c>
    </row>
    <row r="399" spans="13:14" x14ac:dyDescent="0.3">
      <c r="M399" s="3" t="s">
        <v>668</v>
      </c>
      <c r="N399" s="3" t="s">
        <v>674</v>
      </c>
    </row>
    <row r="400" spans="13:14" x14ac:dyDescent="0.3">
      <c r="M400" s="3" t="s">
        <v>669</v>
      </c>
      <c r="N400" s="3" t="s">
        <v>675</v>
      </c>
    </row>
    <row r="401" spans="13:14" x14ac:dyDescent="0.3">
      <c r="M401" s="3" t="s">
        <v>671</v>
      </c>
      <c r="N401" s="3" t="s">
        <v>676</v>
      </c>
    </row>
    <row r="402" spans="13:14" x14ac:dyDescent="0.3">
      <c r="M402" s="3" t="s">
        <v>672</v>
      </c>
      <c r="N402" s="3" t="s">
        <v>678</v>
      </c>
    </row>
    <row r="403" spans="13:14" x14ac:dyDescent="0.3">
      <c r="M403" s="3" t="s">
        <v>674</v>
      </c>
      <c r="N403" s="3" t="s">
        <v>680</v>
      </c>
    </row>
    <row r="404" spans="13:14" x14ac:dyDescent="0.3">
      <c r="M404" s="3" t="s">
        <v>675</v>
      </c>
      <c r="N404" s="3" t="s">
        <v>682</v>
      </c>
    </row>
    <row r="405" spans="13:14" x14ac:dyDescent="0.3">
      <c r="M405" s="3" t="s">
        <v>676</v>
      </c>
      <c r="N405" s="3" t="s">
        <v>684</v>
      </c>
    </row>
    <row r="406" spans="13:14" x14ac:dyDescent="0.3">
      <c r="M406" s="3" t="s">
        <v>678</v>
      </c>
      <c r="N406" s="3" t="s">
        <v>687</v>
      </c>
    </row>
    <row r="407" spans="13:14" x14ac:dyDescent="0.3">
      <c r="M407" s="3" t="s">
        <v>680</v>
      </c>
      <c r="N407" s="3" t="s">
        <v>688</v>
      </c>
    </row>
    <row r="408" spans="13:14" x14ac:dyDescent="0.3">
      <c r="M408" s="3" t="s">
        <v>682</v>
      </c>
      <c r="N408" s="3" t="s">
        <v>689</v>
      </c>
    </row>
    <row r="409" spans="13:14" x14ac:dyDescent="0.3">
      <c r="M409" s="3" t="s">
        <v>684</v>
      </c>
      <c r="N409" s="3" t="s">
        <v>691</v>
      </c>
    </row>
    <row r="410" spans="13:14" x14ac:dyDescent="0.3">
      <c r="M410" s="3" t="s">
        <v>687</v>
      </c>
      <c r="N410" s="3" t="s">
        <v>692</v>
      </c>
    </row>
    <row r="411" spans="13:14" x14ac:dyDescent="0.3">
      <c r="M411" s="3" t="s">
        <v>688</v>
      </c>
      <c r="N411" s="3" t="s">
        <v>693</v>
      </c>
    </row>
    <row r="412" spans="13:14" x14ac:dyDescent="0.3">
      <c r="M412" s="3" t="s">
        <v>689</v>
      </c>
      <c r="N412" s="3" t="s">
        <v>695</v>
      </c>
    </row>
    <row r="413" spans="13:14" x14ac:dyDescent="0.3">
      <c r="M413" s="3" t="s">
        <v>691</v>
      </c>
      <c r="N413" s="3" t="s">
        <v>697</v>
      </c>
    </row>
    <row r="414" spans="13:14" x14ac:dyDescent="0.3">
      <c r="M414" s="3" t="s">
        <v>692</v>
      </c>
      <c r="N414" s="3" t="s">
        <v>698</v>
      </c>
    </row>
    <row r="415" spans="13:14" x14ac:dyDescent="0.3">
      <c r="M415" s="3" t="s">
        <v>693</v>
      </c>
      <c r="N415" s="3" t="s">
        <v>700</v>
      </c>
    </row>
    <row r="416" spans="13:14" x14ac:dyDescent="0.3">
      <c r="M416" s="3" t="s">
        <v>695</v>
      </c>
      <c r="N416" s="3" t="s">
        <v>701</v>
      </c>
    </row>
    <row r="417" spans="13:14" x14ac:dyDescent="0.3">
      <c r="M417" s="3" t="s">
        <v>697</v>
      </c>
      <c r="N417" s="3" t="s">
        <v>703</v>
      </c>
    </row>
    <row r="418" spans="13:14" x14ac:dyDescent="0.3">
      <c r="M418" s="3" t="s">
        <v>698</v>
      </c>
      <c r="N418" s="3" t="s">
        <v>704</v>
      </c>
    </row>
    <row r="419" spans="13:14" x14ac:dyDescent="0.3">
      <c r="M419" s="3" t="s">
        <v>700</v>
      </c>
      <c r="N419" s="3" t="s">
        <v>706</v>
      </c>
    </row>
    <row r="420" spans="13:14" x14ac:dyDescent="0.3">
      <c r="M420" s="3" t="s">
        <v>701</v>
      </c>
      <c r="N420" s="3" t="s">
        <v>707</v>
      </c>
    </row>
    <row r="421" spans="13:14" x14ac:dyDescent="0.3">
      <c r="M421" s="3" t="s">
        <v>703</v>
      </c>
      <c r="N421" s="3" t="s">
        <v>709</v>
      </c>
    </row>
    <row r="422" spans="13:14" x14ac:dyDescent="0.3">
      <c r="M422" s="3" t="s">
        <v>704</v>
      </c>
      <c r="N422" s="3" t="s">
        <v>712</v>
      </c>
    </row>
    <row r="423" spans="13:14" x14ac:dyDescent="0.3">
      <c r="M423" s="3" t="s">
        <v>706</v>
      </c>
      <c r="N423" s="3" t="s">
        <v>714</v>
      </c>
    </row>
    <row r="424" spans="13:14" x14ac:dyDescent="0.3">
      <c r="M424" s="3" t="s">
        <v>707</v>
      </c>
      <c r="N424" s="3" t="s">
        <v>716</v>
      </c>
    </row>
    <row r="425" spans="13:14" x14ac:dyDescent="0.3">
      <c r="M425" s="3" t="s">
        <v>709</v>
      </c>
      <c r="N425" s="3" t="s">
        <v>717</v>
      </c>
    </row>
    <row r="426" spans="13:14" x14ac:dyDescent="0.3">
      <c r="M426" s="3" t="s">
        <v>712</v>
      </c>
      <c r="N426" s="3" t="s">
        <v>1498</v>
      </c>
    </row>
    <row r="427" spans="13:14" x14ac:dyDescent="0.3">
      <c r="M427" s="3" t="s">
        <v>714</v>
      </c>
      <c r="N427" s="3" t="s">
        <v>719</v>
      </c>
    </row>
    <row r="428" spans="13:14" x14ac:dyDescent="0.3">
      <c r="M428" s="3" t="s">
        <v>716</v>
      </c>
      <c r="N428" s="3" t="s">
        <v>720</v>
      </c>
    </row>
    <row r="429" spans="13:14" x14ac:dyDescent="0.3">
      <c r="M429" s="3" t="s">
        <v>717</v>
      </c>
      <c r="N429" s="3" t="s">
        <v>1505</v>
      </c>
    </row>
    <row r="430" spans="13:14" x14ac:dyDescent="0.3">
      <c r="M430" s="3" t="s">
        <v>1498</v>
      </c>
      <c r="N430" s="3" t="s">
        <v>1504</v>
      </c>
    </row>
    <row r="431" spans="13:14" x14ac:dyDescent="0.3">
      <c r="M431" s="3" t="s">
        <v>719</v>
      </c>
      <c r="N431" s="3" t="s">
        <v>723</v>
      </c>
    </row>
    <row r="432" spans="13:14" x14ac:dyDescent="0.3">
      <c r="M432" s="3" t="s">
        <v>720</v>
      </c>
      <c r="N432" s="3" t="s">
        <v>725</v>
      </c>
    </row>
    <row r="433" spans="13:14" x14ac:dyDescent="0.3">
      <c r="M433" s="3" t="s">
        <v>1505</v>
      </c>
      <c r="N433" s="3" t="s">
        <v>726</v>
      </c>
    </row>
    <row r="434" spans="13:14" x14ac:dyDescent="0.3">
      <c r="M434" s="3" t="s">
        <v>1504</v>
      </c>
      <c r="N434" s="3" t="s">
        <v>728</v>
      </c>
    </row>
    <row r="435" spans="13:14" x14ac:dyDescent="0.3">
      <c r="M435" s="3" t="s">
        <v>723</v>
      </c>
      <c r="N435" s="3" t="s">
        <v>729</v>
      </c>
    </row>
    <row r="436" spans="13:14" x14ac:dyDescent="0.3">
      <c r="M436" s="3" t="s">
        <v>725</v>
      </c>
      <c r="N436" s="3" t="s">
        <v>730</v>
      </c>
    </row>
    <row r="437" spans="13:14" x14ac:dyDescent="0.3">
      <c r="M437" s="3" t="s">
        <v>726</v>
      </c>
      <c r="N437" s="3" t="s">
        <v>732</v>
      </c>
    </row>
    <row r="438" spans="13:14" x14ac:dyDescent="0.3">
      <c r="M438" s="3" t="s">
        <v>728</v>
      </c>
      <c r="N438" s="3" t="s">
        <v>733</v>
      </c>
    </row>
    <row r="439" spans="13:14" x14ac:dyDescent="0.3">
      <c r="M439" s="3" t="s">
        <v>729</v>
      </c>
      <c r="N439" s="3" t="s">
        <v>1502</v>
      </c>
    </row>
    <row r="440" spans="13:14" x14ac:dyDescent="0.3">
      <c r="M440" s="3" t="s">
        <v>730</v>
      </c>
      <c r="N440" s="3" t="s">
        <v>735</v>
      </c>
    </row>
    <row r="441" spans="13:14" x14ac:dyDescent="0.3">
      <c r="M441" s="3" t="s">
        <v>732</v>
      </c>
      <c r="N441" s="3" t="s">
        <v>736</v>
      </c>
    </row>
    <row r="442" spans="13:14" x14ac:dyDescent="0.3">
      <c r="M442" s="3" t="s">
        <v>733</v>
      </c>
      <c r="N442" s="3" t="s">
        <v>738</v>
      </c>
    </row>
    <row r="443" spans="13:14" x14ac:dyDescent="0.3">
      <c r="M443" s="3" t="s">
        <v>1502</v>
      </c>
      <c r="N443" s="3" t="s">
        <v>739</v>
      </c>
    </row>
    <row r="444" spans="13:14" x14ac:dyDescent="0.3">
      <c r="M444" s="3" t="s">
        <v>735</v>
      </c>
      <c r="N444" s="3" t="s">
        <v>451</v>
      </c>
    </row>
    <row r="445" spans="13:14" x14ac:dyDescent="0.3">
      <c r="M445" s="3" t="s">
        <v>736</v>
      </c>
      <c r="N445" s="3" t="s">
        <v>740</v>
      </c>
    </row>
    <row r="446" spans="13:14" x14ac:dyDescent="0.3">
      <c r="M446" s="3" t="s">
        <v>738</v>
      </c>
      <c r="N446" s="3" t="s">
        <v>487</v>
      </c>
    </row>
    <row r="447" spans="13:14" x14ac:dyDescent="0.3">
      <c r="M447" s="3" t="s">
        <v>739</v>
      </c>
      <c r="N447" s="3" t="s">
        <v>742</v>
      </c>
    </row>
    <row r="448" spans="13:14" x14ac:dyDescent="0.3">
      <c r="M448" s="3" t="s">
        <v>451</v>
      </c>
      <c r="N448" s="3" t="s">
        <v>743</v>
      </c>
    </row>
    <row r="449" spans="13:14" x14ac:dyDescent="0.3">
      <c r="M449" s="3" t="s">
        <v>740</v>
      </c>
      <c r="N449" s="3" t="s">
        <v>745</v>
      </c>
    </row>
    <row r="450" spans="13:14" x14ac:dyDescent="0.3">
      <c r="M450" s="3" t="s">
        <v>487</v>
      </c>
      <c r="N450" s="3" t="s">
        <v>747</v>
      </c>
    </row>
    <row r="451" spans="13:14" x14ac:dyDescent="0.3">
      <c r="M451" s="3" t="s">
        <v>742</v>
      </c>
      <c r="N451" s="3" t="s">
        <v>749</v>
      </c>
    </row>
    <row r="452" spans="13:14" x14ac:dyDescent="0.3">
      <c r="M452" s="3" t="s">
        <v>743</v>
      </c>
      <c r="N452" s="3" t="s">
        <v>754</v>
      </c>
    </row>
    <row r="453" spans="13:14" x14ac:dyDescent="0.3">
      <c r="M453" s="3" t="s">
        <v>745</v>
      </c>
      <c r="N453" s="3" t="s">
        <v>756</v>
      </c>
    </row>
    <row r="454" spans="13:14" x14ac:dyDescent="0.3">
      <c r="M454" s="3" t="s">
        <v>747</v>
      </c>
      <c r="N454" s="3" t="s">
        <v>758</v>
      </c>
    </row>
    <row r="455" spans="13:14" x14ac:dyDescent="0.3">
      <c r="M455" s="3" t="s">
        <v>749</v>
      </c>
      <c r="N455" s="3" t="s">
        <v>760</v>
      </c>
    </row>
    <row r="456" spans="13:14" x14ac:dyDescent="0.3">
      <c r="M456" s="3" t="s">
        <v>754</v>
      </c>
      <c r="N456" s="3" t="s">
        <v>762</v>
      </c>
    </row>
    <row r="457" spans="13:14" x14ac:dyDescent="0.3">
      <c r="M457" s="3" t="s">
        <v>756</v>
      </c>
      <c r="N457" s="3" t="s">
        <v>765</v>
      </c>
    </row>
    <row r="458" spans="13:14" x14ac:dyDescent="0.3">
      <c r="M458" s="3" t="s">
        <v>758</v>
      </c>
      <c r="N458" s="3" t="s">
        <v>769</v>
      </c>
    </row>
    <row r="459" spans="13:14" x14ac:dyDescent="0.3">
      <c r="M459" s="3" t="s">
        <v>760</v>
      </c>
      <c r="N459" s="3" t="s">
        <v>771</v>
      </c>
    </row>
    <row r="460" spans="13:14" x14ac:dyDescent="0.3">
      <c r="M460" s="3" t="s">
        <v>762</v>
      </c>
      <c r="N460" s="3" t="s">
        <v>448</v>
      </c>
    </row>
    <row r="461" spans="13:14" x14ac:dyDescent="0.3">
      <c r="M461" s="3" t="s">
        <v>765</v>
      </c>
      <c r="N461" s="3" t="s">
        <v>773</v>
      </c>
    </row>
    <row r="462" spans="13:14" x14ac:dyDescent="0.3">
      <c r="M462" s="3" t="s">
        <v>769</v>
      </c>
      <c r="N462" s="3" t="s">
        <v>775</v>
      </c>
    </row>
    <row r="463" spans="13:14" x14ac:dyDescent="0.3">
      <c r="M463" s="3" t="s">
        <v>771</v>
      </c>
      <c r="N463" s="3" t="s">
        <v>780</v>
      </c>
    </row>
    <row r="464" spans="13:14" x14ac:dyDescent="0.3">
      <c r="M464" s="3" t="s">
        <v>448</v>
      </c>
      <c r="N464" s="3" t="s">
        <v>781</v>
      </c>
    </row>
    <row r="465" spans="13:14" x14ac:dyDescent="0.3">
      <c r="M465" s="3" t="s">
        <v>773</v>
      </c>
      <c r="N465" s="3" t="s">
        <v>783</v>
      </c>
    </row>
    <row r="466" spans="13:14" x14ac:dyDescent="0.3">
      <c r="M466" s="3" t="s">
        <v>775</v>
      </c>
      <c r="N466" s="3" t="s">
        <v>784</v>
      </c>
    </row>
    <row r="467" spans="13:14" x14ac:dyDescent="0.3">
      <c r="M467" s="3" t="s">
        <v>780</v>
      </c>
      <c r="N467" s="3" t="s">
        <v>786</v>
      </c>
    </row>
    <row r="468" spans="13:14" x14ac:dyDescent="0.3">
      <c r="M468" s="3" t="s">
        <v>781</v>
      </c>
      <c r="N468" s="3" t="s">
        <v>788</v>
      </c>
    </row>
    <row r="469" spans="13:14" x14ac:dyDescent="0.3">
      <c r="M469" s="3" t="s">
        <v>783</v>
      </c>
      <c r="N469" s="3" t="s">
        <v>789</v>
      </c>
    </row>
    <row r="470" spans="13:14" x14ac:dyDescent="0.3">
      <c r="M470" s="3" t="s">
        <v>784</v>
      </c>
      <c r="N470" s="3" t="s">
        <v>791</v>
      </c>
    </row>
    <row r="471" spans="13:14" x14ac:dyDescent="0.3">
      <c r="M471" s="3" t="s">
        <v>786</v>
      </c>
      <c r="N471" s="3" t="s">
        <v>792</v>
      </c>
    </row>
    <row r="472" spans="13:14" x14ac:dyDescent="0.3">
      <c r="M472" s="3" t="s">
        <v>788</v>
      </c>
      <c r="N472" s="3" t="s">
        <v>793</v>
      </c>
    </row>
    <row r="473" spans="13:14" x14ac:dyDescent="0.3">
      <c r="M473" s="3" t="s">
        <v>789</v>
      </c>
      <c r="N473" s="3" t="s">
        <v>794</v>
      </c>
    </row>
    <row r="474" spans="13:14" x14ac:dyDescent="0.3">
      <c r="M474" s="3" t="s">
        <v>791</v>
      </c>
      <c r="N474" s="3" t="s">
        <v>796</v>
      </c>
    </row>
    <row r="475" spans="13:14" x14ac:dyDescent="0.3">
      <c r="M475" s="3" t="s">
        <v>792</v>
      </c>
      <c r="N475" s="3" t="s">
        <v>798</v>
      </c>
    </row>
    <row r="476" spans="13:14" x14ac:dyDescent="0.3">
      <c r="M476" s="3" t="s">
        <v>793</v>
      </c>
      <c r="N476" s="3" t="s">
        <v>800</v>
      </c>
    </row>
    <row r="477" spans="13:14" x14ac:dyDescent="0.3">
      <c r="M477" s="3" t="s">
        <v>794</v>
      </c>
      <c r="N477" s="3" t="s">
        <v>802</v>
      </c>
    </row>
    <row r="478" spans="13:14" x14ac:dyDescent="0.3">
      <c r="M478" s="3" t="s">
        <v>796</v>
      </c>
      <c r="N478" s="3" t="s">
        <v>804</v>
      </c>
    </row>
    <row r="479" spans="13:14" x14ac:dyDescent="0.3">
      <c r="M479" s="3" t="s">
        <v>798</v>
      </c>
      <c r="N479" s="3" t="s">
        <v>806</v>
      </c>
    </row>
    <row r="480" spans="13:14" x14ac:dyDescent="0.3">
      <c r="M480" s="3" t="s">
        <v>800</v>
      </c>
      <c r="N480" s="3" t="s">
        <v>807</v>
      </c>
    </row>
    <row r="481" spans="13:14" x14ac:dyDescent="0.3">
      <c r="M481" s="3" t="s">
        <v>802</v>
      </c>
      <c r="N481" s="3" t="s">
        <v>809</v>
      </c>
    </row>
    <row r="482" spans="13:14" x14ac:dyDescent="0.3">
      <c r="M482" s="3" t="s">
        <v>804</v>
      </c>
      <c r="N482" s="3" t="s">
        <v>810</v>
      </c>
    </row>
    <row r="483" spans="13:14" x14ac:dyDescent="0.3">
      <c r="M483" s="3" t="s">
        <v>806</v>
      </c>
      <c r="N483" s="3" t="s">
        <v>811</v>
      </c>
    </row>
    <row r="484" spans="13:14" x14ac:dyDescent="0.3">
      <c r="M484" s="3" t="s">
        <v>807</v>
      </c>
      <c r="N484" s="3" t="s">
        <v>812</v>
      </c>
    </row>
    <row r="485" spans="13:14" x14ac:dyDescent="0.3">
      <c r="M485" s="3" t="s">
        <v>809</v>
      </c>
      <c r="N485" s="3" t="s">
        <v>813</v>
      </c>
    </row>
    <row r="486" spans="13:14" x14ac:dyDescent="0.3">
      <c r="M486" s="3" t="s">
        <v>810</v>
      </c>
      <c r="N486" s="3" t="s">
        <v>814</v>
      </c>
    </row>
    <row r="487" spans="13:14" x14ac:dyDescent="0.3">
      <c r="M487" s="3" t="s">
        <v>811</v>
      </c>
      <c r="N487" s="3" t="s">
        <v>816</v>
      </c>
    </row>
    <row r="488" spans="13:14" x14ac:dyDescent="0.3">
      <c r="M488" s="3" t="s">
        <v>812</v>
      </c>
      <c r="N488" s="3" t="s">
        <v>818</v>
      </c>
    </row>
    <row r="489" spans="13:14" x14ac:dyDescent="0.3">
      <c r="M489" s="3" t="s">
        <v>813</v>
      </c>
      <c r="N489" s="3" t="s">
        <v>819</v>
      </c>
    </row>
    <row r="490" spans="13:14" x14ac:dyDescent="0.3">
      <c r="M490" s="3" t="s">
        <v>814</v>
      </c>
      <c r="N490" s="3" t="s">
        <v>820</v>
      </c>
    </row>
    <row r="491" spans="13:14" x14ac:dyDescent="0.3">
      <c r="M491" s="3" t="s">
        <v>816</v>
      </c>
      <c r="N491" s="3" t="s">
        <v>821</v>
      </c>
    </row>
    <row r="492" spans="13:14" x14ac:dyDescent="0.3">
      <c r="M492" s="3" t="s">
        <v>818</v>
      </c>
      <c r="N492" s="3" t="s">
        <v>823</v>
      </c>
    </row>
    <row r="493" spans="13:14" x14ac:dyDescent="0.3">
      <c r="M493" s="3" t="s">
        <v>819</v>
      </c>
      <c r="N493" s="3" t="s">
        <v>825</v>
      </c>
    </row>
    <row r="494" spans="13:14" x14ac:dyDescent="0.3">
      <c r="M494" s="3" t="s">
        <v>820</v>
      </c>
      <c r="N494" s="3" t="s">
        <v>826</v>
      </c>
    </row>
    <row r="495" spans="13:14" x14ac:dyDescent="0.3">
      <c r="M495" s="3" t="s">
        <v>821</v>
      </c>
      <c r="N495" s="3" t="s">
        <v>827</v>
      </c>
    </row>
    <row r="496" spans="13:14" x14ac:dyDescent="0.3">
      <c r="M496" s="3" t="s">
        <v>823</v>
      </c>
      <c r="N496" s="3" t="s">
        <v>828</v>
      </c>
    </row>
    <row r="497" spans="13:14" x14ac:dyDescent="0.3">
      <c r="M497" s="3" t="s">
        <v>825</v>
      </c>
      <c r="N497" s="3" t="s">
        <v>830</v>
      </c>
    </row>
    <row r="498" spans="13:14" x14ac:dyDescent="0.3">
      <c r="M498" s="3" t="s">
        <v>826</v>
      </c>
      <c r="N498" s="3" t="s">
        <v>832</v>
      </c>
    </row>
    <row r="499" spans="13:14" x14ac:dyDescent="0.3">
      <c r="M499" s="3" t="s">
        <v>827</v>
      </c>
      <c r="N499" s="3" t="s">
        <v>835</v>
      </c>
    </row>
    <row r="500" spans="13:14" x14ac:dyDescent="0.3">
      <c r="M500" s="3" t="s">
        <v>828</v>
      </c>
      <c r="N500" s="3" t="s">
        <v>838</v>
      </c>
    </row>
    <row r="501" spans="13:14" x14ac:dyDescent="0.3">
      <c r="M501" s="3" t="s">
        <v>830</v>
      </c>
      <c r="N501" s="3" t="s">
        <v>840</v>
      </c>
    </row>
    <row r="502" spans="13:14" x14ac:dyDescent="0.3">
      <c r="M502" s="3" t="s">
        <v>832</v>
      </c>
      <c r="N502" s="3" t="s">
        <v>842</v>
      </c>
    </row>
    <row r="503" spans="13:14" x14ac:dyDescent="0.3">
      <c r="M503" s="3" t="s">
        <v>835</v>
      </c>
      <c r="N503" s="3" t="s">
        <v>844</v>
      </c>
    </row>
    <row r="504" spans="13:14" x14ac:dyDescent="0.3">
      <c r="M504" s="3" t="s">
        <v>838</v>
      </c>
      <c r="N504" s="3" t="s">
        <v>846</v>
      </c>
    </row>
    <row r="505" spans="13:14" x14ac:dyDescent="0.3">
      <c r="M505" s="3" t="s">
        <v>840</v>
      </c>
      <c r="N505" s="3" t="s">
        <v>848</v>
      </c>
    </row>
    <row r="506" spans="13:14" x14ac:dyDescent="0.3">
      <c r="M506" s="3" t="s">
        <v>842</v>
      </c>
      <c r="N506" s="3" t="s">
        <v>850</v>
      </c>
    </row>
    <row r="507" spans="13:14" x14ac:dyDescent="0.3">
      <c r="M507" s="3" t="s">
        <v>844</v>
      </c>
      <c r="N507" s="3" t="s">
        <v>851</v>
      </c>
    </row>
    <row r="508" spans="13:14" x14ac:dyDescent="0.3">
      <c r="M508" s="3" t="s">
        <v>846</v>
      </c>
      <c r="N508" s="3" t="s">
        <v>853</v>
      </c>
    </row>
    <row r="509" spans="13:14" x14ac:dyDescent="0.3">
      <c r="M509" s="3" t="s">
        <v>848</v>
      </c>
      <c r="N509" s="3" t="s">
        <v>854</v>
      </c>
    </row>
    <row r="510" spans="13:14" x14ac:dyDescent="0.3">
      <c r="M510" s="3" t="s">
        <v>850</v>
      </c>
      <c r="N510" s="3" t="s">
        <v>856</v>
      </c>
    </row>
    <row r="511" spans="13:14" x14ac:dyDescent="0.3">
      <c r="M511" s="3" t="s">
        <v>851</v>
      </c>
      <c r="N511" s="3" t="s">
        <v>857</v>
      </c>
    </row>
    <row r="512" spans="13:14" x14ac:dyDescent="0.3">
      <c r="M512" s="3" t="s">
        <v>853</v>
      </c>
      <c r="N512" s="3" t="s">
        <v>859</v>
      </c>
    </row>
    <row r="513" spans="13:14" x14ac:dyDescent="0.3">
      <c r="M513" s="3" t="s">
        <v>854</v>
      </c>
      <c r="N513" s="3" t="s">
        <v>860</v>
      </c>
    </row>
    <row r="514" spans="13:14" x14ac:dyDescent="0.3">
      <c r="M514" s="3" t="s">
        <v>856</v>
      </c>
      <c r="N514" s="3" t="s">
        <v>861</v>
      </c>
    </row>
    <row r="515" spans="13:14" x14ac:dyDescent="0.3">
      <c r="M515" s="3" t="s">
        <v>857</v>
      </c>
      <c r="N515" s="3" t="s">
        <v>862</v>
      </c>
    </row>
    <row r="516" spans="13:14" x14ac:dyDescent="0.3">
      <c r="M516" s="3" t="s">
        <v>859</v>
      </c>
      <c r="N516" s="3" t="s">
        <v>863</v>
      </c>
    </row>
    <row r="517" spans="13:14" x14ac:dyDescent="0.3">
      <c r="M517" s="3" t="s">
        <v>860</v>
      </c>
      <c r="N517" s="3" t="s">
        <v>865</v>
      </c>
    </row>
    <row r="518" spans="13:14" x14ac:dyDescent="0.3">
      <c r="M518" s="3" t="s">
        <v>861</v>
      </c>
      <c r="N518" s="3" t="s">
        <v>867</v>
      </c>
    </row>
    <row r="519" spans="13:14" x14ac:dyDescent="0.3">
      <c r="M519" s="3" t="s">
        <v>862</v>
      </c>
      <c r="N519" s="3" t="s">
        <v>869</v>
      </c>
    </row>
    <row r="520" spans="13:14" x14ac:dyDescent="0.3">
      <c r="M520" s="3" t="s">
        <v>863</v>
      </c>
      <c r="N520" s="3" t="s">
        <v>871</v>
      </c>
    </row>
    <row r="521" spans="13:14" x14ac:dyDescent="0.3">
      <c r="M521" s="3" t="s">
        <v>865</v>
      </c>
      <c r="N521" s="3" t="s">
        <v>873</v>
      </c>
    </row>
    <row r="522" spans="13:14" x14ac:dyDescent="0.3">
      <c r="M522" s="3" t="s">
        <v>867</v>
      </c>
      <c r="N522" s="3" t="s">
        <v>874</v>
      </c>
    </row>
    <row r="523" spans="13:14" x14ac:dyDescent="0.3">
      <c r="M523" s="3" t="s">
        <v>869</v>
      </c>
      <c r="N523" s="3" t="s">
        <v>875</v>
      </c>
    </row>
    <row r="524" spans="13:14" x14ac:dyDescent="0.3">
      <c r="M524" s="3" t="s">
        <v>871</v>
      </c>
      <c r="N524" s="3" t="s">
        <v>453</v>
      </c>
    </row>
    <row r="525" spans="13:14" x14ac:dyDescent="0.3">
      <c r="M525" s="3" t="s">
        <v>873</v>
      </c>
      <c r="N525" s="3" t="s">
        <v>876</v>
      </c>
    </row>
    <row r="526" spans="13:14" x14ac:dyDescent="0.3">
      <c r="M526" s="3" t="s">
        <v>874</v>
      </c>
      <c r="N526" s="3" t="s">
        <v>456</v>
      </c>
    </row>
    <row r="527" spans="13:14" x14ac:dyDescent="0.3">
      <c r="M527" s="3" t="s">
        <v>875</v>
      </c>
      <c r="N527" s="3" t="s">
        <v>877</v>
      </c>
    </row>
    <row r="528" spans="13:14" x14ac:dyDescent="0.3">
      <c r="M528" s="3" t="s">
        <v>453</v>
      </c>
      <c r="N528" s="3" t="s">
        <v>879</v>
      </c>
    </row>
    <row r="529" spans="13:14" x14ac:dyDescent="0.3">
      <c r="M529" s="3" t="s">
        <v>876</v>
      </c>
      <c r="N529" s="3" t="s">
        <v>880</v>
      </c>
    </row>
    <row r="530" spans="13:14" x14ac:dyDescent="0.3">
      <c r="M530" s="3" t="s">
        <v>456</v>
      </c>
      <c r="N530" s="3" t="s">
        <v>881</v>
      </c>
    </row>
    <row r="531" spans="13:14" x14ac:dyDescent="0.3">
      <c r="M531" s="3" t="s">
        <v>877</v>
      </c>
      <c r="N531" s="3" t="s">
        <v>882</v>
      </c>
    </row>
    <row r="532" spans="13:14" x14ac:dyDescent="0.3">
      <c r="M532" s="3" t="s">
        <v>879</v>
      </c>
      <c r="N532" s="3" t="s">
        <v>479</v>
      </c>
    </row>
    <row r="533" spans="13:14" x14ac:dyDescent="0.3">
      <c r="M533" s="3" t="s">
        <v>880</v>
      </c>
      <c r="N533" s="3" t="s">
        <v>480</v>
      </c>
    </row>
    <row r="534" spans="13:14" x14ac:dyDescent="0.3">
      <c r="M534" s="3" t="s">
        <v>881</v>
      </c>
      <c r="N534" s="3" t="s">
        <v>883</v>
      </c>
    </row>
    <row r="535" spans="13:14" x14ac:dyDescent="0.3">
      <c r="M535" s="3" t="s">
        <v>882</v>
      </c>
      <c r="N535" s="3" t="s">
        <v>888</v>
      </c>
    </row>
    <row r="536" spans="13:14" x14ac:dyDescent="0.3">
      <c r="M536" s="3" t="s">
        <v>479</v>
      </c>
      <c r="N536" s="3" t="s">
        <v>890</v>
      </c>
    </row>
    <row r="537" spans="13:14" x14ac:dyDescent="0.3">
      <c r="M537" s="3" t="s">
        <v>480</v>
      </c>
      <c r="N537" s="3" t="s">
        <v>892</v>
      </c>
    </row>
    <row r="538" spans="13:14" x14ac:dyDescent="0.3">
      <c r="M538" s="3" t="s">
        <v>883</v>
      </c>
      <c r="N538" s="3" t="s">
        <v>896</v>
      </c>
    </row>
    <row r="539" spans="13:14" x14ac:dyDescent="0.3">
      <c r="M539" s="3" t="s">
        <v>888</v>
      </c>
      <c r="N539" s="3" t="s">
        <v>898</v>
      </c>
    </row>
    <row r="540" spans="13:14" x14ac:dyDescent="0.3">
      <c r="M540" s="3" t="s">
        <v>890</v>
      </c>
      <c r="N540" s="3" t="s">
        <v>900</v>
      </c>
    </row>
    <row r="541" spans="13:14" x14ac:dyDescent="0.3">
      <c r="M541" s="3" t="s">
        <v>892</v>
      </c>
      <c r="N541" s="3" t="s">
        <v>901</v>
      </c>
    </row>
    <row r="542" spans="13:14" x14ac:dyDescent="0.3">
      <c r="M542" s="3" t="s">
        <v>896</v>
      </c>
      <c r="N542" s="3" t="s">
        <v>902</v>
      </c>
    </row>
    <row r="543" spans="13:14" x14ac:dyDescent="0.3">
      <c r="M543" s="3" t="s">
        <v>898</v>
      </c>
      <c r="N543" s="3" t="s">
        <v>903</v>
      </c>
    </row>
    <row r="544" spans="13:14" x14ac:dyDescent="0.3">
      <c r="M544" s="3" t="s">
        <v>900</v>
      </c>
      <c r="N544" s="3" t="s">
        <v>904</v>
      </c>
    </row>
    <row r="545" spans="13:14" x14ac:dyDescent="0.3">
      <c r="M545" s="3" t="s">
        <v>901</v>
      </c>
      <c r="N545" s="3" t="s">
        <v>905</v>
      </c>
    </row>
    <row r="546" spans="13:14" x14ac:dyDescent="0.3">
      <c r="M546" s="3" t="s">
        <v>902</v>
      </c>
      <c r="N546" s="3" t="s">
        <v>907</v>
      </c>
    </row>
    <row r="547" spans="13:14" x14ac:dyDescent="0.3">
      <c r="M547" s="3" t="s">
        <v>903</v>
      </c>
      <c r="N547" s="3" t="s">
        <v>908</v>
      </c>
    </row>
    <row r="548" spans="13:14" x14ac:dyDescent="0.3">
      <c r="M548" s="3" t="s">
        <v>904</v>
      </c>
      <c r="N548" s="3" t="s">
        <v>910</v>
      </c>
    </row>
    <row r="549" spans="13:14" x14ac:dyDescent="0.3">
      <c r="M549" s="3" t="s">
        <v>905</v>
      </c>
      <c r="N549" s="3" t="s">
        <v>912</v>
      </c>
    </row>
    <row r="550" spans="13:14" x14ac:dyDescent="0.3">
      <c r="M550" s="3" t="s">
        <v>907</v>
      </c>
      <c r="N550" s="3" t="s">
        <v>913</v>
      </c>
    </row>
    <row r="551" spans="13:14" x14ac:dyDescent="0.3">
      <c r="M551" s="3" t="s">
        <v>908</v>
      </c>
      <c r="N551" s="3" t="s">
        <v>915</v>
      </c>
    </row>
    <row r="552" spans="13:14" x14ac:dyDescent="0.3">
      <c r="M552" s="3" t="s">
        <v>910</v>
      </c>
      <c r="N552" s="3" t="s">
        <v>916</v>
      </c>
    </row>
    <row r="553" spans="13:14" x14ac:dyDescent="0.3">
      <c r="M553" s="3" t="s">
        <v>912</v>
      </c>
      <c r="N553" s="3" t="s">
        <v>918</v>
      </c>
    </row>
    <row r="554" spans="13:14" x14ac:dyDescent="0.3">
      <c r="M554" s="3" t="s">
        <v>913</v>
      </c>
      <c r="N554" s="3" t="s">
        <v>920</v>
      </c>
    </row>
    <row r="555" spans="13:14" x14ac:dyDescent="0.3">
      <c r="M555" s="3" t="s">
        <v>915</v>
      </c>
      <c r="N555" s="3" t="s">
        <v>922</v>
      </c>
    </row>
    <row r="556" spans="13:14" x14ac:dyDescent="0.3">
      <c r="M556" s="3" t="s">
        <v>916</v>
      </c>
      <c r="N556" s="3" t="s">
        <v>923</v>
      </c>
    </row>
    <row r="557" spans="13:14" x14ac:dyDescent="0.3">
      <c r="M557" s="3" t="s">
        <v>918</v>
      </c>
      <c r="N557" s="3" t="s">
        <v>925</v>
      </c>
    </row>
    <row r="558" spans="13:14" x14ac:dyDescent="0.3">
      <c r="M558" s="3" t="s">
        <v>920</v>
      </c>
      <c r="N558" s="3" t="s">
        <v>927</v>
      </c>
    </row>
    <row r="559" spans="13:14" x14ac:dyDescent="0.3">
      <c r="M559" s="3" t="s">
        <v>922</v>
      </c>
      <c r="N559" s="3" t="s">
        <v>929</v>
      </c>
    </row>
    <row r="560" spans="13:14" x14ac:dyDescent="0.3">
      <c r="M560" s="3" t="s">
        <v>923</v>
      </c>
      <c r="N560" s="3" t="s">
        <v>930</v>
      </c>
    </row>
    <row r="561" spans="13:14" x14ac:dyDescent="0.3">
      <c r="M561" s="3" t="s">
        <v>925</v>
      </c>
      <c r="N561" s="3" t="s">
        <v>934</v>
      </c>
    </row>
    <row r="562" spans="13:14" x14ac:dyDescent="0.3">
      <c r="M562" s="3" t="s">
        <v>927</v>
      </c>
      <c r="N562" s="3" t="s">
        <v>936</v>
      </c>
    </row>
    <row r="563" spans="13:14" x14ac:dyDescent="0.3">
      <c r="M563" s="3" t="s">
        <v>929</v>
      </c>
      <c r="N563" s="3" t="s">
        <v>938</v>
      </c>
    </row>
    <row r="564" spans="13:14" x14ac:dyDescent="0.3">
      <c r="M564" s="3" t="s">
        <v>930</v>
      </c>
      <c r="N564" s="3" t="s">
        <v>939</v>
      </c>
    </row>
    <row r="565" spans="13:14" x14ac:dyDescent="0.3">
      <c r="M565" s="3" t="s">
        <v>934</v>
      </c>
      <c r="N565" s="3" t="s">
        <v>941</v>
      </c>
    </row>
    <row r="566" spans="13:14" x14ac:dyDescent="0.3">
      <c r="M566" s="3" t="s">
        <v>936</v>
      </c>
      <c r="N566" s="3" t="s">
        <v>942</v>
      </c>
    </row>
    <row r="567" spans="13:14" x14ac:dyDescent="0.3">
      <c r="M567" s="3" t="s">
        <v>938</v>
      </c>
      <c r="N567" s="3" t="s">
        <v>943</v>
      </c>
    </row>
    <row r="568" spans="13:14" x14ac:dyDescent="0.3">
      <c r="M568" s="3" t="s">
        <v>939</v>
      </c>
      <c r="N568" s="3" t="s">
        <v>944</v>
      </c>
    </row>
    <row r="569" spans="13:14" x14ac:dyDescent="0.3">
      <c r="M569" s="3" t="s">
        <v>941</v>
      </c>
      <c r="N569" s="3" t="s">
        <v>945</v>
      </c>
    </row>
    <row r="570" spans="13:14" x14ac:dyDescent="0.3">
      <c r="M570" s="3" t="s">
        <v>942</v>
      </c>
      <c r="N570" s="3" t="s">
        <v>946</v>
      </c>
    </row>
    <row r="571" spans="13:14" x14ac:dyDescent="0.3">
      <c r="M571" s="3" t="s">
        <v>943</v>
      </c>
      <c r="N571" s="3" t="s">
        <v>1508</v>
      </c>
    </row>
    <row r="572" spans="13:14" x14ac:dyDescent="0.3">
      <c r="M572" s="3" t="s">
        <v>944</v>
      </c>
      <c r="N572" s="3" t="s">
        <v>1507</v>
      </c>
    </row>
    <row r="573" spans="13:14" x14ac:dyDescent="0.3">
      <c r="M573" s="3" t="s">
        <v>945</v>
      </c>
      <c r="N573" s="3" t="s">
        <v>951</v>
      </c>
    </row>
    <row r="574" spans="13:14" x14ac:dyDescent="0.3">
      <c r="M574" s="3" t="s">
        <v>946</v>
      </c>
      <c r="N574" s="3" t="s">
        <v>953</v>
      </c>
    </row>
    <row r="575" spans="13:14" x14ac:dyDescent="0.3">
      <c r="M575" s="3" t="s">
        <v>1508</v>
      </c>
      <c r="N575" s="3" t="s">
        <v>954</v>
      </c>
    </row>
    <row r="576" spans="13:14" x14ac:dyDescent="0.3">
      <c r="M576" s="3" t="s">
        <v>1507</v>
      </c>
      <c r="N576" s="3" t="s">
        <v>955</v>
      </c>
    </row>
    <row r="577" spans="13:14" x14ac:dyDescent="0.3">
      <c r="M577" s="3" t="s">
        <v>951</v>
      </c>
      <c r="N577" s="3" t="s">
        <v>956</v>
      </c>
    </row>
    <row r="578" spans="13:14" x14ac:dyDescent="0.3">
      <c r="M578" s="3" t="s">
        <v>953</v>
      </c>
      <c r="N578" s="3" t="s">
        <v>959</v>
      </c>
    </row>
    <row r="579" spans="13:14" x14ac:dyDescent="0.3">
      <c r="M579" s="3" t="s">
        <v>954</v>
      </c>
      <c r="N579" s="3" t="s">
        <v>961</v>
      </c>
    </row>
    <row r="580" spans="13:14" x14ac:dyDescent="0.3">
      <c r="M580" s="3" t="s">
        <v>955</v>
      </c>
      <c r="N580" s="3" t="s">
        <v>1506</v>
      </c>
    </row>
    <row r="581" spans="13:14" x14ac:dyDescent="0.3">
      <c r="M581" s="3" t="s">
        <v>956</v>
      </c>
      <c r="N581" s="3" t="s">
        <v>962</v>
      </c>
    </row>
    <row r="582" spans="13:14" x14ac:dyDescent="0.3">
      <c r="M582" s="3" t="s">
        <v>959</v>
      </c>
      <c r="N582" s="3" t="s">
        <v>964</v>
      </c>
    </row>
    <row r="583" spans="13:14" x14ac:dyDescent="0.3">
      <c r="M583" s="3" t="s">
        <v>961</v>
      </c>
      <c r="N583" s="3" t="s">
        <v>966</v>
      </c>
    </row>
    <row r="584" spans="13:14" x14ac:dyDescent="0.3">
      <c r="M584" s="3" t="s">
        <v>1506</v>
      </c>
      <c r="N584" s="3" t="s">
        <v>968</v>
      </c>
    </row>
    <row r="585" spans="13:14" x14ac:dyDescent="0.3">
      <c r="M585" s="3" t="s">
        <v>962</v>
      </c>
      <c r="N585" s="3" t="s">
        <v>969</v>
      </c>
    </row>
    <row r="586" spans="13:14" x14ac:dyDescent="0.3">
      <c r="M586" s="3" t="s">
        <v>964</v>
      </c>
      <c r="N586" s="3" t="s">
        <v>970</v>
      </c>
    </row>
    <row r="587" spans="13:14" x14ac:dyDescent="0.3">
      <c r="M587" s="3" t="s">
        <v>966</v>
      </c>
      <c r="N587" s="3" t="s">
        <v>972</v>
      </c>
    </row>
    <row r="588" spans="13:14" x14ac:dyDescent="0.3">
      <c r="M588" s="3" t="s">
        <v>968</v>
      </c>
      <c r="N588" s="3" t="s">
        <v>973</v>
      </c>
    </row>
    <row r="589" spans="13:14" x14ac:dyDescent="0.3">
      <c r="M589" s="3" t="s">
        <v>969</v>
      </c>
      <c r="N589" s="3" t="s">
        <v>974</v>
      </c>
    </row>
    <row r="590" spans="13:14" x14ac:dyDescent="0.3">
      <c r="M590" s="3" t="s">
        <v>970</v>
      </c>
      <c r="N590" s="3" t="s">
        <v>1487</v>
      </c>
    </row>
    <row r="591" spans="13:14" x14ac:dyDescent="0.3">
      <c r="M591" s="3" t="s">
        <v>972</v>
      </c>
      <c r="N591" s="3" t="s">
        <v>976</v>
      </c>
    </row>
    <row r="592" spans="13:14" x14ac:dyDescent="0.3">
      <c r="M592" s="3" t="s">
        <v>973</v>
      </c>
      <c r="N592" s="3" t="s">
        <v>978</v>
      </c>
    </row>
    <row r="593" spans="13:14" x14ac:dyDescent="0.3">
      <c r="M593" s="3" t="s">
        <v>974</v>
      </c>
      <c r="N593" s="3" t="s">
        <v>979</v>
      </c>
    </row>
    <row r="594" spans="13:14" x14ac:dyDescent="0.3">
      <c r="M594" s="3" t="s">
        <v>1487</v>
      </c>
      <c r="N594" s="3" t="s">
        <v>980</v>
      </c>
    </row>
    <row r="595" spans="13:14" x14ac:dyDescent="0.3">
      <c r="M595" s="3" t="s">
        <v>976</v>
      </c>
      <c r="N595" s="3" t="s">
        <v>981</v>
      </c>
    </row>
    <row r="596" spans="13:14" x14ac:dyDescent="0.3">
      <c r="M596" s="3" t="s">
        <v>978</v>
      </c>
      <c r="N596" s="3" t="s">
        <v>982</v>
      </c>
    </row>
    <row r="597" spans="13:14" x14ac:dyDescent="0.3">
      <c r="M597" s="3" t="s">
        <v>979</v>
      </c>
      <c r="N597" s="3" t="s">
        <v>983</v>
      </c>
    </row>
    <row r="598" spans="13:14" x14ac:dyDescent="0.3">
      <c r="M598" s="3" t="s">
        <v>980</v>
      </c>
      <c r="N598" s="3" t="s">
        <v>984</v>
      </c>
    </row>
    <row r="599" spans="13:14" x14ac:dyDescent="0.3">
      <c r="M599" s="3" t="s">
        <v>981</v>
      </c>
      <c r="N599" s="3" t="s">
        <v>986</v>
      </c>
    </row>
    <row r="600" spans="13:14" x14ac:dyDescent="0.3">
      <c r="M600" s="3" t="s">
        <v>982</v>
      </c>
      <c r="N600" s="3" t="s">
        <v>988</v>
      </c>
    </row>
    <row r="601" spans="13:14" x14ac:dyDescent="0.3">
      <c r="M601" s="3" t="s">
        <v>983</v>
      </c>
      <c r="N601" s="3" t="s">
        <v>989</v>
      </c>
    </row>
    <row r="602" spans="13:14" x14ac:dyDescent="0.3">
      <c r="M602" s="3" t="s">
        <v>984</v>
      </c>
      <c r="N602" s="3" t="s">
        <v>990</v>
      </c>
    </row>
    <row r="603" spans="13:14" x14ac:dyDescent="0.3">
      <c r="M603" s="3" t="s">
        <v>986</v>
      </c>
      <c r="N603" s="3" t="s">
        <v>991</v>
      </c>
    </row>
    <row r="604" spans="13:14" x14ac:dyDescent="0.3">
      <c r="M604" s="3" t="s">
        <v>988</v>
      </c>
      <c r="N604" s="3" t="s">
        <v>992</v>
      </c>
    </row>
    <row r="605" spans="13:14" x14ac:dyDescent="0.3">
      <c r="M605" s="3" t="s">
        <v>989</v>
      </c>
      <c r="N605" s="3" t="s">
        <v>993</v>
      </c>
    </row>
    <row r="606" spans="13:14" x14ac:dyDescent="0.3">
      <c r="M606" s="3" t="s">
        <v>990</v>
      </c>
      <c r="N606" s="3" t="s">
        <v>994</v>
      </c>
    </row>
    <row r="607" spans="13:14" x14ac:dyDescent="0.3">
      <c r="M607" s="3" t="s">
        <v>991</v>
      </c>
      <c r="N607" s="3" t="s">
        <v>1495</v>
      </c>
    </row>
    <row r="608" spans="13:14" x14ac:dyDescent="0.3">
      <c r="M608" s="3" t="s">
        <v>992</v>
      </c>
      <c r="N608" s="3" t="s">
        <v>996</v>
      </c>
    </row>
    <row r="609" spans="13:14" x14ac:dyDescent="0.3">
      <c r="M609" s="3" t="s">
        <v>993</v>
      </c>
      <c r="N609" s="3" t="s">
        <v>998</v>
      </c>
    </row>
    <row r="610" spans="13:14" x14ac:dyDescent="0.3">
      <c r="M610" s="3" t="s">
        <v>994</v>
      </c>
      <c r="N610" s="3" t="s">
        <v>999</v>
      </c>
    </row>
    <row r="611" spans="13:14" x14ac:dyDescent="0.3">
      <c r="M611" s="3" t="s">
        <v>1495</v>
      </c>
      <c r="N611" s="3" t="s">
        <v>1000</v>
      </c>
    </row>
    <row r="612" spans="13:14" x14ac:dyDescent="0.3">
      <c r="M612" s="3" t="s">
        <v>996</v>
      </c>
      <c r="N612" s="3" t="s">
        <v>1001</v>
      </c>
    </row>
    <row r="613" spans="13:14" x14ac:dyDescent="0.3">
      <c r="M613" s="3" t="s">
        <v>998</v>
      </c>
      <c r="N613" s="3" t="s">
        <v>1002</v>
      </c>
    </row>
    <row r="614" spans="13:14" x14ac:dyDescent="0.3">
      <c r="M614" s="3" t="s">
        <v>999</v>
      </c>
      <c r="N614" s="3" t="s">
        <v>1004</v>
      </c>
    </row>
    <row r="615" spans="13:14" x14ac:dyDescent="0.3">
      <c r="M615" s="3" t="s">
        <v>1000</v>
      </c>
      <c r="N615" s="3" t="s">
        <v>1005</v>
      </c>
    </row>
    <row r="616" spans="13:14" x14ac:dyDescent="0.3">
      <c r="M616" s="3" t="s">
        <v>1001</v>
      </c>
      <c r="N616" s="3" t="s">
        <v>1008</v>
      </c>
    </row>
    <row r="617" spans="13:14" x14ac:dyDescent="0.3">
      <c r="M617" s="3" t="s">
        <v>1002</v>
      </c>
      <c r="N617" s="3" t="s">
        <v>1510</v>
      </c>
    </row>
    <row r="618" spans="13:14" x14ac:dyDescent="0.3">
      <c r="M618" s="3" t="s">
        <v>1004</v>
      </c>
      <c r="N618" s="3" t="s">
        <v>1011</v>
      </c>
    </row>
    <row r="619" spans="13:14" x14ac:dyDescent="0.3">
      <c r="M619" s="3" t="s">
        <v>1005</v>
      </c>
      <c r="N619" s="3" t="s">
        <v>1013</v>
      </c>
    </row>
    <row r="620" spans="13:14" x14ac:dyDescent="0.3">
      <c r="M620" s="3" t="s">
        <v>1008</v>
      </c>
      <c r="N620" s="3" t="s">
        <v>1015</v>
      </c>
    </row>
    <row r="621" spans="13:14" x14ac:dyDescent="0.3">
      <c r="M621" s="3" t="s">
        <v>1510</v>
      </c>
      <c r="N621" s="3" t="s">
        <v>1016</v>
      </c>
    </row>
    <row r="622" spans="13:14" x14ac:dyDescent="0.3">
      <c r="M622" s="3" t="s">
        <v>1011</v>
      </c>
      <c r="N622" s="3" t="s">
        <v>1019</v>
      </c>
    </row>
    <row r="623" spans="13:14" x14ac:dyDescent="0.3">
      <c r="M623" s="3" t="s">
        <v>1013</v>
      </c>
      <c r="N623" s="3" t="s">
        <v>1021</v>
      </c>
    </row>
    <row r="624" spans="13:14" x14ac:dyDescent="0.3">
      <c r="M624" s="3" t="s">
        <v>1015</v>
      </c>
      <c r="N624" s="3" t="s">
        <v>1023</v>
      </c>
    </row>
    <row r="625" spans="13:14" x14ac:dyDescent="0.3">
      <c r="M625" s="3" t="s">
        <v>1016</v>
      </c>
      <c r="N625" s="3" t="s">
        <v>1025</v>
      </c>
    </row>
    <row r="626" spans="13:14" x14ac:dyDescent="0.3">
      <c r="M626" s="3" t="s">
        <v>1019</v>
      </c>
      <c r="N626" s="3" t="s">
        <v>1027</v>
      </c>
    </row>
    <row r="627" spans="13:14" x14ac:dyDescent="0.3">
      <c r="M627" s="3" t="s">
        <v>1021</v>
      </c>
      <c r="N627" s="3" t="s">
        <v>1029</v>
      </c>
    </row>
    <row r="628" spans="13:14" x14ac:dyDescent="0.3">
      <c r="M628" s="3" t="s">
        <v>1023</v>
      </c>
      <c r="N628" s="3" t="s">
        <v>1031</v>
      </c>
    </row>
    <row r="629" spans="13:14" x14ac:dyDescent="0.3">
      <c r="M629" s="3" t="s">
        <v>1025</v>
      </c>
      <c r="N629" s="3" t="s">
        <v>1033</v>
      </c>
    </row>
    <row r="630" spans="13:14" x14ac:dyDescent="0.3">
      <c r="M630" s="3" t="s">
        <v>1027</v>
      </c>
      <c r="N630" s="3" t="s">
        <v>1035</v>
      </c>
    </row>
    <row r="631" spans="13:14" x14ac:dyDescent="0.3">
      <c r="M631" s="3" t="s">
        <v>1029</v>
      </c>
      <c r="N631" s="3" t="s">
        <v>1037</v>
      </c>
    </row>
    <row r="632" spans="13:14" x14ac:dyDescent="0.3">
      <c r="M632" s="3" t="s">
        <v>1031</v>
      </c>
      <c r="N632" s="3" t="s">
        <v>1039</v>
      </c>
    </row>
    <row r="633" spans="13:14" x14ac:dyDescent="0.3">
      <c r="M633" s="3" t="s">
        <v>1033</v>
      </c>
      <c r="N633" s="3" t="s">
        <v>1041</v>
      </c>
    </row>
    <row r="634" spans="13:14" x14ac:dyDescent="0.3">
      <c r="M634" s="3" t="s">
        <v>1035</v>
      </c>
      <c r="N634" s="3" t="s">
        <v>1043</v>
      </c>
    </row>
    <row r="635" spans="13:14" x14ac:dyDescent="0.3">
      <c r="M635" s="3" t="s">
        <v>1037</v>
      </c>
      <c r="N635" s="3" t="s">
        <v>1045</v>
      </c>
    </row>
    <row r="636" spans="13:14" x14ac:dyDescent="0.3">
      <c r="M636" s="3" t="s">
        <v>1039</v>
      </c>
      <c r="N636" s="3" t="s">
        <v>1047</v>
      </c>
    </row>
    <row r="637" spans="13:14" x14ac:dyDescent="0.3">
      <c r="M637" s="3" t="s">
        <v>1041</v>
      </c>
      <c r="N637" s="3" t="s">
        <v>1049</v>
      </c>
    </row>
    <row r="638" spans="13:14" x14ac:dyDescent="0.3">
      <c r="M638" s="3" t="s">
        <v>1043</v>
      </c>
      <c r="N638" s="3" t="s">
        <v>1052</v>
      </c>
    </row>
    <row r="639" spans="13:14" x14ac:dyDescent="0.3">
      <c r="M639" s="3" t="s">
        <v>1045</v>
      </c>
      <c r="N639" s="3" t="s">
        <v>1054</v>
      </c>
    </row>
    <row r="640" spans="13:14" x14ac:dyDescent="0.3">
      <c r="M640" s="3" t="s">
        <v>1047</v>
      </c>
      <c r="N640" s="3" t="s">
        <v>1056</v>
      </c>
    </row>
    <row r="641" spans="13:14" x14ac:dyDescent="0.3">
      <c r="M641" s="3" t="s">
        <v>1049</v>
      </c>
      <c r="N641" s="3" t="s">
        <v>1057</v>
      </c>
    </row>
    <row r="642" spans="13:14" x14ac:dyDescent="0.3">
      <c r="M642" s="3" t="s">
        <v>1052</v>
      </c>
      <c r="N642" s="3" t="s">
        <v>1059</v>
      </c>
    </row>
    <row r="643" spans="13:14" x14ac:dyDescent="0.3">
      <c r="M643" s="3" t="s">
        <v>1054</v>
      </c>
      <c r="N643" s="3" t="s">
        <v>1062</v>
      </c>
    </row>
    <row r="644" spans="13:14" x14ac:dyDescent="0.3">
      <c r="M644" s="3" t="s">
        <v>1056</v>
      </c>
      <c r="N644" s="3" t="s">
        <v>1065</v>
      </c>
    </row>
    <row r="645" spans="13:14" x14ac:dyDescent="0.3">
      <c r="M645" s="3" t="s">
        <v>1057</v>
      </c>
      <c r="N645" s="3" t="s">
        <v>1067</v>
      </c>
    </row>
    <row r="646" spans="13:14" x14ac:dyDescent="0.3">
      <c r="M646" s="3" t="s">
        <v>1059</v>
      </c>
      <c r="N646" s="3" t="s">
        <v>1069</v>
      </c>
    </row>
    <row r="647" spans="13:14" x14ac:dyDescent="0.3">
      <c r="M647" s="3" t="s">
        <v>1062</v>
      </c>
      <c r="N647" s="3" t="s">
        <v>1071</v>
      </c>
    </row>
    <row r="648" spans="13:14" x14ac:dyDescent="0.3">
      <c r="M648" s="3" t="s">
        <v>1065</v>
      </c>
      <c r="N648" s="3" t="s">
        <v>1073</v>
      </c>
    </row>
    <row r="649" spans="13:14" x14ac:dyDescent="0.3">
      <c r="M649" s="3" t="s">
        <v>1067</v>
      </c>
      <c r="N649" s="3" t="s">
        <v>1075</v>
      </c>
    </row>
    <row r="650" spans="13:14" x14ac:dyDescent="0.3">
      <c r="M650" s="3" t="s">
        <v>1069</v>
      </c>
      <c r="N650" s="3" t="s">
        <v>1077</v>
      </c>
    </row>
    <row r="651" spans="13:14" x14ac:dyDescent="0.3">
      <c r="M651" s="3" t="s">
        <v>1071</v>
      </c>
      <c r="N651" s="3" t="s">
        <v>1079</v>
      </c>
    </row>
    <row r="652" spans="13:14" x14ac:dyDescent="0.3">
      <c r="M652" s="3" t="s">
        <v>1073</v>
      </c>
      <c r="N652" s="3" t="s">
        <v>1081</v>
      </c>
    </row>
    <row r="653" spans="13:14" x14ac:dyDescent="0.3">
      <c r="M653" s="3" t="s">
        <v>1075</v>
      </c>
      <c r="N653" s="3" t="s">
        <v>1082</v>
      </c>
    </row>
    <row r="654" spans="13:14" x14ac:dyDescent="0.3">
      <c r="M654" s="3" t="s">
        <v>1077</v>
      </c>
      <c r="N654" s="3" t="s">
        <v>1084</v>
      </c>
    </row>
    <row r="655" spans="13:14" x14ac:dyDescent="0.3">
      <c r="M655" s="3" t="s">
        <v>1079</v>
      </c>
      <c r="N655" s="3" t="s">
        <v>1085</v>
      </c>
    </row>
    <row r="656" spans="13:14" x14ac:dyDescent="0.3">
      <c r="M656" s="3" t="s">
        <v>1081</v>
      </c>
      <c r="N656" s="3" t="s">
        <v>1086</v>
      </c>
    </row>
    <row r="657" spans="13:14" x14ac:dyDescent="0.3">
      <c r="M657" s="3" t="s">
        <v>1082</v>
      </c>
      <c r="N657" s="3" t="s">
        <v>1088</v>
      </c>
    </row>
    <row r="658" spans="13:14" x14ac:dyDescent="0.3">
      <c r="M658" s="3" t="s">
        <v>1084</v>
      </c>
      <c r="N658" s="3" t="s">
        <v>1090</v>
      </c>
    </row>
    <row r="659" spans="13:14" x14ac:dyDescent="0.3">
      <c r="M659" s="3" t="s">
        <v>1085</v>
      </c>
      <c r="N659" s="3" t="s">
        <v>1091</v>
      </c>
    </row>
    <row r="660" spans="13:14" x14ac:dyDescent="0.3">
      <c r="M660" s="3" t="s">
        <v>1086</v>
      </c>
      <c r="N660" s="3" t="s">
        <v>1092</v>
      </c>
    </row>
    <row r="661" spans="13:14" x14ac:dyDescent="0.3">
      <c r="M661" s="3" t="s">
        <v>1088</v>
      </c>
      <c r="N661" s="3" t="s">
        <v>1094</v>
      </c>
    </row>
    <row r="662" spans="13:14" x14ac:dyDescent="0.3">
      <c r="M662" s="3" t="s">
        <v>1090</v>
      </c>
      <c r="N662" s="3" t="s">
        <v>1095</v>
      </c>
    </row>
    <row r="663" spans="13:14" x14ac:dyDescent="0.3">
      <c r="M663" s="3" t="s">
        <v>1091</v>
      </c>
      <c r="N663" s="3" t="s">
        <v>1096</v>
      </c>
    </row>
    <row r="664" spans="13:14" x14ac:dyDescent="0.3">
      <c r="M664" s="3" t="s">
        <v>1092</v>
      </c>
      <c r="N664" s="3" t="s">
        <v>1098</v>
      </c>
    </row>
    <row r="665" spans="13:14" x14ac:dyDescent="0.3">
      <c r="M665" s="3" t="s">
        <v>1094</v>
      </c>
      <c r="N665" s="3" t="s">
        <v>1100</v>
      </c>
    </row>
    <row r="666" spans="13:14" x14ac:dyDescent="0.3">
      <c r="M666" s="3" t="s">
        <v>1095</v>
      </c>
      <c r="N666" s="3" t="s">
        <v>1101</v>
      </c>
    </row>
    <row r="667" spans="13:14" x14ac:dyDescent="0.3">
      <c r="M667" s="3" t="s">
        <v>1096</v>
      </c>
      <c r="N667" s="3" t="s">
        <v>1102</v>
      </c>
    </row>
    <row r="668" spans="13:14" x14ac:dyDescent="0.3">
      <c r="M668" s="3" t="s">
        <v>1098</v>
      </c>
      <c r="N668" s="3" t="s">
        <v>1103</v>
      </c>
    </row>
    <row r="669" spans="13:14" x14ac:dyDescent="0.3">
      <c r="M669" s="3" t="s">
        <v>1100</v>
      </c>
      <c r="N669" s="3" t="s">
        <v>1104</v>
      </c>
    </row>
    <row r="670" spans="13:14" x14ac:dyDescent="0.3">
      <c r="M670" s="3" t="s">
        <v>1101</v>
      </c>
      <c r="N670" s="3" t="s">
        <v>1106</v>
      </c>
    </row>
    <row r="671" spans="13:14" x14ac:dyDescent="0.3">
      <c r="M671" s="3" t="s">
        <v>1102</v>
      </c>
      <c r="N671" s="3" t="s">
        <v>1107</v>
      </c>
    </row>
    <row r="672" spans="13:14" x14ac:dyDescent="0.3">
      <c r="M672" s="3" t="s">
        <v>1103</v>
      </c>
      <c r="N672" s="3" t="s">
        <v>1108</v>
      </c>
    </row>
    <row r="673" spans="13:14" x14ac:dyDescent="0.3">
      <c r="M673" s="3" t="s">
        <v>1104</v>
      </c>
      <c r="N673" s="3" t="s">
        <v>1109</v>
      </c>
    </row>
    <row r="674" spans="13:14" x14ac:dyDescent="0.3">
      <c r="M674" s="3" t="s">
        <v>1106</v>
      </c>
      <c r="N674" s="3" t="s">
        <v>1110</v>
      </c>
    </row>
    <row r="675" spans="13:14" x14ac:dyDescent="0.3">
      <c r="M675" s="3" t="s">
        <v>1107</v>
      </c>
      <c r="N675" s="3" t="s">
        <v>1112</v>
      </c>
    </row>
    <row r="676" spans="13:14" x14ac:dyDescent="0.3">
      <c r="M676" s="3" t="s">
        <v>1108</v>
      </c>
      <c r="N676" s="3" t="s">
        <v>1114</v>
      </c>
    </row>
    <row r="677" spans="13:14" x14ac:dyDescent="0.3">
      <c r="M677" s="3" t="s">
        <v>1109</v>
      </c>
      <c r="N677" s="3" t="s">
        <v>1116</v>
      </c>
    </row>
    <row r="678" spans="13:14" x14ac:dyDescent="0.3">
      <c r="M678" s="3" t="s">
        <v>1110</v>
      </c>
      <c r="N678" s="3" t="s">
        <v>1117</v>
      </c>
    </row>
    <row r="679" spans="13:14" x14ac:dyDescent="0.3">
      <c r="M679" s="3" t="s">
        <v>1112</v>
      </c>
      <c r="N679" s="3" t="s">
        <v>1119</v>
      </c>
    </row>
    <row r="680" spans="13:14" x14ac:dyDescent="0.3">
      <c r="M680" s="3" t="s">
        <v>1114</v>
      </c>
      <c r="N680" s="3" t="s">
        <v>1122</v>
      </c>
    </row>
    <row r="681" spans="13:14" x14ac:dyDescent="0.3">
      <c r="M681" s="3" t="s">
        <v>1116</v>
      </c>
      <c r="N681" s="3" t="s">
        <v>1124</v>
      </c>
    </row>
    <row r="682" spans="13:14" x14ac:dyDescent="0.3">
      <c r="M682" s="3" t="s">
        <v>1117</v>
      </c>
      <c r="N682" s="3" t="s">
        <v>1126</v>
      </c>
    </row>
    <row r="683" spans="13:14" x14ac:dyDescent="0.3">
      <c r="M683" s="3" t="s">
        <v>1119</v>
      </c>
      <c r="N683" s="3" t="s">
        <v>1127</v>
      </c>
    </row>
    <row r="684" spans="13:14" x14ac:dyDescent="0.3">
      <c r="M684" s="3" t="s">
        <v>1122</v>
      </c>
      <c r="N684" s="3" t="s">
        <v>1128</v>
      </c>
    </row>
    <row r="685" spans="13:14" x14ac:dyDescent="0.3">
      <c r="M685" s="3" t="s">
        <v>1124</v>
      </c>
      <c r="N685" s="3" t="s">
        <v>1129</v>
      </c>
    </row>
    <row r="686" spans="13:14" x14ac:dyDescent="0.3">
      <c r="M686" s="3" t="s">
        <v>1126</v>
      </c>
      <c r="N686" s="3" t="s">
        <v>1131</v>
      </c>
    </row>
    <row r="687" spans="13:14" x14ac:dyDescent="0.3">
      <c r="M687" s="3" t="s">
        <v>1127</v>
      </c>
      <c r="N687" s="3" t="s">
        <v>1132</v>
      </c>
    </row>
    <row r="688" spans="13:14" x14ac:dyDescent="0.3">
      <c r="M688" s="3" t="s">
        <v>1128</v>
      </c>
      <c r="N688" s="3" t="s">
        <v>1500</v>
      </c>
    </row>
    <row r="689" spans="13:14" x14ac:dyDescent="0.3">
      <c r="M689" s="3" t="s">
        <v>1129</v>
      </c>
      <c r="N689" s="3" t="s">
        <v>1133</v>
      </c>
    </row>
    <row r="690" spans="13:14" x14ac:dyDescent="0.3">
      <c r="M690" s="3" t="s">
        <v>1131</v>
      </c>
      <c r="N690" s="3" t="s">
        <v>1136</v>
      </c>
    </row>
    <row r="691" spans="13:14" x14ac:dyDescent="0.3">
      <c r="M691" s="3" t="s">
        <v>1132</v>
      </c>
      <c r="N691" s="3" t="s">
        <v>1139</v>
      </c>
    </row>
    <row r="692" spans="13:14" x14ac:dyDescent="0.3">
      <c r="M692" s="3" t="s">
        <v>1500</v>
      </c>
      <c r="N692" s="3" t="s">
        <v>1141</v>
      </c>
    </row>
    <row r="693" spans="13:14" x14ac:dyDescent="0.3">
      <c r="M693" s="3" t="s">
        <v>1133</v>
      </c>
      <c r="N693" s="3" t="s">
        <v>1142</v>
      </c>
    </row>
    <row r="694" spans="13:14" x14ac:dyDescent="0.3">
      <c r="M694" s="3" t="s">
        <v>1136</v>
      </c>
      <c r="N694" s="3" t="s">
        <v>1143</v>
      </c>
    </row>
    <row r="695" spans="13:14" x14ac:dyDescent="0.3">
      <c r="M695" s="3" t="s">
        <v>1139</v>
      </c>
      <c r="N695" s="3" t="s">
        <v>1145</v>
      </c>
    </row>
    <row r="696" spans="13:14" x14ac:dyDescent="0.3">
      <c r="M696" s="3" t="s">
        <v>1141</v>
      </c>
      <c r="N696" s="3" t="s">
        <v>1146</v>
      </c>
    </row>
    <row r="697" spans="13:14" x14ac:dyDescent="0.3">
      <c r="M697" s="3" t="s">
        <v>1142</v>
      </c>
      <c r="N697" s="3" t="s">
        <v>1148</v>
      </c>
    </row>
    <row r="698" spans="13:14" x14ac:dyDescent="0.3">
      <c r="M698" s="3" t="s">
        <v>1143</v>
      </c>
      <c r="N698" s="3" t="s">
        <v>1150</v>
      </c>
    </row>
    <row r="699" spans="13:14" x14ac:dyDescent="0.3">
      <c r="M699" s="3" t="s">
        <v>1145</v>
      </c>
      <c r="N699" s="3" t="s">
        <v>1151</v>
      </c>
    </row>
    <row r="700" spans="13:14" x14ac:dyDescent="0.3">
      <c r="M700" s="3" t="s">
        <v>1146</v>
      </c>
      <c r="N700" s="3" t="s">
        <v>1152</v>
      </c>
    </row>
    <row r="701" spans="13:14" x14ac:dyDescent="0.3">
      <c r="M701" s="3" t="s">
        <v>1148</v>
      </c>
      <c r="N701" s="3" t="s">
        <v>1153</v>
      </c>
    </row>
    <row r="702" spans="13:14" x14ac:dyDescent="0.3">
      <c r="M702" s="3" t="s">
        <v>1150</v>
      </c>
      <c r="N702" s="3" t="s">
        <v>1154</v>
      </c>
    </row>
    <row r="703" spans="13:14" x14ac:dyDescent="0.3">
      <c r="M703" s="3" t="s">
        <v>1151</v>
      </c>
      <c r="N703" s="3" t="s">
        <v>1155</v>
      </c>
    </row>
    <row r="704" spans="13:14" x14ac:dyDescent="0.3">
      <c r="M704" s="3" t="s">
        <v>1152</v>
      </c>
      <c r="N704" s="3" t="s">
        <v>1156</v>
      </c>
    </row>
    <row r="705" spans="13:14" x14ac:dyDescent="0.3">
      <c r="M705" s="3" t="s">
        <v>1153</v>
      </c>
      <c r="N705" s="3" t="s">
        <v>1157</v>
      </c>
    </row>
    <row r="706" spans="13:14" x14ac:dyDescent="0.3">
      <c r="M706" s="3" t="s">
        <v>1154</v>
      </c>
      <c r="N706" s="3" t="s">
        <v>1159</v>
      </c>
    </row>
    <row r="707" spans="13:14" x14ac:dyDescent="0.3">
      <c r="M707" s="3" t="s">
        <v>1155</v>
      </c>
      <c r="N707" s="3" t="s">
        <v>1160</v>
      </c>
    </row>
    <row r="708" spans="13:14" x14ac:dyDescent="0.3">
      <c r="M708" s="3" t="s">
        <v>1156</v>
      </c>
      <c r="N708" s="3" t="s">
        <v>1161</v>
      </c>
    </row>
    <row r="709" spans="13:14" x14ac:dyDescent="0.3">
      <c r="M709" s="3" t="s">
        <v>1157</v>
      </c>
      <c r="N709" s="3" t="s">
        <v>1163</v>
      </c>
    </row>
    <row r="710" spans="13:14" x14ac:dyDescent="0.3">
      <c r="M710" s="3" t="s">
        <v>1159</v>
      </c>
      <c r="N710" s="3" t="s">
        <v>1164</v>
      </c>
    </row>
    <row r="711" spans="13:14" x14ac:dyDescent="0.3">
      <c r="M711" s="3" t="s">
        <v>1160</v>
      </c>
      <c r="N711" s="3" t="s">
        <v>1165</v>
      </c>
    </row>
    <row r="712" spans="13:14" x14ac:dyDescent="0.3">
      <c r="M712" s="3" t="s">
        <v>1161</v>
      </c>
      <c r="N712" s="3" t="s">
        <v>1166</v>
      </c>
    </row>
    <row r="713" spans="13:14" x14ac:dyDescent="0.3">
      <c r="M713" s="3" t="s">
        <v>1163</v>
      </c>
      <c r="N713" s="3" t="s">
        <v>1167</v>
      </c>
    </row>
    <row r="714" spans="13:14" x14ac:dyDescent="0.3">
      <c r="M714" s="3" t="s">
        <v>1164</v>
      </c>
      <c r="N714" s="3" t="s">
        <v>1169</v>
      </c>
    </row>
    <row r="715" spans="13:14" x14ac:dyDescent="0.3">
      <c r="M715" s="3" t="s">
        <v>1165</v>
      </c>
      <c r="N715" s="3" t="s">
        <v>1172</v>
      </c>
    </row>
    <row r="716" spans="13:14" x14ac:dyDescent="0.3">
      <c r="M716" s="3" t="s">
        <v>1166</v>
      </c>
      <c r="N716" s="3" t="s">
        <v>1174</v>
      </c>
    </row>
    <row r="717" spans="13:14" x14ac:dyDescent="0.3">
      <c r="M717" s="3" t="s">
        <v>1167</v>
      </c>
      <c r="N717" s="3" t="s">
        <v>1176</v>
      </c>
    </row>
    <row r="718" spans="13:14" x14ac:dyDescent="0.3">
      <c r="M718" s="3" t="s">
        <v>1169</v>
      </c>
      <c r="N718" s="3" t="s">
        <v>1178</v>
      </c>
    </row>
    <row r="719" spans="13:14" x14ac:dyDescent="0.3">
      <c r="M719" s="3" t="s">
        <v>1172</v>
      </c>
      <c r="N719" s="3" t="s">
        <v>1180</v>
      </c>
    </row>
    <row r="720" spans="13:14" x14ac:dyDescent="0.3">
      <c r="M720" s="3" t="s">
        <v>1174</v>
      </c>
      <c r="N720" s="3" t="s">
        <v>1182</v>
      </c>
    </row>
    <row r="721" spans="13:14" x14ac:dyDescent="0.3">
      <c r="M721" s="3" t="s">
        <v>1176</v>
      </c>
      <c r="N721" s="3" t="s">
        <v>1184</v>
      </c>
    </row>
    <row r="722" spans="13:14" x14ac:dyDescent="0.3">
      <c r="M722" s="3" t="s">
        <v>1178</v>
      </c>
      <c r="N722" s="3" t="s">
        <v>1186</v>
      </c>
    </row>
    <row r="723" spans="13:14" x14ac:dyDescent="0.3">
      <c r="M723" s="3" t="s">
        <v>1180</v>
      </c>
      <c r="N723" s="3" t="s">
        <v>1188</v>
      </c>
    </row>
    <row r="724" spans="13:14" x14ac:dyDescent="0.3">
      <c r="M724" s="3" t="s">
        <v>1182</v>
      </c>
      <c r="N724" s="3" t="s">
        <v>1189</v>
      </c>
    </row>
    <row r="725" spans="13:14" x14ac:dyDescent="0.3">
      <c r="M725" s="3" t="s">
        <v>1184</v>
      </c>
      <c r="N725" s="3" t="s">
        <v>1191</v>
      </c>
    </row>
    <row r="726" spans="13:14" x14ac:dyDescent="0.3">
      <c r="M726" s="3" t="s">
        <v>1186</v>
      </c>
      <c r="N726" s="3" t="s">
        <v>1193</v>
      </c>
    </row>
    <row r="727" spans="13:14" x14ac:dyDescent="0.3">
      <c r="M727" s="3" t="s">
        <v>1188</v>
      </c>
      <c r="N727" s="3" t="s">
        <v>1195</v>
      </c>
    </row>
    <row r="728" spans="13:14" x14ac:dyDescent="0.3">
      <c r="M728" s="3" t="s">
        <v>1189</v>
      </c>
      <c r="N728" s="3" t="s">
        <v>1197</v>
      </c>
    </row>
    <row r="729" spans="13:14" x14ac:dyDescent="0.3">
      <c r="M729" s="3" t="s">
        <v>1191</v>
      </c>
      <c r="N729" s="3" t="s">
        <v>1199</v>
      </c>
    </row>
    <row r="730" spans="13:14" x14ac:dyDescent="0.3">
      <c r="M730" s="3" t="s">
        <v>1193</v>
      </c>
      <c r="N730" s="3" t="s">
        <v>1201</v>
      </c>
    </row>
    <row r="731" spans="13:14" x14ac:dyDescent="0.3">
      <c r="M731" s="3" t="s">
        <v>1195</v>
      </c>
      <c r="N731" s="3" t="s">
        <v>1203</v>
      </c>
    </row>
    <row r="732" spans="13:14" x14ac:dyDescent="0.3">
      <c r="M732" s="3" t="s">
        <v>1197</v>
      </c>
      <c r="N732" s="3" t="s">
        <v>1206</v>
      </c>
    </row>
    <row r="733" spans="13:14" x14ac:dyDescent="0.3">
      <c r="M733" s="3" t="s">
        <v>1199</v>
      </c>
      <c r="N733" s="3" t="s">
        <v>1207</v>
      </c>
    </row>
    <row r="734" spans="13:14" x14ac:dyDescent="0.3">
      <c r="M734" s="3" t="s">
        <v>1201</v>
      </c>
      <c r="N734" s="3" t="s">
        <v>1208</v>
      </c>
    </row>
    <row r="735" spans="13:14" x14ac:dyDescent="0.3">
      <c r="M735" s="3" t="s">
        <v>1203</v>
      </c>
      <c r="N735" s="3" t="s">
        <v>1209</v>
      </c>
    </row>
    <row r="736" spans="13:14" x14ac:dyDescent="0.3">
      <c r="M736" s="3" t="s">
        <v>1206</v>
      </c>
      <c r="N736" s="3" t="s">
        <v>1211</v>
      </c>
    </row>
    <row r="737" spans="13:14" x14ac:dyDescent="0.3">
      <c r="M737" s="3" t="s">
        <v>1207</v>
      </c>
      <c r="N737" s="3" t="s">
        <v>1212</v>
      </c>
    </row>
    <row r="738" spans="13:14" x14ac:dyDescent="0.3">
      <c r="M738" s="3" t="s">
        <v>1208</v>
      </c>
      <c r="N738" s="3" t="s">
        <v>1213</v>
      </c>
    </row>
    <row r="739" spans="13:14" x14ac:dyDescent="0.3">
      <c r="M739" s="3" t="s">
        <v>1209</v>
      </c>
      <c r="N739" s="3" t="s">
        <v>1215</v>
      </c>
    </row>
    <row r="740" spans="13:14" x14ac:dyDescent="0.3">
      <c r="M740" s="3" t="s">
        <v>1211</v>
      </c>
      <c r="N740" s="3" t="s">
        <v>1217</v>
      </c>
    </row>
    <row r="741" spans="13:14" x14ac:dyDescent="0.3">
      <c r="M741" s="3" t="s">
        <v>1212</v>
      </c>
      <c r="N741" s="3" t="s">
        <v>1219</v>
      </c>
    </row>
    <row r="742" spans="13:14" x14ac:dyDescent="0.3">
      <c r="M742" s="3" t="s">
        <v>1213</v>
      </c>
      <c r="N742" s="3" t="s">
        <v>1220</v>
      </c>
    </row>
    <row r="743" spans="13:14" x14ac:dyDescent="0.3">
      <c r="M743" s="3" t="s">
        <v>1215</v>
      </c>
      <c r="N743" s="3" t="s">
        <v>1221</v>
      </c>
    </row>
    <row r="744" spans="13:14" x14ac:dyDescent="0.3">
      <c r="M744" s="3" t="s">
        <v>1217</v>
      </c>
      <c r="N744" s="3" t="s">
        <v>1223</v>
      </c>
    </row>
    <row r="745" spans="13:14" x14ac:dyDescent="0.3">
      <c r="M745" s="3" t="s">
        <v>1219</v>
      </c>
      <c r="N745" s="3" t="s">
        <v>1493</v>
      </c>
    </row>
    <row r="746" spans="13:14" x14ac:dyDescent="0.3">
      <c r="M746" s="3" t="s">
        <v>1220</v>
      </c>
      <c r="N746" s="3" t="s">
        <v>1225</v>
      </c>
    </row>
    <row r="747" spans="13:14" x14ac:dyDescent="0.3">
      <c r="M747" s="3" t="s">
        <v>1221</v>
      </c>
      <c r="N747" s="3" t="s">
        <v>1227</v>
      </c>
    </row>
    <row r="748" spans="13:14" x14ac:dyDescent="0.3">
      <c r="M748" s="3" t="s">
        <v>1223</v>
      </c>
      <c r="N748" s="3" t="s">
        <v>1228</v>
      </c>
    </row>
    <row r="749" spans="13:14" x14ac:dyDescent="0.3">
      <c r="M749" s="3" t="s">
        <v>1493</v>
      </c>
      <c r="N749" s="3" t="s">
        <v>1230</v>
      </c>
    </row>
    <row r="750" spans="13:14" x14ac:dyDescent="0.3">
      <c r="M750" s="3" t="s">
        <v>1225</v>
      </c>
      <c r="N750" s="3" t="s">
        <v>1231</v>
      </c>
    </row>
    <row r="751" spans="13:14" x14ac:dyDescent="0.3">
      <c r="M751" s="3" t="s">
        <v>1227</v>
      </c>
      <c r="N751" s="3" t="s">
        <v>1233</v>
      </c>
    </row>
    <row r="752" spans="13:14" x14ac:dyDescent="0.3">
      <c r="M752" s="3" t="s">
        <v>1228</v>
      </c>
      <c r="N752" s="3" t="s">
        <v>1234</v>
      </c>
    </row>
    <row r="753" spans="13:14" x14ac:dyDescent="0.3">
      <c r="M753" s="3" t="s">
        <v>1230</v>
      </c>
      <c r="N753" s="3" t="s">
        <v>1236</v>
      </c>
    </row>
    <row r="754" spans="13:14" x14ac:dyDescent="0.3">
      <c r="M754" s="3" t="s">
        <v>1231</v>
      </c>
      <c r="N754" s="3" t="s">
        <v>1238</v>
      </c>
    </row>
    <row r="755" spans="13:14" x14ac:dyDescent="0.3">
      <c r="M755" s="3" t="s">
        <v>1233</v>
      </c>
      <c r="N755" s="3" t="s">
        <v>1239</v>
      </c>
    </row>
    <row r="756" spans="13:14" x14ac:dyDescent="0.3">
      <c r="M756" s="3" t="s">
        <v>1234</v>
      </c>
      <c r="N756" s="3" t="s">
        <v>1240</v>
      </c>
    </row>
    <row r="757" spans="13:14" x14ac:dyDescent="0.3">
      <c r="M757" s="3" t="s">
        <v>1236</v>
      </c>
      <c r="N757" s="3" t="s">
        <v>1241</v>
      </c>
    </row>
    <row r="758" spans="13:14" x14ac:dyDescent="0.3">
      <c r="M758" s="3" t="s">
        <v>1238</v>
      </c>
      <c r="N758" s="3" t="s">
        <v>1243</v>
      </c>
    </row>
    <row r="759" spans="13:14" x14ac:dyDescent="0.3">
      <c r="M759" s="3" t="s">
        <v>1239</v>
      </c>
      <c r="N759" s="3" t="s">
        <v>1244</v>
      </c>
    </row>
    <row r="760" spans="13:14" x14ac:dyDescent="0.3">
      <c r="M760" s="3" t="s">
        <v>1240</v>
      </c>
      <c r="N760" s="3" t="s">
        <v>1246</v>
      </c>
    </row>
    <row r="761" spans="13:14" x14ac:dyDescent="0.3">
      <c r="M761" s="3" t="s">
        <v>1241</v>
      </c>
      <c r="N761" s="3" t="s">
        <v>1248</v>
      </c>
    </row>
    <row r="762" spans="13:14" x14ac:dyDescent="0.3">
      <c r="M762" s="3" t="s">
        <v>1243</v>
      </c>
      <c r="N762" s="3" t="s">
        <v>1249</v>
      </c>
    </row>
    <row r="763" spans="13:14" x14ac:dyDescent="0.3">
      <c r="M763" s="3" t="s">
        <v>1244</v>
      </c>
      <c r="N763" s="3" t="s">
        <v>1251</v>
      </c>
    </row>
    <row r="764" spans="13:14" x14ac:dyDescent="0.3">
      <c r="M764" s="3" t="s">
        <v>1246</v>
      </c>
      <c r="N764" s="3" t="s">
        <v>1253</v>
      </c>
    </row>
    <row r="765" spans="13:14" x14ac:dyDescent="0.3">
      <c r="M765" s="3" t="s">
        <v>1248</v>
      </c>
      <c r="N765" s="3" t="s">
        <v>1254</v>
      </c>
    </row>
    <row r="766" spans="13:14" x14ac:dyDescent="0.3">
      <c r="M766" s="3" t="s">
        <v>1249</v>
      </c>
      <c r="N766" s="3" t="s">
        <v>1256</v>
      </c>
    </row>
    <row r="767" spans="13:14" x14ac:dyDescent="0.3">
      <c r="M767" s="3" t="s">
        <v>1251</v>
      </c>
      <c r="N767" s="3" t="s">
        <v>1258</v>
      </c>
    </row>
    <row r="768" spans="13:14" x14ac:dyDescent="0.3">
      <c r="M768" s="3" t="s">
        <v>1253</v>
      </c>
      <c r="N768" s="3" t="s">
        <v>1261</v>
      </c>
    </row>
    <row r="769" spans="13:14" x14ac:dyDescent="0.3">
      <c r="M769" s="3" t="s">
        <v>1254</v>
      </c>
      <c r="N769" s="3" t="s">
        <v>1265</v>
      </c>
    </row>
    <row r="770" spans="13:14" x14ac:dyDescent="0.3">
      <c r="M770" s="3" t="s">
        <v>1256</v>
      </c>
      <c r="N770" s="3" t="s">
        <v>1268</v>
      </c>
    </row>
    <row r="771" spans="13:14" x14ac:dyDescent="0.3">
      <c r="M771" s="3" t="s">
        <v>1258</v>
      </c>
      <c r="N771" s="3" t="s">
        <v>1271</v>
      </c>
    </row>
    <row r="772" spans="13:14" x14ac:dyDescent="0.3">
      <c r="M772" s="3" t="s">
        <v>1261</v>
      </c>
      <c r="N772" s="3" t="s">
        <v>1273</v>
      </c>
    </row>
    <row r="773" spans="13:14" x14ac:dyDescent="0.3">
      <c r="M773" s="3" t="s">
        <v>1265</v>
      </c>
      <c r="N773" s="3" t="s">
        <v>1275</v>
      </c>
    </row>
    <row r="774" spans="13:14" x14ac:dyDescent="0.3">
      <c r="M774" s="3" t="s">
        <v>1268</v>
      </c>
      <c r="N774" s="3" t="s">
        <v>1278</v>
      </c>
    </row>
    <row r="775" spans="13:14" x14ac:dyDescent="0.3">
      <c r="M775" s="3" t="s">
        <v>1271</v>
      </c>
      <c r="N775" s="3" t="s">
        <v>1280</v>
      </c>
    </row>
    <row r="776" spans="13:14" x14ac:dyDescent="0.3">
      <c r="M776" s="3" t="s">
        <v>1273</v>
      </c>
      <c r="N776" s="3" t="s">
        <v>1282</v>
      </c>
    </row>
    <row r="777" spans="13:14" x14ac:dyDescent="0.3">
      <c r="M777" s="3" t="s">
        <v>1275</v>
      </c>
      <c r="N777" s="3" t="s">
        <v>1284</v>
      </c>
    </row>
    <row r="778" spans="13:14" x14ac:dyDescent="0.3">
      <c r="M778" s="3" t="s">
        <v>1278</v>
      </c>
      <c r="N778" s="3" t="s">
        <v>1286</v>
      </c>
    </row>
    <row r="779" spans="13:14" x14ac:dyDescent="0.3">
      <c r="M779" s="3" t="s">
        <v>1280</v>
      </c>
      <c r="N779" s="3" t="s">
        <v>1288</v>
      </c>
    </row>
    <row r="780" spans="13:14" x14ac:dyDescent="0.3">
      <c r="M780" s="3" t="s">
        <v>1282</v>
      </c>
      <c r="N780" s="3" t="s">
        <v>1289</v>
      </c>
    </row>
    <row r="781" spans="13:14" x14ac:dyDescent="0.3">
      <c r="M781" s="3" t="s">
        <v>1284</v>
      </c>
      <c r="N781" s="3" t="s">
        <v>1292</v>
      </c>
    </row>
    <row r="782" spans="13:14" x14ac:dyDescent="0.3">
      <c r="M782" s="3" t="s">
        <v>1286</v>
      </c>
      <c r="N782" s="3" t="s">
        <v>1293</v>
      </c>
    </row>
    <row r="783" spans="13:14" x14ac:dyDescent="0.3">
      <c r="M783" s="3" t="s">
        <v>1288</v>
      </c>
      <c r="N783" s="3" t="s">
        <v>1294</v>
      </c>
    </row>
    <row r="784" spans="13:14" x14ac:dyDescent="0.3">
      <c r="M784" s="3" t="s">
        <v>1289</v>
      </c>
      <c r="N784" s="3" t="s">
        <v>1296</v>
      </c>
    </row>
    <row r="785" spans="13:14" x14ac:dyDescent="0.3">
      <c r="M785" s="3" t="s">
        <v>1292</v>
      </c>
      <c r="N785" s="3" t="s">
        <v>1299</v>
      </c>
    </row>
    <row r="786" spans="13:14" x14ac:dyDescent="0.3">
      <c r="M786" s="3" t="s">
        <v>1293</v>
      </c>
      <c r="N786" s="3" t="s">
        <v>1301</v>
      </c>
    </row>
    <row r="787" spans="13:14" x14ac:dyDescent="0.3">
      <c r="M787" s="3" t="s">
        <v>1294</v>
      </c>
      <c r="N787" s="3" t="s">
        <v>1303</v>
      </c>
    </row>
    <row r="788" spans="13:14" x14ac:dyDescent="0.3">
      <c r="M788" s="3" t="s">
        <v>1296</v>
      </c>
      <c r="N788" s="3" t="s">
        <v>1305</v>
      </c>
    </row>
    <row r="789" spans="13:14" x14ac:dyDescent="0.3">
      <c r="M789" s="3" t="s">
        <v>1299</v>
      </c>
      <c r="N789" s="3" t="s">
        <v>1307</v>
      </c>
    </row>
    <row r="790" spans="13:14" x14ac:dyDescent="0.3">
      <c r="M790" s="3" t="s">
        <v>1301</v>
      </c>
      <c r="N790" s="3" t="s">
        <v>1308</v>
      </c>
    </row>
    <row r="791" spans="13:14" x14ac:dyDescent="0.3">
      <c r="M791" s="3" t="s">
        <v>1303</v>
      </c>
      <c r="N791" s="3" t="s">
        <v>1310</v>
      </c>
    </row>
    <row r="792" spans="13:14" x14ac:dyDescent="0.3">
      <c r="M792" s="3" t="s">
        <v>1305</v>
      </c>
      <c r="N792" s="3" t="s">
        <v>1312</v>
      </c>
    </row>
    <row r="793" spans="13:14" x14ac:dyDescent="0.3">
      <c r="M793" s="3" t="s">
        <v>1307</v>
      </c>
      <c r="N793" s="3" t="s">
        <v>1313</v>
      </c>
    </row>
    <row r="794" spans="13:14" x14ac:dyDescent="0.3">
      <c r="M794" s="3" t="s">
        <v>1308</v>
      </c>
      <c r="N794" s="3" t="s">
        <v>1314</v>
      </c>
    </row>
    <row r="795" spans="13:14" x14ac:dyDescent="0.3">
      <c r="M795" s="3" t="s">
        <v>1310</v>
      </c>
      <c r="N795" s="3" t="s">
        <v>484</v>
      </c>
    </row>
    <row r="796" spans="13:14" x14ac:dyDescent="0.3">
      <c r="M796" s="3" t="s">
        <v>1312</v>
      </c>
      <c r="N796" s="3" t="s">
        <v>1490</v>
      </c>
    </row>
    <row r="797" spans="13:14" x14ac:dyDescent="0.3">
      <c r="M797" s="3" t="s">
        <v>1313</v>
      </c>
      <c r="N797" s="3" t="s">
        <v>1316</v>
      </c>
    </row>
    <row r="798" spans="13:14" x14ac:dyDescent="0.3">
      <c r="M798" s="3" t="s">
        <v>1314</v>
      </c>
      <c r="N798" s="3" t="s">
        <v>1317</v>
      </c>
    </row>
    <row r="799" spans="13:14" x14ac:dyDescent="0.3">
      <c r="M799" s="3" t="s">
        <v>484</v>
      </c>
      <c r="N799" s="3" t="s">
        <v>1318</v>
      </c>
    </row>
    <row r="800" spans="13:14" x14ac:dyDescent="0.3">
      <c r="M800" s="3" t="s">
        <v>1490</v>
      </c>
      <c r="N800" s="3" t="s">
        <v>1320</v>
      </c>
    </row>
    <row r="801" spans="13:14" x14ac:dyDescent="0.3">
      <c r="M801" s="3" t="s">
        <v>1316</v>
      </c>
      <c r="N801" s="3" t="s">
        <v>1323</v>
      </c>
    </row>
    <row r="802" spans="13:14" x14ac:dyDescent="0.3">
      <c r="M802" s="3" t="s">
        <v>1317</v>
      </c>
      <c r="N802" s="3" t="s">
        <v>1324</v>
      </c>
    </row>
    <row r="803" spans="13:14" x14ac:dyDescent="0.3">
      <c r="M803" s="3" t="s">
        <v>1318</v>
      </c>
      <c r="N803" s="3" t="s">
        <v>1325</v>
      </c>
    </row>
    <row r="804" spans="13:14" x14ac:dyDescent="0.3">
      <c r="M804" s="3" t="s">
        <v>1320</v>
      </c>
      <c r="N804" s="3" t="s">
        <v>1326</v>
      </c>
    </row>
    <row r="805" spans="13:14" x14ac:dyDescent="0.3">
      <c r="M805" s="3" t="s">
        <v>1323</v>
      </c>
      <c r="N805" s="3" t="s">
        <v>1329</v>
      </c>
    </row>
    <row r="806" spans="13:14" x14ac:dyDescent="0.3">
      <c r="M806" s="3" t="s">
        <v>1324</v>
      </c>
      <c r="N806" s="3" t="s">
        <v>1331</v>
      </c>
    </row>
    <row r="807" spans="13:14" x14ac:dyDescent="0.3">
      <c r="M807" s="3" t="s">
        <v>1325</v>
      </c>
      <c r="N807" s="3" t="s">
        <v>1333</v>
      </c>
    </row>
    <row r="808" spans="13:14" x14ac:dyDescent="0.3">
      <c r="M808" s="3" t="s">
        <v>1326</v>
      </c>
      <c r="N808" s="3" t="s">
        <v>1335</v>
      </c>
    </row>
    <row r="809" spans="13:14" x14ac:dyDescent="0.3">
      <c r="M809" s="3" t="s">
        <v>1329</v>
      </c>
      <c r="N809" s="3" t="s">
        <v>1337</v>
      </c>
    </row>
    <row r="810" spans="13:14" x14ac:dyDescent="0.3">
      <c r="M810" s="3" t="s">
        <v>1331</v>
      </c>
      <c r="N810" s="3" t="s">
        <v>1339</v>
      </c>
    </row>
    <row r="811" spans="13:14" x14ac:dyDescent="0.3">
      <c r="M811" s="3" t="s">
        <v>1333</v>
      </c>
      <c r="N811" s="3" t="s">
        <v>1341</v>
      </c>
    </row>
    <row r="812" spans="13:14" x14ac:dyDescent="0.3">
      <c r="M812" s="3" t="s">
        <v>1335</v>
      </c>
      <c r="N812" s="3" t="s">
        <v>1343</v>
      </c>
    </row>
    <row r="813" spans="13:14" x14ac:dyDescent="0.3">
      <c r="M813" s="3" t="s">
        <v>1337</v>
      </c>
      <c r="N813" s="3" t="s">
        <v>1344</v>
      </c>
    </row>
    <row r="814" spans="13:14" x14ac:dyDescent="0.3">
      <c r="M814" s="3" t="s">
        <v>1339</v>
      </c>
      <c r="N814" s="3" t="s">
        <v>1346</v>
      </c>
    </row>
    <row r="815" spans="13:14" x14ac:dyDescent="0.3">
      <c r="M815" s="3" t="s">
        <v>1341</v>
      </c>
      <c r="N815" s="3" t="s">
        <v>1347</v>
      </c>
    </row>
    <row r="816" spans="13:14" x14ac:dyDescent="0.3">
      <c r="M816" s="3" t="s">
        <v>1343</v>
      </c>
      <c r="N816" s="3" t="s">
        <v>1348</v>
      </c>
    </row>
    <row r="817" spans="13:14" x14ac:dyDescent="0.3">
      <c r="M817" s="3" t="s">
        <v>1344</v>
      </c>
      <c r="N817" s="3" t="s">
        <v>1350</v>
      </c>
    </row>
    <row r="818" spans="13:14" x14ac:dyDescent="0.3">
      <c r="M818" s="3" t="s">
        <v>1346</v>
      </c>
      <c r="N818" s="3" t="s">
        <v>1351</v>
      </c>
    </row>
    <row r="819" spans="13:14" x14ac:dyDescent="0.3">
      <c r="M819" s="3" t="s">
        <v>1347</v>
      </c>
      <c r="N819" s="3" t="s">
        <v>1352</v>
      </c>
    </row>
    <row r="820" spans="13:14" x14ac:dyDescent="0.3">
      <c r="M820" s="3" t="s">
        <v>1348</v>
      </c>
      <c r="N820" s="3" t="s">
        <v>1353</v>
      </c>
    </row>
    <row r="821" spans="13:14" x14ac:dyDescent="0.3">
      <c r="M821" s="3" t="s">
        <v>1350</v>
      </c>
      <c r="N821" s="3" t="s">
        <v>1354</v>
      </c>
    </row>
    <row r="822" spans="13:14" x14ac:dyDescent="0.3">
      <c r="M822" s="3" t="s">
        <v>1351</v>
      </c>
      <c r="N822" s="3" t="s">
        <v>1355</v>
      </c>
    </row>
    <row r="823" spans="13:14" x14ac:dyDescent="0.3">
      <c r="M823" s="3" t="s">
        <v>1352</v>
      </c>
      <c r="N823" s="3" t="s">
        <v>1357</v>
      </c>
    </row>
    <row r="824" spans="13:14" x14ac:dyDescent="0.3">
      <c r="M824" s="3" t="s">
        <v>1353</v>
      </c>
      <c r="N824" s="3" t="s">
        <v>1359</v>
      </c>
    </row>
    <row r="825" spans="13:14" x14ac:dyDescent="0.3">
      <c r="M825" s="3" t="s">
        <v>1354</v>
      </c>
      <c r="N825" s="3" t="s">
        <v>1360</v>
      </c>
    </row>
    <row r="826" spans="13:14" x14ac:dyDescent="0.3">
      <c r="M826" s="3" t="s">
        <v>1355</v>
      </c>
      <c r="N826" s="3" t="s">
        <v>1361</v>
      </c>
    </row>
    <row r="827" spans="13:14" x14ac:dyDescent="0.3">
      <c r="M827" s="3" t="s">
        <v>1357</v>
      </c>
      <c r="N827" s="3" t="s">
        <v>1362</v>
      </c>
    </row>
    <row r="828" spans="13:14" x14ac:dyDescent="0.3">
      <c r="M828" s="3" t="s">
        <v>1359</v>
      </c>
      <c r="N828" s="3" t="s">
        <v>1363</v>
      </c>
    </row>
    <row r="829" spans="13:14" x14ac:dyDescent="0.3">
      <c r="M829" s="3" t="s">
        <v>1360</v>
      </c>
      <c r="N829" s="3" t="s">
        <v>1364</v>
      </c>
    </row>
    <row r="830" spans="13:14" x14ac:dyDescent="0.3">
      <c r="M830" s="3" t="s">
        <v>1361</v>
      </c>
      <c r="N830" s="3" t="s">
        <v>1367</v>
      </c>
    </row>
    <row r="831" spans="13:14" x14ac:dyDescent="0.3">
      <c r="M831" s="3" t="s">
        <v>1362</v>
      </c>
      <c r="N831" s="3" t="s">
        <v>1370</v>
      </c>
    </row>
    <row r="832" spans="13:14" x14ac:dyDescent="0.3">
      <c r="M832" s="3" t="s">
        <v>1363</v>
      </c>
      <c r="N832" s="3" t="s">
        <v>1372</v>
      </c>
    </row>
    <row r="833" spans="13:14" x14ac:dyDescent="0.3">
      <c r="M833" s="3" t="s">
        <v>1364</v>
      </c>
      <c r="N833" s="3" t="s">
        <v>1375</v>
      </c>
    </row>
    <row r="834" spans="13:14" x14ac:dyDescent="0.3">
      <c r="M834" s="3" t="s">
        <v>1367</v>
      </c>
      <c r="N834" s="3" t="s">
        <v>1377</v>
      </c>
    </row>
    <row r="835" spans="13:14" x14ac:dyDescent="0.3">
      <c r="M835" s="3" t="s">
        <v>1370</v>
      </c>
      <c r="N835" s="3" t="s">
        <v>1379</v>
      </c>
    </row>
    <row r="836" spans="13:14" x14ac:dyDescent="0.3">
      <c r="M836" s="3" t="s">
        <v>1372</v>
      </c>
      <c r="N836" s="3" t="s">
        <v>1381</v>
      </c>
    </row>
    <row r="837" spans="13:14" x14ac:dyDescent="0.3">
      <c r="M837" s="3" t="s">
        <v>1375</v>
      </c>
      <c r="N837" s="3" t="s">
        <v>1383</v>
      </c>
    </row>
    <row r="838" spans="13:14" x14ac:dyDescent="0.3">
      <c r="M838" s="3" t="s">
        <v>1377</v>
      </c>
      <c r="N838" s="3" t="s">
        <v>1385</v>
      </c>
    </row>
    <row r="839" spans="13:14" x14ac:dyDescent="0.3">
      <c r="M839" s="3" t="s">
        <v>1379</v>
      </c>
      <c r="N839" s="3" t="s">
        <v>1387</v>
      </c>
    </row>
    <row r="840" spans="13:14" x14ac:dyDescent="0.3">
      <c r="M840" s="3" t="s">
        <v>1381</v>
      </c>
      <c r="N840" s="3" t="s">
        <v>1389</v>
      </c>
    </row>
    <row r="841" spans="13:14" x14ac:dyDescent="0.3">
      <c r="M841" s="3" t="s">
        <v>1383</v>
      </c>
      <c r="N841" s="3" t="s">
        <v>1391</v>
      </c>
    </row>
    <row r="842" spans="13:14" x14ac:dyDescent="0.3">
      <c r="M842" s="3" t="s">
        <v>1385</v>
      </c>
      <c r="N842" s="3" t="s">
        <v>1394</v>
      </c>
    </row>
    <row r="843" spans="13:14" x14ac:dyDescent="0.3">
      <c r="M843" s="3" t="s">
        <v>1387</v>
      </c>
      <c r="N843" s="3" t="s">
        <v>1397</v>
      </c>
    </row>
    <row r="844" spans="13:14" x14ac:dyDescent="0.3">
      <c r="M844" s="3" t="s">
        <v>1389</v>
      </c>
      <c r="N844" s="3" t="s">
        <v>1399</v>
      </c>
    </row>
    <row r="845" spans="13:14" x14ac:dyDescent="0.3">
      <c r="M845" s="3" t="s">
        <v>1391</v>
      </c>
      <c r="N845" s="3" t="s">
        <v>1401</v>
      </c>
    </row>
    <row r="846" spans="13:14" x14ac:dyDescent="0.3">
      <c r="M846" s="3" t="s">
        <v>1394</v>
      </c>
      <c r="N846" s="3" t="s">
        <v>1403</v>
      </c>
    </row>
    <row r="847" spans="13:14" x14ac:dyDescent="0.3">
      <c r="M847" s="3" t="s">
        <v>1397</v>
      </c>
      <c r="N847" s="3" t="s">
        <v>1405</v>
      </c>
    </row>
    <row r="848" spans="13:14" x14ac:dyDescent="0.3">
      <c r="M848" s="3" t="s">
        <v>1399</v>
      </c>
      <c r="N848" s="3" t="s">
        <v>1407</v>
      </c>
    </row>
    <row r="849" spans="13:14" x14ac:dyDescent="0.3">
      <c r="M849" s="3" t="s">
        <v>1401</v>
      </c>
      <c r="N849" s="3" t="s">
        <v>1409</v>
      </c>
    </row>
    <row r="850" spans="13:14" x14ac:dyDescent="0.3">
      <c r="M850" s="3" t="s">
        <v>1403</v>
      </c>
      <c r="N850" s="3" t="s">
        <v>1411</v>
      </c>
    </row>
    <row r="851" spans="13:14" x14ac:dyDescent="0.3">
      <c r="M851" s="3" t="s">
        <v>1405</v>
      </c>
      <c r="N851" s="3" t="s">
        <v>1412</v>
      </c>
    </row>
    <row r="852" spans="13:14" x14ac:dyDescent="0.3">
      <c r="M852" s="3" t="s">
        <v>1407</v>
      </c>
      <c r="N852" s="3" t="s">
        <v>1413</v>
      </c>
    </row>
    <row r="853" spans="13:14" x14ac:dyDescent="0.3">
      <c r="M853" s="3" t="s">
        <v>1409</v>
      </c>
      <c r="N853" s="3" t="s">
        <v>1415</v>
      </c>
    </row>
    <row r="854" spans="13:14" x14ac:dyDescent="0.3">
      <c r="M854" s="3" t="s">
        <v>1411</v>
      </c>
      <c r="N854" s="3" t="s">
        <v>1416</v>
      </c>
    </row>
    <row r="855" spans="13:14" x14ac:dyDescent="0.3">
      <c r="M855" s="3" t="s">
        <v>1412</v>
      </c>
      <c r="N855" s="3" t="s">
        <v>1417</v>
      </c>
    </row>
    <row r="856" spans="13:14" x14ac:dyDescent="0.3">
      <c r="M856" s="3" t="s">
        <v>1413</v>
      </c>
      <c r="N856" s="3" t="s">
        <v>1418</v>
      </c>
    </row>
    <row r="857" spans="13:14" x14ac:dyDescent="0.3">
      <c r="M857" s="3" t="s">
        <v>1415</v>
      </c>
      <c r="N857" s="3" t="s">
        <v>1419</v>
      </c>
    </row>
    <row r="858" spans="13:14" x14ac:dyDescent="0.3">
      <c r="M858" s="3" t="s">
        <v>1416</v>
      </c>
      <c r="N858" s="3" t="s">
        <v>1420</v>
      </c>
    </row>
    <row r="859" spans="13:14" x14ac:dyDescent="0.3">
      <c r="M859" s="3" t="s">
        <v>1417</v>
      </c>
      <c r="N859" s="3" t="s">
        <v>1421</v>
      </c>
    </row>
    <row r="860" spans="13:14" x14ac:dyDescent="0.3">
      <c r="M860" s="3" t="s">
        <v>1418</v>
      </c>
      <c r="N860" s="3" t="s">
        <v>1422</v>
      </c>
    </row>
    <row r="861" spans="13:14" x14ac:dyDescent="0.3">
      <c r="M861" s="3" t="s">
        <v>1419</v>
      </c>
      <c r="N861" s="3" t="s">
        <v>1424</v>
      </c>
    </row>
    <row r="862" spans="13:14" x14ac:dyDescent="0.3">
      <c r="M862" s="3" t="s">
        <v>1420</v>
      </c>
      <c r="N862" s="3" t="s">
        <v>1426</v>
      </c>
    </row>
    <row r="863" spans="13:14" x14ac:dyDescent="0.3">
      <c r="M863" s="3" t="s">
        <v>1421</v>
      </c>
      <c r="N863" s="3" t="s">
        <v>1427</v>
      </c>
    </row>
    <row r="864" spans="13:14" x14ac:dyDescent="0.3">
      <c r="M864" s="3" t="s">
        <v>1422</v>
      </c>
      <c r="N864" s="3" t="s">
        <v>1428</v>
      </c>
    </row>
    <row r="865" spans="13:14" x14ac:dyDescent="0.3">
      <c r="M865" s="3" t="s">
        <v>1424</v>
      </c>
      <c r="N865" s="3" t="s">
        <v>1429</v>
      </c>
    </row>
    <row r="866" spans="13:14" x14ac:dyDescent="0.3">
      <c r="M866" s="3" t="s">
        <v>1426</v>
      </c>
      <c r="N866" s="3" t="s">
        <v>1430</v>
      </c>
    </row>
    <row r="867" spans="13:14" x14ac:dyDescent="0.3">
      <c r="M867" s="3" t="s">
        <v>1427</v>
      </c>
      <c r="N867" s="3" t="s">
        <v>1431</v>
      </c>
    </row>
    <row r="868" spans="13:14" x14ac:dyDescent="0.3">
      <c r="M868" s="3" t="s">
        <v>1428</v>
      </c>
      <c r="N868" s="3" t="s">
        <v>1432</v>
      </c>
    </row>
    <row r="869" spans="13:14" x14ac:dyDescent="0.3">
      <c r="M869" s="3" t="s">
        <v>1429</v>
      </c>
      <c r="N869" s="3" t="s">
        <v>1433</v>
      </c>
    </row>
    <row r="870" spans="13:14" x14ac:dyDescent="0.3">
      <c r="M870" s="3" t="s">
        <v>1430</v>
      </c>
      <c r="N870" s="3" t="s">
        <v>1435</v>
      </c>
    </row>
    <row r="871" spans="13:14" x14ac:dyDescent="0.3">
      <c r="M871" s="3" t="s">
        <v>1431</v>
      </c>
      <c r="N871" s="3" t="s">
        <v>1437</v>
      </c>
    </row>
    <row r="872" spans="13:14" x14ac:dyDescent="0.3">
      <c r="M872" s="3" t="s">
        <v>1432</v>
      </c>
      <c r="N872" s="3" t="s">
        <v>886</v>
      </c>
    </row>
    <row r="873" spans="13:14" x14ac:dyDescent="0.3">
      <c r="M873" s="3" t="s">
        <v>1433</v>
      </c>
      <c r="N873" s="3" t="s">
        <v>1439</v>
      </c>
    </row>
    <row r="874" spans="13:14" x14ac:dyDescent="0.3">
      <c r="M874" s="3" t="s">
        <v>1435</v>
      </c>
      <c r="N874" s="3" t="s">
        <v>1441</v>
      </c>
    </row>
    <row r="875" spans="13:14" x14ac:dyDescent="0.3">
      <c r="M875" s="3" t="s">
        <v>1437</v>
      </c>
      <c r="N875" s="3" t="s">
        <v>1442</v>
      </c>
    </row>
    <row r="876" spans="13:14" x14ac:dyDescent="0.3">
      <c r="M876" s="3" t="s">
        <v>886</v>
      </c>
      <c r="N876" s="3" t="s">
        <v>894</v>
      </c>
    </row>
    <row r="877" spans="13:14" x14ac:dyDescent="0.3">
      <c r="M877" s="3" t="s">
        <v>1439</v>
      </c>
      <c r="N877" s="3" t="s">
        <v>1444</v>
      </c>
    </row>
    <row r="878" spans="13:14" x14ac:dyDescent="0.3">
      <c r="M878" s="3" t="s">
        <v>1441</v>
      </c>
      <c r="N878" s="3" t="s">
        <v>1446</v>
      </c>
    </row>
    <row r="879" spans="13:14" x14ac:dyDescent="0.3">
      <c r="M879" s="3" t="s">
        <v>1442</v>
      </c>
      <c r="N879" s="3" t="s">
        <v>1448</v>
      </c>
    </row>
    <row r="880" spans="13:14" x14ac:dyDescent="0.3">
      <c r="M880" s="3" t="s">
        <v>894</v>
      </c>
      <c r="N880" s="3" t="s">
        <v>1450</v>
      </c>
    </row>
    <row r="881" spans="13:14" x14ac:dyDescent="0.3">
      <c r="M881" s="3" t="s">
        <v>1444</v>
      </c>
      <c r="N881" s="3" t="s">
        <v>1452</v>
      </c>
    </row>
    <row r="882" spans="13:14" x14ac:dyDescent="0.3">
      <c r="M882" s="3" t="s">
        <v>1446</v>
      </c>
      <c r="N882" s="3" t="s">
        <v>1454</v>
      </c>
    </row>
    <row r="883" spans="13:14" x14ac:dyDescent="0.3">
      <c r="M883" s="3" t="s">
        <v>1448</v>
      </c>
      <c r="N883" s="3" t="s">
        <v>1455</v>
      </c>
    </row>
    <row r="884" spans="13:14" x14ac:dyDescent="0.3">
      <c r="M884" s="3" t="s">
        <v>1450</v>
      </c>
      <c r="N884" s="3" t="s">
        <v>1457</v>
      </c>
    </row>
    <row r="885" spans="13:14" x14ac:dyDescent="0.3">
      <c r="M885" s="3" t="s">
        <v>1452</v>
      </c>
    </row>
    <row r="886" spans="13:14" x14ac:dyDescent="0.3">
      <c r="M886" s="3" t="s">
        <v>1454</v>
      </c>
    </row>
    <row r="887" spans="13:14" x14ac:dyDescent="0.3">
      <c r="M887" s="3" t="s">
        <v>1455</v>
      </c>
    </row>
    <row r="888" spans="13:14" x14ac:dyDescent="0.3">
      <c r="M888" s="3" t="s">
        <v>1457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37CA35-C81E-4C3A-8B85-7EA2FC948306}">
  <sheetPr codeName="工作表3"/>
  <dimension ref="A1"/>
  <sheetViews>
    <sheetView workbookViewId="0">
      <selection activeCell="V5" sqref="V5"/>
    </sheetView>
  </sheetViews>
  <sheetFormatPr defaultRowHeight="16.2" x14ac:dyDescent="0.3"/>
  <sheetData/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88" r:id="rId4" name="ComboBox3">
          <controlPr defaultSize="0" autoLine="0" r:id="rId5">
            <anchor moveWithCells="1">
              <from>
                <xdr:col>1</xdr:col>
                <xdr:colOff>571500</xdr:colOff>
                <xdr:row>5</xdr:row>
                <xdr:rowOff>60960</xdr:rowOff>
              </from>
              <to>
                <xdr:col>2</xdr:col>
                <xdr:colOff>541020</xdr:colOff>
                <xdr:row>6</xdr:row>
                <xdr:rowOff>68580</xdr:rowOff>
              </to>
            </anchor>
          </controlPr>
        </control>
      </mc:Choice>
      <mc:Fallback>
        <control shapeId="3088" r:id="rId4" name="ComboBox3"/>
      </mc:Fallback>
    </mc:AlternateContent>
    <mc:AlternateContent xmlns:mc="http://schemas.openxmlformats.org/markup-compatibility/2006">
      <mc:Choice Requires="x14">
        <control shapeId="3087" r:id="rId6" name="ComboBox2">
          <controlPr defaultSize="0" autoLine="0" r:id="rId7">
            <anchor moveWithCells="1">
              <from>
                <xdr:col>1</xdr:col>
                <xdr:colOff>586740</xdr:colOff>
                <xdr:row>3</xdr:row>
                <xdr:rowOff>182880</xdr:rowOff>
              </from>
              <to>
                <xdr:col>2</xdr:col>
                <xdr:colOff>373380</xdr:colOff>
                <xdr:row>4</xdr:row>
                <xdr:rowOff>190500</xdr:rowOff>
              </to>
            </anchor>
          </controlPr>
        </control>
      </mc:Choice>
      <mc:Fallback>
        <control shapeId="3087" r:id="rId6" name="ComboBox2"/>
      </mc:Fallback>
    </mc:AlternateContent>
    <mc:AlternateContent xmlns:mc="http://schemas.openxmlformats.org/markup-compatibility/2006">
      <mc:Choice Requires="x14">
        <control shapeId="3081" r:id="rId8" name="ComboBox1">
          <controlPr defaultSize="0" autoLine="0" autoPict="0" r:id="rId9">
            <anchor moveWithCells="1">
              <from>
                <xdr:col>1</xdr:col>
                <xdr:colOff>594360</xdr:colOff>
                <xdr:row>2</xdr:row>
                <xdr:rowOff>76200</xdr:rowOff>
              </from>
              <to>
                <xdr:col>10</xdr:col>
                <xdr:colOff>289560</xdr:colOff>
                <xdr:row>3</xdr:row>
                <xdr:rowOff>129540</xdr:rowOff>
              </to>
            </anchor>
          </controlPr>
        </control>
      </mc:Choice>
      <mc:Fallback>
        <control shapeId="3081" r:id="rId8" name="ComboBox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EE515A-DD08-48BD-8BFA-FDE1172EEA3B}">
  <sheetPr codeName="工作表4"/>
  <dimension ref="A1:BX11"/>
  <sheetViews>
    <sheetView topLeftCell="N1" workbookViewId="0">
      <selection activeCell="AD10" sqref="AD10"/>
    </sheetView>
  </sheetViews>
  <sheetFormatPr defaultRowHeight="16.2" x14ac:dyDescent="0.3"/>
  <cols>
    <col min="1" max="1" width="10.44140625" bestFit="1" customWidth="1"/>
    <col min="2" max="2" width="14" bestFit="1" customWidth="1"/>
    <col min="3" max="3" width="36" bestFit="1" customWidth="1"/>
    <col min="4" max="5" width="6.77734375" bestFit="1" customWidth="1"/>
    <col min="6" max="7" width="6.6640625" bestFit="1" customWidth="1"/>
    <col min="8" max="8" width="16" bestFit="1" customWidth="1"/>
    <col min="9" max="9" width="6" bestFit="1" customWidth="1"/>
    <col min="10" max="10" width="6.5546875" bestFit="1" customWidth="1"/>
    <col min="11" max="11" width="15" bestFit="1" customWidth="1"/>
    <col min="12" max="12" width="10.44140625" bestFit="1" customWidth="1"/>
    <col min="13" max="13" width="8.21875" bestFit="1" customWidth="1"/>
    <col min="14" max="14" width="10.44140625" bestFit="1" customWidth="1"/>
    <col min="15" max="15" width="6" bestFit="1" customWidth="1"/>
    <col min="16" max="16" width="7" bestFit="1" customWidth="1"/>
    <col min="17" max="18" width="20" style="22" customWidth="1"/>
    <col min="19" max="19" width="2.5546875" bestFit="1" customWidth="1"/>
    <col min="20" max="20" width="4.5546875" bestFit="1" customWidth="1"/>
    <col min="21" max="21" width="3" bestFit="1" customWidth="1"/>
    <col min="22" max="22" width="5.5546875" bestFit="1" customWidth="1"/>
    <col min="23" max="23" width="2.77734375" bestFit="1" customWidth="1"/>
    <col min="24" max="24" width="6" bestFit="1" customWidth="1"/>
    <col min="25" max="25" width="2.5546875" bestFit="1" customWidth="1"/>
    <col min="26" max="26" width="3.109375" bestFit="1" customWidth="1"/>
    <col min="27" max="27" width="3" bestFit="1" customWidth="1"/>
    <col min="28" max="28" width="3.5546875" bestFit="1" customWidth="1"/>
    <col min="29" max="29" width="2.77734375" bestFit="1" customWidth="1"/>
    <col min="30" max="30" width="10.44140625" bestFit="1" customWidth="1"/>
    <col min="31" max="31" width="2.5546875" bestFit="1" customWidth="1"/>
    <col min="32" max="32" width="3.109375" bestFit="1" customWidth="1"/>
    <col min="33" max="33" width="3" bestFit="1" customWidth="1"/>
    <col min="34" max="34" width="3.109375" bestFit="1" customWidth="1"/>
    <col min="35" max="35" width="2.77734375" bestFit="1" customWidth="1"/>
    <col min="36" max="36" width="10.44140625" bestFit="1" customWidth="1"/>
    <col min="37" max="38" width="8.21875" bestFit="1" customWidth="1"/>
    <col min="39" max="39" width="8.77734375" bestFit="1" customWidth="1"/>
    <col min="40" max="40" width="2.5546875" bestFit="1" customWidth="1"/>
    <col min="41" max="41" width="3.109375" bestFit="1" customWidth="1"/>
    <col min="42" max="42" width="3" bestFit="1" customWidth="1"/>
    <col min="43" max="43" width="3.5546875" bestFit="1" customWidth="1"/>
    <col min="44" max="44" width="2.77734375" bestFit="1" customWidth="1"/>
    <col min="45" max="45" width="10.44140625" bestFit="1" customWidth="1"/>
    <col min="46" max="47" width="4.109375" bestFit="1" customWidth="1"/>
    <col min="48" max="49" width="5.109375" bestFit="1" customWidth="1"/>
    <col min="51" max="51" width="4.109375" bestFit="1" customWidth="1"/>
    <col min="52" max="53" width="5.109375" bestFit="1" customWidth="1"/>
    <col min="55" max="55" width="4.109375" bestFit="1" customWidth="1"/>
    <col min="56" max="58" width="5.109375" bestFit="1" customWidth="1"/>
    <col min="60" max="60" width="4.109375" bestFit="1" customWidth="1"/>
    <col min="61" max="62" width="5.109375" bestFit="1" customWidth="1"/>
    <col min="64" max="64" width="4.109375" bestFit="1" customWidth="1"/>
    <col min="65" max="67" width="5.109375" bestFit="1" customWidth="1"/>
    <col min="70" max="71" width="12.88671875" bestFit="1" customWidth="1"/>
    <col min="72" max="73" width="4.109375" bestFit="1" customWidth="1"/>
    <col min="74" max="76" width="5.109375" bestFit="1" customWidth="1"/>
  </cols>
  <sheetData>
    <row r="1" spans="1:76" x14ac:dyDescent="0.3">
      <c r="A1" t="s">
        <v>1556</v>
      </c>
      <c r="Q1" s="22" t="s">
        <v>1554</v>
      </c>
      <c r="W1" t="s">
        <v>1557</v>
      </c>
      <c r="AC1" t="s">
        <v>1460</v>
      </c>
    </row>
    <row r="2" spans="1:76" x14ac:dyDescent="0.3">
      <c r="A2" t="s">
        <v>3</v>
      </c>
      <c r="B2" t="s">
        <v>4</v>
      </c>
      <c r="C2">
        <v>0</v>
      </c>
      <c r="D2" t="s">
        <v>5</v>
      </c>
      <c r="E2" t="s">
        <v>6</v>
      </c>
      <c r="F2" t="s">
        <v>7</v>
      </c>
      <c r="G2" t="s">
        <v>8</v>
      </c>
      <c r="H2" t="s">
        <v>9</v>
      </c>
      <c r="I2" t="s">
        <v>10</v>
      </c>
      <c r="J2" t="s">
        <v>11</v>
      </c>
      <c r="K2" t="s">
        <v>12</v>
      </c>
      <c r="L2" t="s">
        <v>13</v>
      </c>
      <c r="M2" t="s">
        <v>14</v>
      </c>
      <c r="N2" t="s">
        <v>15</v>
      </c>
      <c r="O2" t="s">
        <v>16</v>
      </c>
      <c r="P2" t="s">
        <v>1543</v>
      </c>
      <c r="Q2" s="22" t="s">
        <v>1537</v>
      </c>
      <c r="R2" s="22" t="s">
        <v>1538</v>
      </c>
      <c r="S2" t="s">
        <v>1539</v>
      </c>
      <c r="T2" t="s">
        <v>1478</v>
      </c>
      <c r="U2" t="s">
        <v>1479</v>
      </c>
      <c r="V2" t="s">
        <v>16</v>
      </c>
      <c r="W2" t="s">
        <v>1537</v>
      </c>
      <c r="X2" t="s">
        <v>1538</v>
      </c>
      <c r="Y2" t="s">
        <v>1539</v>
      </c>
      <c r="Z2" t="s">
        <v>1478</v>
      </c>
      <c r="AA2" t="s">
        <v>1479</v>
      </c>
      <c r="AB2" t="s">
        <v>1544</v>
      </c>
      <c r="AC2" t="s">
        <v>1537</v>
      </c>
      <c r="AD2" t="s">
        <v>1538</v>
      </c>
      <c r="AE2" t="s">
        <v>1539</v>
      </c>
      <c r="AF2" t="s">
        <v>1478</v>
      </c>
      <c r="AG2" t="s">
        <v>1479</v>
      </c>
      <c r="AH2" t="s">
        <v>1545</v>
      </c>
      <c r="AI2" t="s">
        <v>1479</v>
      </c>
      <c r="AJ2" t="s">
        <v>1545</v>
      </c>
      <c r="AK2" t="s">
        <v>1546</v>
      </c>
      <c r="AL2" t="s">
        <v>1481</v>
      </c>
      <c r="AM2" t="s">
        <v>1474</v>
      </c>
      <c r="AN2" t="s">
        <v>1537</v>
      </c>
      <c r="AO2" t="s">
        <v>1538</v>
      </c>
      <c r="AP2" t="s">
        <v>1539</v>
      </c>
      <c r="AQ2" t="s">
        <v>1478</v>
      </c>
      <c r="AR2" t="s">
        <v>1479</v>
      </c>
      <c r="AS2" t="s">
        <v>1547</v>
      </c>
      <c r="AT2" t="s">
        <v>1548</v>
      </c>
      <c r="AU2" t="s">
        <v>1549</v>
      </c>
      <c r="AV2" t="s">
        <v>1550</v>
      </c>
      <c r="AW2" t="s">
        <v>1551</v>
      </c>
      <c r="AY2" t="s">
        <v>1548</v>
      </c>
      <c r="AZ2" t="s">
        <v>1552</v>
      </c>
      <c r="BA2" t="s">
        <v>1551</v>
      </c>
      <c r="BC2" t="s">
        <v>1548</v>
      </c>
      <c r="BD2" t="s">
        <v>1552</v>
      </c>
      <c r="BE2" t="s">
        <v>1550</v>
      </c>
      <c r="BF2" t="s">
        <v>1551</v>
      </c>
      <c r="BH2" t="s">
        <v>1548</v>
      </c>
      <c r="BI2" t="s">
        <v>1552</v>
      </c>
      <c r="BJ2" t="s">
        <v>1551</v>
      </c>
      <c r="BL2" t="s">
        <v>1548</v>
      </c>
      <c r="BM2" t="s">
        <v>1552</v>
      </c>
      <c r="BN2" t="s">
        <v>1550</v>
      </c>
      <c r="BO2" t="s">
        <v>1551</v>
      </c>
      <c r="BR2" t="s">
        <v>1459</v>
      </c>
      <c r="BS2" t="s">
        <v>1553</v>
      </c>
      <c r="BT2" t="s">
        <v>1548</v>
      </c>
      <c r="BU2" t="s">
        <v>1549</v>
      </c>
      <c r="BV2" t="s">
        <v>1552</v>
      </c>
      <c r="BW2" t="s">
        <v>1550</v>
      </c>
      <c r="BX2" t="s">
        <v>1551</v>
      </c>
    </row>
    <row r="3" spans="1:76" x14ac:dyDescent="0.3">
      <c r="A3" t="s">
        <v>17</v>
      </c>
      <c r="B3">
        <v>102</v>
      </c>
      <c r="C3" t="s">
        <v>18</v>
      </c>
      <c r="D3">
        <v>8</v>
      </c>
      <c r="E3" t="s">
        <v>19</v>
      </c>
      <c r="F3" t="s">
        <v>20</v>
      </c>
      <c r="G3" t="s">
        <v>19</v>
      </c>
      <c r="H3" t="s">
        <v>21</v>
      </c>
      <c r="I3">
        <v>8.18</v>
      </c>
      <c r="J3" t="s">
        <v>22</v>
      </c>
      <c r="K3" t="s">
        <v>23</v>
      </c>
      <c r="L3" t="s">
        <v>24</v>
      </c>
      <c r="M3">
        <v>282</v>
      </c>
      <c r="O3">
        <v>49.8</v>
      </c>
      <c r="P3">
        <v>49.800000000000004</v>
      </c>
      <c r="Q3" s="22">
        <v>0</v>
      </c>
      <c r="R3" s="22">
        <v>5.8</v>
      </c>
      <c r="S3">
        <v>0</v>
      </c>
      <c r="T3">
        <v>44</v>
      </c>
      <c r="U3">
        <v>0</v>
      </c>
      <c r="V3">
        <v>49.8</v>
      </c>
      <c r="W3">
        <v>0</v>
      </c>
      <c r="X3">
        <v>6</v>
      </c>
      <c r="Y3">
        <v>0</v>
      </c>
      <c r="Z3">
        <v>54</v>
      </c>
      <c r="AA3">
        <v>0</v>
      </c>
      <c r="AB3">
        <v>60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6</v>
      </c>
      <c r="AP3">
        <v>0</v>
      </c>
      <c r="AQ3">
        <v>54</v>
      </c>
      <c r="AR3">
        <v>0</v>
      </c>
      <c r="AS3">
        <v>60</v>
      </c>
      <c r="AY3">
        <v>6</v>
      </c>
      <c r="BH3">
        <v>54</v>
      </c>
      <c r="BR3">
        <v>60</v>
      </c>
      <c r="BS3">
        <v>60</v>
      </c>
      <c r="BT3">
        <v>60</v>
      </c>
    </row>
    <row r="4" spans="1:76" x14ac:dyDescent="0.3">
      <c r="A4" t="s">
        <v>17</v>
      </c>
      <c r="B4">
        <v>102</v>
      </c>
      <c r="C4" t="s">
        <v>18</v>
      </c>
      <c r="D4">
        <v>8</v>
      </c>
      <c r="E4" t="s">
        <v>19</v>
      </c>
      <c r="F4" t="s">
        <v>25</v>
      </c>
      <c r="G4" t="s">
        <v>19</v>
      </c>
      <c r="H4" t="s">
        <v>26</v>
      </c>
      <c r="I4">
        <v>12.7</v>
      </c>
      <c r="J4" t="s">
        <v>22</v>
      </c>
      <c r="K4" t="s">
        <v>27</v>
      </c>
      <c r="L4" t="s">
        <v>24</v>
      </c>
      <c r="M4">
        <v>138</v>
      </c>
      <c r="O4">
        <v>33.800000000000004</v>
      </c>
      <c r="P4">
        <v>33.799999999999997</v>
      </c>
      <c r="Q4" s="22">
        <v>0</v>
      </c>
      <c r="R4" s="22">
        <v>0</v>
      </c>
      <c r="S4">
        <v>0</v>
      </c>
      <c r="T4">
        <v>33.799999999999997</v>
      </c>
      <c r="U4">
        <v>0</v>
      </c>
      <c r="V4">
        <v>33.799999999999997</v>
      </c>
      <c r="W4">
        <v>0</v>
      </c>
      <c r="X4">
        <v>0</v>
      </c>
      <c r="Y4">
        <v>0</v>
      </c>
      <c r="Z4">
        <v>42</v>
      </c>
      <c r="AA4">
        <v>0</v>
      </c>
      <c r="AB4">
        <v>42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</row>
    <row r="5" spans="1:76" x14ac:dyDescent="0.3">
      <c r="Q5" s="22" t="s">
        <v>1539</v>
      </c>
      <c r="R5" s="22">
        <v>0</v>
      </c>
    </row>
    <row r="6" spans="1:76" x14ac:dyDescent="0.3">
      <c r="Q6" s="22" t="s">
        <v>1478</v>
      </c>
      <c r="R6" s="22">
        <v>44</v>
      </c>
    </row>
    <row r="7" spans="1:76" x14ac:dyDescent="0.3">
      <c r="Q7" s="22" t="s">
        <v>1479</v>
      </c>
      <c r="R7" s="22">
        <v>0</v>
      </c>
    </row>
    <row r="11" spans="1:76" x14ac:dyDescent="0.3">
      <c r="A11" t="s">
        <v>17</v>
      </c>
      <c r="B11">
        <v>102</v>
      </c>
      <c r="C11" t="s">
        <v>18</v>
      </c>
      <c r="D11">
        <v>8</v>
      </c>
      <c r="E11" t="s">
        <v>19</v>
      </c>
      <c r="F11" t="s">
        <v>25</v>
      </c>
      <c r="G11" t="s">
        <v>19</v>
      </c>
      <c r="H11" t="s">
        <v>26</v>
      </c>
      <c r="I11">
        <v>12.7</v>
      </c>
      <c r="J11" t="s">
        <v>22</v>
      </c>
      <c r="K11" t="s">
        <v>27</v>
      </c>
      <c r="L11" t="s">
        <v>24</v>
      </c>
      <c r="M11">
        <v>138</v>
      </c>
      <c r="O11">
        <v>33.800000000000004</v>
      </c>
      <c r="P11">
        <v>33.799999999999997</v>
      </c>
      <c r="S11">
        <v>0</v>
      </c>
      <c r="T11">
        <v>0</v>
      </c>
      <c r="U11">
        <v>0</v>
      </c>
      <c r="V11">
        <v>33.799999999999997</v>
      </c>
      <c r="W11">
        <v>0</v>
      </c>
      <c r="X11">
        <v>33.799999999999997</v>
      </c>
      <c r="Y11">
        <v>0</v>
      </c>
      <c r="Z11">
        <v>0</v>
      </c>
      <c r="AA11">
        <v>0</v>
      </c>
      <c r="AB11">
        <v>42</v>
      </c>
      <c r="AC11">
        <v>0</v>
      </c>
      <c r="AD11">
        <v>42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L11" t="e">
        <v>#N/A</v>
      </c>
      <c r="AN11">
        <v>0</v>
      </c>
      <c r="AO11">
        <v>0</v>
      </c>
      <c r="AP11">
        <v>0</v>
      </c>
      <c r="AQ11">
        <v>42</v>
      </c>
      <c r="AR11">
        <v>0</v>
      </c>
      <c r="AS11">
        <v>42</v>
      </c>
      <c r="BJ11">
        <v>42</v>
      </c>
      <c r="BR11">
        <v>42</v>
      </c>
      <c r="BS11">
        <v>42</v>
      </c>
      <c r="BX11">
        <v>42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2671E3-1C51-4DBF-9CDD-FA46DBB059BA}">
  <sheetPr codeName="工作表5"/>
  <dimension ref="J1:J883"/>
  <sheetViews>
    <sheetView topLeftCell="J1" workbookViewId="0">
      <selection activeCell="K4" sqref="K4"/>
    </sheetView>
  </sheetViews>
  <sheetFormatPr defaultRowHeight="16.2" x14ac:dyDescent="0.3"/>
  <cols>
    <col min="2" max="2" width="14" bestFit="1" customWidth="1"/>
  </cols>
  <sheetData>
    <row r="1" spans="10:10" x14ac:dyDescent="0.3">
      <c r="J1" t="s">
        <v>12</v>
      </c>
    </row>
    <row r="2" spans="10:10" x14ac:dyDescent="0.3">
      <c r="J2" t="s">
        <v>23</v>
      </c>
    </row>
    <row r="3" spans="10:10" x14ac:dyDescent="0.3">
      <c r="J3" t="s">
        <v>27</v>
      </c>
    </row>
    <row r="4" spans="10:10" x14ac:dyDescent="0.3">
      <c r="J4" t="s">
        <v>29</v>
      </c>
    </row>
    <row r="5" spans="10:10" x14ac:dyDescent="0.3">
      <c r="J5" t="s">
        <v>31</v>
      </c>
    </row>
    <row r="6" spans="10:10" x14ac:dyDescent="0.3">
      <c r="J6" t="s">
        <v>33</v>
      </c>
    </row>
    <row r="7" spans="10:10" x14ac:dyDescent="0.3">
      <c r="J7" t="s">
        <v>1558</v>
      </c>
    </row>
    <row r="8" spans="10:10" x14ac:dyDescent="0.3">
      <c r="J8" t="s">
        <v>38</v>
      </c>
    </row>
    <row r="9" spans="10:10" x14ac:dyDescent="0.3">
      <c r="J9" t="s">
        <v>40</v>
      </c>
    </row>
    <row r="10" spans="10:10" x14ac:dyDescent="0.3">
      <c r="J10" t="s">
        <v>43</v>
      </c>
    </row>
    <row r="11" spans="10:10" x14ac:dyDescent="0.3">
      <c r="J11" t="s">
        <v>44</v>
      </c>
    </row>
    <row r="12" spans="10:10" x14ac:dyDescent="0.3">
      <c r="J12" t="s">
        <v>47</v>
      </c>
    </row>
    <row r="13" spans="10:10" x14ac:dyDescent="0.3">
      <c r="J13" t="s">
        <v>49</v>
      </c>
    </row>
    <row r="14" spans="10:10" x14ac:dyDescent="0.3">
      <c r="J14" t="s">
        <v>50</v>
      </c>
    </row>
    <row r="15" spans="10:10" x14ac:dyDescent="0.3">
      <c r="J15" t="s">
        <v>52</v>
      </c>
    </row>
    <row r="16" spans="10:10" x14ac:dyDescent="0.3">
      <c r="J16" t="s">
        <v>53</v>
      </c>
    </row>
    <row r="17" spans="10:10" x14ac:dyDescent="0.3">
      <c r="J17" t="s">
        <v>55</v>
      </c>
    </row>
    <row r="18" spans="10:10" x14ac:dyDescent="0.3">
      <c r="J18" t="s">
        <v>56</v>
      </c>
    </row>
    <row r="19" spans="10:10" x14ac:dyDescent="0.3">
      <c r="J19" t="s">
        <v>58</v>
      </c>
    </row>
    <row r="20" spans="10:10" x14ac:dyDescent="0.3">
      <c r="J20" t="s">
        <v>60</v>
      </c>
    </row>
    <row r="21" spans="10:10" x14ac:dyDescent="0.3">
      <c r="J21" t="s">
        <v>62</v>
      </c>
    </row>
    <row r="22" spans="10:10" x14ac:dyDescent="0.3">
      <c r="J22" t="s">
        <v>65</v>
      </c>
    </row>
    <row r="23" spans="10:10" x14ac:dyDescent="0.3">
      <c r="J23" t="s">
        <v>67</v>
      </c>
    </row>
    <row r="24" spans="10:10" x14ac:dyDescent="0.3">
      <c r="J24" t="s">
        <v>71</v>
      </c>
    </row>
    <row r="25" spans="10:10" x14ac:dyDescent="0.3">
      <c r="J25" t="s">
        <v>74</v>
      </c>
    </row>
    <row r="26" spans="10:10" x14ac:dyDescent="0.3">
      <c r="J26" t="s">
        <v>75</v>
      </c>
    </row>
    <row r="27" spans="10:10" x14ac:dyDescent="0.3">
      <c r="J27" t="s">
        <v>77</v>
      </c>
    </row>
    <row r="28" spans="10:10" x14ac:dyDescent="0.3">
      <c r="J28" t="s">
        <v>79</v>
      </c>
    </row>
    <row r="29" spans="10:10" x14ac:dyDescent="0.3">
      <c r="J29" t="s">
        <v>80</v>
      </c>
    </row>
    <row r="30" spans="10:10" x14ac:dyDescent="0.3">
      <c r="J30" t="s">
        <v>82</v>
      </c>
    </row>
    <row r="31" spans="10:10" x14ac:dyDescent="0.3">
      <c r="J31" t="s">
        <v>84</v>
      </c>
    </row>
    <row r="32" spans="10:10" x14ac:dyDescent="0.3">
      <c r="J32" t="s">
        <v>85</v>
      </c>
    </row>
    <row r="33" spans="10:10" x14ac:dyDescent="0.3">
      <c r="J33" t="s">
        <v>86</v>
      </c>
    </row>
    <row r="34" spans="10:10" x14ac:dyDescent="0.3">
      <c r="J34" t="s">
        <v>87</v>
      </c>
    </row>
    <row r="35" spans="10:10" x14ac:dyDescent="0.3">
      <c r="J35" t="s">
        <v>88</v>
      </c>
    </row>
    <row r="36" spans="10:10" x14ac:dyDescent="0.3">
      <c r="J36" t="s">
        <v>89</v>
      </c>
    </row>
    <row r="37" spans="10:10" x14ac:dyDescent="0.3">
      <c r="J37" t="s">
        <v>92</v>
      </c>
    </row>
    <row r="38" spans="10:10" x14ac:dyDescent="0.3">
      <c r="J38" t="s">
        <v>94</v>
      </c>
    </row>
    <row r="39" spans="10:10" x14ac:dyDescent="0.3">
      <c r="J39" t="s">
        <v>95</v>
      </c>
    </row>
    <row r="40" spans="10:10" x14ac:dyDescent="0.3">
      <c r="J40" t="s">
        <v>97</v>
      </c>
    </row>
    <row r="41" spans="10:10" x14ac:dyDescent="0.3">
      <c r="J41" t="s">
        <v>100</v>
      </c>
    </row>
    <row r="42" spans="10:10" x14ac:dyDescent="0.3">
      <c r="J42" t="s">
        <v>102</v>
      </c>
    </row>
    <row r="43" spans="10:10" x14ac:dyDescent="0.3">
      <c r="J43" t="s">
        <v>104</v>
      </c>
    </row>
    <row r="44" spans="10:10" x14ac:dyDescent="0.3">
      <c r="J44" t="s">
        <v>106</v>
      </c>
    </row>
    <row r="45" spans="10:10" x14ac:dyDescent="0.3">
      <c r="J45" t="s">
        <v>108</v>
      </c>
    </row>
    <row r="46" spans="10:10" x14ac:dyDescent="0.3">
      <c r="J46" t="s">
        <v>110</v>
      </c>
    </row>
    <row r="47" spans="10:10" x14ac:dyDescent="0.3">
      <c r="J47" t="s">
        <v>111</v>
      </c>
    </row>
    <row r="48" spans="10:10" x14ac:dyDescent="0.3">
      <c r="J48" t="s">
        <v>112</v>
      </c>
    </row>
    <row r="49" spans="10:10" x14ac:dyDescent="0.3">
      <c r="J49" t="s">
        <v>113</v>
      </c>
    </row>
    <row r="50" spans="10:10" x14ac:dyDescent="0.3">
      <c r="J50" t="s">
        <v>1559</v>
      </c>
    </row>
    <row r="51" spans="10:10" x14ac:dyDescent="0.3">
      <c r="J51" t="s">
        <v>115</v>
      </c>
    </row>
    <row r="52" spans="10:10" x14ac:dyDescent="0.3">
      <c r="J52" t="s">
        <v>116</v>
      </c>
    </row>
    <row r="53" spans="10:10" x14ac:dyDescent="0.3">
      <c r="J53" t="s">
        <v>117</v>
      </c>
    </row>
    <row r="54" spans="10:10" x14ac:dyDescent="0.3">
      <c r="J54" t="s">
        <v>118</v>
      </c>
    </row>
    <row r="55" spans="10:10" x14ac:dyDescent="0.3">
      <c r="J55" t="s">
        <v>119</v>
      </c>
    </row>
    <row r="56" spans="10:10" x14ac:dyDescent="0.3">
      <c r="J56" t="s">
        <v>120</v>
      </c>
    </row>
    <row r="57" spans="10:10" x14ac:dyDescent="0.3">
      <c r="J57" t="s">
        <v>121</v>
      </c>
    </row>
    <row r="58" spans="10:10" x14ac:dyDescent="0.3">
      <c r="J58" t="s">
        <v>122</v>
      </c>
    </row>
    <row r="59" spans="10:10" x14ac:dyDescent="0.3">
      <c r="J59" t="s">
        <v>124</v>
      </c>
    </row>
    <row r="60" spans="10:10" x14ac:dyDescent="0.3">
      <c r="J60" t="s">
        <v>125</v>
      </c>
    </row>
    <row r="61" spans="10:10" x14ac:dyDescent="0.3">
      <c r="J61" t="s">
        <v>126</v>
      </c>
    </row>
    <row r="62" spans="10:10" x14ac:dyDescent="0.3">
      <c r="J62" t="s">
        <v>1560</v>
      </c>
    </row>
    <row r="63" spans="10:10" x14ac:dyDescent="0.3">
      <c r="J63" t="s">
        <v>128</v>
      </c>
    </row>
    <row r="64" spans="10:10" x14ac:dyDescent="0.3">
      <c r="J64" t="s">
        <v>129</v>
      </c>
    </row>
    <row r="65" spans="10:10" x14ac:dyDescent="0.3">
      <c r="J65" t="s">
        <v>130</v>
      </c>
    </row>
    <row r="66" spans="10:10" x14ac:dyDescent="0.3">
      <c r="J66" t="s">
        <v>132</v>
      </c>
    </row>
    <row r="67" spans="10:10" x14ac:dyDescent="0.3">
      <c r="J67" t="s">
        <v>134</v>
      </c>
    </row>
    <row r="68" spans="10:10" x14ac:dyDescent="0.3">
      <c r="J68" t="s">
        <v>136</v>
      </c>
    </row>
    <row r="69" spans="10:10" x14ac:dyDescent="0.3">
      <c r="J69" t="s">
        <v>137</v>
      </c>
    </row>
    <row r="70" spans="10:10" x14ac:dyDescent="0.3">
      <c r="J70" t="s">
        <v>138</v>
      </c>
    </row>
    <row r="71" spans="10:10" x14ac:dyDescent="0.3">
      <c r="J71" t="s">
        <v>139</v>
      </c>
    </row>
    <row r="72" spans="10:10" x14ac:dyDescent="0.3">
      <c r="J72" t="s">
        <v>140</v>
      </c>
    </row>
    <row r="73" spans="10:10" x14ac:dyDescent="0.3">
      <c r="J73" t="s">
        <v>142</v>
      </c>
    </row>
    <row r="74" spans="10:10" x14ac:dyDescent="0.3">
      <c r="J74" t="s">
        <v>143</v>
      </c>
    </row>
    <row r="75" spans="10:10" x14ac:dyDescent="0.3">
      <c r="J75" t="s">
        <v>144</v>
      </c>
    </row>
    <row r="76" spans="10:10" x14ac:dyDescent="0.3">
      <c r="J76" t="s">
        <v>145</v>
      </c>
    </row>
    <row r="77" spans="10:10" x14ac:dyDescent="0.3">
      <c r="J77" t="s">
        <v>146</v>
      </c>
    </row>
    <row r="78" spans="10:10" x14ac:dyDescent="0.3">
      <c r="J78" t="s">
        <v>147</v>
      </c>
    </row>
    <row r="79" spans="10:10" x14ac:dyDescent="0.3">
      <c r="J79" t="s">
        <v>148</v>
      </c>
    </row>
    <row r="80" spans="10:10" x14ac:dyDescent="0.3">
      <c r="J80" t="s">
        <v>149</v>
      </c>
    </row>
    <row r="81" spans="10:10" x14ac:dyDescent="0.3">
      <c r="J81" t="s">
        <v>150</v>
      </c>
    </row>
    <row r="82" spans="10:10" x14ac:dyDescent="0.3">
      <c r="J82" t="s">
        <v>151</v>
      </c>
    </row>
    <row r="83" spans="10:10" x14ac:dyDescent="0.3">
      <c r="J83" t="s">
        <v>153</v>
      </c>
    </row>
    <row r="84" spans="10:10" x14ac:dyDescent="0.3">
      <c r="J84" t="s">
        <v>155</v>
      </c>
    </row>
    <row r="85" spans="10:10" x14ac:dyDescent="0.3">
      <c r="J85" t="s">
        <v>156</v>
      </c>
    </row>
    <row r="86" spans="10:10" x14ac:dyDescent="0.3">
      <c r="J86" t="s">
        <v>157</v>
      </c>
    </row>
    <row r="87" spans="10:10" x14ac:dyDescent="0.3">
      <c r="J87" t="s">
        <v>159</v>
      </c>
    </row>
    <row r="88" spans="10:10" x14ac:dyDescent="0.3">
      <c r="J88" t="s">
        <v>160</v>
      </c>
    </row>
    <row r="89" spans="10:10" x14ac:dyDescent="0.3">
      <c r="J89" t="s">
        <v>162</v>
      </c>
    </row>
    <row r="90" spans="10:10" x14ac:dyDescent="0.3">
      <c r="J90" t="s">
        <v>164</v>
      </c>
    </row>
    <row r="91" spans="10:10" x14ac:dyDescent="0.3">
      <c r="J91" t="s">
        <v>165</v>
      </c>
    </row>
    <row r="92" spans="10:10" x14ac:dyDescent="0.3">
      <c r="J92" t="s">
        <v>166</v>
      </c>
    </row>
    <row r="93" spans="10:10" x14ac:dyDescent="0.3">
      <c r="J93" t="s">
        <v>167</v>
      </c>
    </row>
    <row r="94" spans="10:10" x14ac:dyDescent="0.3">
      <c r="J94" t="s">
        <v>168</v>
      </c>
    </row>
    <row r="95" spans="10:10" x14ac:dyDescent="0.3">
      <c r="J95" t="s">
        <v>170</v>
      </c>
    </row>
    <row r="96" spans="10:10" x14ac:dyDescent="0.3">
      <c r="J96" t="s">
        <v>171</v>
      </c>
    </row>
    <row r="97" spans="10:10" x14ac:dyDescent="0.3">
      <c r="J97" t="s">
        <v>172</v>
      </c>
    </row>
    <row r="98" spans="10:10" x14ac:dyDescent="0.3">
      <c r="J98" t="s">
        <v>173</v>
      </c>
    </row>
    <row r="99" spans="10:10" x14ac:dyDescent="0.3">
      <c r="J99" t="s">
        <v>176</v>
      </c>
    </row>
    <row r="100" spans="10:10" x14ac:dyDescent="0.3">
      <c r="J100" t="s">
        <v>178</v>
      </c>
    </row>
    <row r="101" spans="10:10" x14ac:dyDescent="0.3">
      <c r="J101" t="s">
        <v>180</v>
      </c>
    </row>
    <row r="102" spans="10:10" x14ac:dyDescent="0.3">
      <c r="J102" t="s">
        <v>182</v>
      </c>
    </row>
    <row r="103" spans="10:10" x14ac:dyDescent="0.3">
      <c r="J103" t="s">
        <v>185</v>
      </c>
    </row>
    <row r="104" spans="10:10" x14ac:dyDescent="0.3">
      <c r="J104" t="s">
        <v>187</v>
      </c>
    </row>
    <row r="105" spans="10:10" x14ac:dyDescent="0.3">
      <c r="J105" t="s">
        <v>189</v>
      </c>
    </row>
    <row r="106" spans="10:10" x14ac:dyDescent="0.3">
      <c r="J106" t="s">
        <v>191</v>
      </c>
    </row>
    <row r="107" spans="10:10" x14ac:dyDescent="0.3">
      <c r="J107" t="s">
        <v>193</v>
      </c>
    </row>
    <row r="108" spans="10:10" x14ac:dyDescent="0.3">
      <c r="J108" t="s">
        <v>195</v>
      </c>
    </row>
    <row r="109" spans="10:10" x14ac:dyDescent="0.3">
      <c r="J109" t="s">
        <v>198</v>
      </c>
    </row>
    <row r="110" spans="10:10" x14ac:dyDescent="0.3">
      <c r="J110" t="s">
        <v>200</v>
      </c>
    </row>
    <row r="111" spans="10:10" x14ac:dyDescent="0.3">
      <c r="J111" t="s">
        <v>203</v>
      </c>
    </row>
    <row r="112" spans="10:10" x14ac:dyDescent="0.3">
      <c r="J112" t="s">
        <v>205</v>
      </c>
    </row>
    <row r="113" spans="10:10" x14ac:dyDescent="0.3">
      <c r="J113" t="s">
        <v>207</v>
      </c>
    </row>
    <row r="114" spans="10:10" x14ac:dyDescent="0.3">
      <c r="J114" t="s">
        <v>210</v>
      </c>
    </row>
    <row r="115" spans="10:10" x14ac:dyDescent="0.3">
      <c r="J115" t="s">
        <v>212</v>
      </c>
    </row>
    <row r="116" spans="10:10" x14ac:dyDescent="0.3">
      <c r="J116" t="s">
        <v>214</v>
      </c>
    </row>
    <row r="117" spans="10:10" x14ac:dyDescent="0.3">
      <c r="J117" t="s">
        <v>216</v>
      </c>
    </row>
    <row r="118" spans="10:10" x14ac:dyDescent="0.3">
      <c r="J118" t="s">
        <v>218</v>
      </c>
    </row>
    <row r="119" spans="10:10" x14ac:dyDescent="0.3">
      <c r="J119" t="s">
        <v>220</v>
      </c>
    </row>
    <row r="120" spans="10:10" x14ac:dyDescent="0.3">
      <c r="J120" t="s">
        <v>222</v>
      </c>
    </row>
    <row r="121" spans="10:10" x14ac:dyDescent="0.3">
      <c r="J121" t="s">
        <v>224</v>
      </c>
    </row>
    <row r="122" spans="10:10" x14ac:dyDescent="0.3">
      <c r="J122" t="s">
        <v>226</v>
      </c>
    </row>
    <row r="123" spans="10:10" x14ac:dyDescent="0.3">
      <c r="J123" t="s">
        <v>228</v>
      </c>
    </row>
    <row r="124" spans="10:10" x14ac:dyDescent="0.3">
      <c r="J124" t="s">
        <v>230</v>
      </c>
    </row>
    <row r="125" spans="10:10" x14ac:dyDescent="0.3">
      <c r="J125" t="s">
        <v>232</v>
      </c>
    </row>
    <row r="126" spans="10:10" x14ac:dyDescent="0.3">
      <c r="J126" t="s">
        <v>234</v>
      </c>
    </row>
    <row r="127" spans="10:10" x14ac:dyDescent="0.3">
      <c r="J127" t="s">
        <v>236</v>
      </c>
    </row>
    <row r="128" spans="10:10" x14ac:dyDescent="0.3">
      <c r="J128" t="s">
        <v>237</v>
      </c>
    </row>
    <row r="129" spans="10:10" x14ac:dyDescent="0.3">
      <c r="J129" t="s">
        <v>238</v>
      </c>
    </row>
    <row r="130" spans="10:10" x14ac:dyDescent="0.3">
      <c r="J130" t="s">
        <v>239</v>
      </c>
    </row>
    <row r="131" spans="10:10" x14ac:dyDescent="0.3">
      <c r="J131" t="s">
        <v>242</v>
      </c>
    </row>
    <row r="132" spans="10:10" x14ac:dyDescent="0.3">
      <c r="J132" t="s">
        <v>245</v>
      </c>
    </row>
    <row r="133" spans="10:10" x14ac:dyDescent="0.3">
      <c r="J133" t="s">
        <v>247</v>
      </c>
    </row>
    <row r="134" spans="10:10" x14ac:dyDescent="0.3">
      <c r="J134" t="s">
        <v>249</v>
      </c>
    </row>
    <row r="135" spans="10:10" x14ac:dyDescent="0.3">
      <c r="J135" t="s">
        <v>251</v>
      </c>
    </row>
    <row r="136" spans="10:10" x14ac:dyDescent="0.3">
      <c r="J136" t="s">
        <v>253</v>
      </c>
    </row>
    <row r="137" spans="10:10" x14ac:dyDescent="0.3">
      <c r="J137" t="s">
        <v>254</v>
      </c>
    </row>
    <row r="138" spans="10:10" x14ac:dyDescent="0.3">
      <c r="J138" t="s">
        <v>255</v>
      </c>
    </row>
    <row r="139" spans="10:10" x14ac:dyDescent="0.3">
      <c r="J139" t="s">
        <v>256</v>
      </c>
    </row>
    <row r="140" spans="10:10" x14ac:dyDescent="0.3">
      <c r="J140" t="s">
        <v>258</v>
      </c>
    </row>
    <row r="141" spans="10:10" x14ac:dyDescent="0.3">
      <c r="J141" t="s">
        <v>259</v>
      </c>
    </row>
    <row r="142" spans="10:10" x14ac:dyDescent="0.3">
      <c r="J142" t="s">
        <v>261</v>
      </c>
    </row>
    <row r="143" spans="10:10" x14ac:dyDescent="0.3">
      <c r="J143" t="s">
        <v>263</v>
      </c>
    </row>
    <row r="144" spans="10:10" x14ac:dyDescent="0.3">
      <c r="J144" t="s">
        <v>266</v>
      </c>
    </row>
    <row r="145" spans="10:10" x14ac:dyDescent="0.3">
      <c r="J145" t="s">
        <v>267</v>
      </c>
    </row>
    <row r="146" spans="10:10" x14ac:dyDescent="0.3">
      <c r="J146" t="s">
        <v>269</v>
      </c>
    </row>
    <row r="147" spans="10:10" x14ac:dyDescent="0.3">
      <c r="J147" t="s">
        <v>271</v>
      </c>
    </row>
    <row r="148" spans="10:10" x14ac:dyDescent="0.3">
      <c r="J148" t="s">
        <v>273</v>
      </c>
    </row>
    <row r="149" spans="10:10" x14ac:dyDescent="0.3">
      <c r="J149" t="s">
        <v>275</v>
      </c>
    </row>
    <row r="150" spans="10:10" x14ac:dyDescent="0.3">
      <c r="J150" t="s">
        <v>1561</v>
      </c>
    </row>
    <row r="151" spans="10:10" x14ac:dyDescent="0.3">
      <c r="J151" t="s">
        <v>279</v>
      </c>
    </row>
    <row r="152" spans="10:10" x14ac:dyDescent="0.3">
      <c r="J152" t="s">
        <v>281</v>
      </c>
    </row>
    <row r="153" spans="10:10" x14ac:dyDescent="0.3">
      <c r="J153" t="s">
        <v>284</v>
      </c>
    </row>
    <row r="154" spans="10:10" x14ac:dyDescent="0.3">
      <c r="J154" t="s">
        <v>287</v>
      </c>
    </row>
    <row r="155" spans="10:10" x14ac:dyDescent="0.3">
      <c r="J155" t="s">
        <v>1562</v>
      </c>
    </row>
    <row r="156" spans="10:10" x14ac:dyDescent="0.3">
      <c r="J156" t="s">
        <v>289</v>
      </c>
    </row>
    <row r="157" spans="10:10" x14ac:dyDescent="0.3">
      <c r="J157" t="s">
        <v>290</v>
      </c>
    </row>
    <row r="158" spans="10:10" x14ac:dyDescent="0.3">
      <c r="J158" t="s">
        <v>293</v>
      </c>
    </row>
    <row r="159" spans="10:10" x14ac:dyDescent="0.3">
      <c r="J159" t="s">
        <v>296</v>
      </c>
    </row>
    <row r="160" spans="10:10" x14ac:dyDescent="0.3">
      <c r="J160" t="s">
        <v>297</v>
      </c>
    </row>
    <row r="161" spans="10:10" x14ac:dyDescent="0.3">
      <c r="J161" t="s">
        <v>1563</v>
      </c>
    </row>
    <row r="162" spans="10:10" x14ac:dyDescent="0.3">
      <c r="J162" t="s">
        <v>298</v>
      </c>
    </row>
    <row r="163" spans="10:10" x14ac:dyDescent="0.3">
      <c r="J163" t="s">
        <v>299</v>
      </c>
    </row>
    <row r="164" spans="10:10" x14ac:dyDescent="0.3">
      <c r="J164" t="s">
        <v>301</v>
      </c>
    </row>
    <row r="165" spans="10:10" x14ac:dyDescent="0.3">
      <c r="J165" t="s">
        <v>303</v>
      </c>
    </row>
    <row r="166" spans="10:10" x14ac:dyDescent="0.3">
      <c r="J166" t="s">
        <v>305</v>
      </c>
    </row>
    <row r="167" spans="10:10" x14ac:dyDescent="0.3">
      <c r="J167" t="s">
        <v>307</v>
      </c>
    </row>
    <row r="168" spans="10:10" x14ac:dyDescent="0.3">
      <c r="J168" t="s">
        <v>309</v>
      </c>
    </row>
    <row r="169" spans="10:10" x14ac:dyDescent="0.3">
      <c r="J169" t="s">
        <v>310</v>
      </c>
    </row>
    <row r="170" spans="10:10" x14ac:dyDescent="0.3">
      <c r="J170" t="s">
        <v>312</v>
      </c>
    </row>
    <row r="171" spans="10:10" x14ac:dyDescent="0.3">
      <c r="J171" t="s">
        <v>314</v>
      </c>
    </row>
    <row r="172" spans="10:10" x14ac:dyDescent="0.3">
      <c r="J172" t="s">
        <v>315</v>
      </c>
    </row>
    <row r="173" spans="10:10" x14ac:dyDescent="0.3">
      <c r="J173" t="s">
        <v>318</v>
      </c>
    </row>
    <row r="174" spans="10:10" x14ac:dyDescent="0.3">
      <c r="J174" t="s">
        <v>320</v>
      </c>
    </row>
    <row r="175" spans="10:10" x14ac:dyDescent="0.3">
      <c r="J175" t="s">
        <v>321</v>
      </c>
    </row>
    <row r="176" spans="10:10" x14ac:dyDescent="0.3">
      <c r="J176" t="s">
        <v>323</v>
      </c>
    </row>
    <row r="177" spans="10:10" x14ac:dyDescent="0.3">
      <c r="J177" t="s">
        <v>325</v>
      </c>
    </row>
    <row r="178" spans="10:10" x14ac:dyDescent="0.3">
      <c r="J178" t="s">
        <v>326</v>
      </c>
    </row>
    <row r="179" spans="10:10" x14ac:dyDescent="0.3">
      <c r="J179" t="s">
        <v>328</v>
      </c>
    </row>
    <row r="180" spans="10:10" x14ac:dyDescent="0.3">
      <c r="J180" t="s">
        <v>329</v>
      </c>
    </row>
    <row r="181" spans="10:10" x14ac:dyDescent="0.3">
      <c r="J181" t="s">
        <v>331</v>
      </c>
    </row>
    <row r="182" spans="10:10" x14ac:dyDescent="0.3">
      <c r="J182" t="s">
        <v>334</v>
      </c>
    </row>
    <row r="183" spans="10:10" x14ac:dyDescent="0.3">
      <c r="J183" t="s">
        <v>337</v>
      </c>
    </row>
    <row r="184" spans="10:10" x14ac:dyDescent="0.3">
      <c r="J184" t="s">
        <v>339</v>
      </c>
    </row>
    <row r="185" spans="10:10" x14ac:dyDescent="0.3">
      <c r="J185" t="s">
        <v>341</v>
      </c>
    </row>
    <row r="186" spans="10:10" x14ac:dyDescent="0.3">
      <c r="J186" t="s">
        <v>342</v>
      </c>
    </row>
    <row r="187" spans="10:10" x14ac:dyDescent="0.3">
      <c r="J187" t="s">
        <v>344</v>
      </c>
    </row>
    <row r="188" spans="10:10" x14ac:dyDescent="0.3">
      <c r="J188" t="s">
        <v>346</v>
      </c>
    </row>
    <row r="189" spans="10:10" x14ac:dyDescent="0.3">
      <c r="J189" t="s">
        <v>349</v>
      </c>
    </row>
    <row r="190" spans="10:10" x14ac:dyDescent="0.3">
      <c r="J190" t="s">
        <v>350</v>
      </c>
    </row>
    <row r="191" spans="10:10" x14ac:dyDescent="0.3">
      <c r="J191" t="s">
        <v>351</v>
      </c>
    </row>
    <row r="192" spans="10:10" x14ac:dyDescent="0.3">
      <c r="J192" t="s">
        <v>353</v>
      </c>
    </row>
    <row r="193" spans="10:10" x14ac:dyDescent="0.3">
      <c r="J193" t="s">
        <v>354</v>
      </c>
    </row>
    <row r="194" spans="10:10" x14ac:dyDescent="0.3">
      <c r="J194" t="s">
        <v>355</v>
      </c>
    </row>
    <row r="195" spans="10:10" x14ac:dyDescent="0.3">
      <c r="J195" t="s">
        <v>356</v>
      </c>
    </row>
    <row r="196" spans="10:10" x14ac:dyDescent="0.3">
      <c r="J196" t="s">
        <v>357</v>
      </c>
    </row>
    <row r="197" spans="10:10" x14ac:dyDescent="0.3">
      <c r="J197" t="s">
        <v>359</v>
      </c>
    </row>
    <row r="198" spans="10:10" x14ac:dyDescent="0.3">
      <c r="J198" t="s">
        <v>360</v>
      </c>
    </row>
    <row r="199" spans="10:10" x14ac:dyDescent="0.3">
      <c r="J199" t="s">
        <v>361</v>
      </c>
    </row>
    <row r="200" spans="10:10" x14ac:dyDescent="0.3">
      <c r="J200" t="s">
        <v>363</v>
      </c>
    </row>
    <row r="201" spans="10:10" x14ac:dyDescent="0.3">
      <c r="J201" t="s">
        <v>364</v>
      </c>
    </row>
    <row r="202" spans="10:10" x14ac:dyDescent="0.3">
      <c r="J202" t="s">
        <v>366</v>
      </c>
    </row>
    <row r="203" spans="10:10" x14ac:dyDescent="0.3">
      <c r="J203" t="s">
        <v>367</v>
      </c>
    </row>
    <row r="204" spans="10:10" x14ac:dyDescent="0.3">
      <c r="J204" t="s">
        <v>368</v>
      </c>
    </row>
    <row r="205" spans="10:10" x14ac:dyDescent="0.3">
      <c r="J205" t="s">
        <v>369</v>
      </c>
    </row>
    <row r="206" spans="10:10" x14ac:dyDescent="0.3">
      <c r="J206" t="s">
        <v>371</v>
      </c>
    </row>
    <row r="207" spans="10:10" x14ac:dyDescent="0.3">
      <c r="J207" t="s">
        <v>372</v>
      </c>
    </row>
    <row r="208" spans="10:10" x14ac:dyDescent="0.3">
      <c r="J208" t="s">
        <v>375</v>
      </c>
    </row>
    <row r="209" spans="10:10" x14ac:dyDescent="0.3">
      <c r="J209" t="s">
        <v>376</v>
      </c>
    </row>
    <row r="210" spans="10:10" x14ac:dyDescent="0.3">
      <c r="J210" t="s">
        <v>377</v>
      </c>
    </row>
    <row r="211" spans="10:10" x14ac:dyDescent="0.3">
      <c r="J211" t="s">
        <v>378</v>
      </c>
    </row>
    <row r="212" spans="10:10" x14ac:dyDescent="0.3">
      <c r="J212" t="s">
        <v>379</v>
      </c>
    </row>
    <row r="213" spans="10:10" x14ac:dyDescent="0.3">
      <c r="J213" t="s">
        <v>380</v>
      </c>
    </row>
    <row r="214" spans="10:10" x14ac:dyDescent="0.3">
      <c r="J214" t="s">
        <v>382</v>
      </c>
    </row>
    <row r="215" spans="10:10" x14ac:dyDescent="0.3">
      <c r="J215" t="s">
        <v>383</v>
      </c>
    </row>
    <row r="216" spans="10:10" x14ac:dyDescent="0.3">
      <c r="J216" t="s">
        <v>384</v>
      </c>
    </row>
    <row r="217" spans="10:10" x14ac:dyDescent="0.3">
      <c r="J217" t="s">
        <v>386</v>
      </c>
    </row>
    <row r="218" spans="10:10" x14ac:dyDescent="0.3">
      <c r="J218" t="s">
        <v>387</v>
      </c>
    </row>
    <row r="219" spans="10:10" x14ac:dyDescent="0.3">
      <c r="J219" t="s">
        <v>388</v>
      </c>
    </row>
    <row r="220" spans="10:10" x14ac:dyDescent="0.3">
      <c r="J220" t="s">
        <v>390</v>
      </c>
    </row>
    <row r="221" spans="10:10" x14ac:dyDescent="0.3">
      <c r="J221" t="s">
        <v>391</v>
      </c>
    </row>
    <row r="222" spans="10:10" x14ac:dyDescent="0.3">
      <c r="J222" t="s">
        <v>392</v>
      </c>
    </row>
    <row r="223" spans="10:10" x14ac:dyDescent="0.3">
      <c r="J223" t="s">
        <v>394</v>
      </c>
    </row>
    <row r="224" spans="10:10" x14ac:dyDescent="0.3">
      <c r="J224" t="s">
        <v>395</v>
      </c>
    </row>
    <row r="225" spans="10:10" x14ac:dyDescent="0.3">
      <c r="J225" t="s">
        <v>396</v>
      </c>
    </row>
    <row r="226" spans="10:10" x14ac:dyDescent="0.3">
      <c r="J226" t="s">
        <v>397</v>
      </c>
    </row>
    <row r="227" spans="10:10" x14ac:dyDescent="0.3">
      <c r="J227" t="s">
        <v>398</v>
      </c>
    </row>
    <row r="228" spans="10:10" x14ac:dyDescent="0.3">
      <c r="J228" t="s">
        <v>399</v>
      </c>
    </row>
    <row r="229" spans="10:10" x14ac:dyDescent="0.3">
      <c r="J229" t="s">
        <v>400</v>
      </c>
    </row>
    <row r="230" spans="10:10" x14ac:dyDescent="0.3">
      <c r="J230" t="s">
        <v>402</v>
      </c>
    </row>
    <row r="231" spans="10:10" x14ac:dyDescent="0.3">
      <c r="J231" t="s">
        <v>403</v>
      </c>
    </row>
    <row r="232" spans="10:10" x14ac:dyDescent="0.3">
      <c r="J232" t="s">
        <v>404</v>
      </c>
    </row>
    <row r="233" spans="10:10" x14ac:dyDescent="0.3">
      <c r="J233" t="s">
        <v>405</v>
      </c>
    </row>
    <row r="234" spans="10:10" x14ac:dyDescent="0.3">
      <c r="J234" t="s">
        <v>406</v>
      </c>
    </row>
    <row r="235" spans="10:10" x14ac:dyDescent="0.3">
      <c r="J235" t="s">
        <v>408</v>
      </c>
    </row>
    <row r="236" spans="10:10" x14ac:dyDescent="0.3">
      <c r="J236" t="s">
        <v>409</v>
      </c>
    </row>
    <row r="237" spans="10:10" x14ac:dyDescent="0.3">
      <c r="J237" t="s">
        <v>411</v>
      </c>
    </row>
    <row r="238" spans="10:10" x14ac:dyDescent="0.3">
      <c r="J238" t="s">
        <v>414</v>
      </c>
    </row>
    <row r="239" spans="10:10" x14ac:dyDescent="0.3">
      <c r="J239" t="s">
        <v>416</v>
      </c>
    </row>
    <row r="240" spans="10:10" x14ac:dyDescent="0.3">
      <c r="J240" t="s">
        <v>418</v>
      </c>
    </row>
    <row r="241" spans="10:10" x14ac:dyDescent="0.3">
      <c r="J241" t="s">
        <v>419</v>
      </c>
    </row>
    <row r="242" spans="10:10" x14ac:dyDescent="0.3">
      <c r="J242" t="s">
        <v>420</v>
      </c>
    </row>
    <row r="243" spans="10:10" x14ac:dyDescent="0.3">
      <c r="J243" t="s">
        <v>421</v>
      </c>
    </row>
    <row r="244" spans="10:10" x14ac:dyDescent="0.3">
      <c r="J244" t="s">
        <v>423</v>
      </c>
    </row>
    <row r="245" spans="10:10" x14ac:dyDescent="0.3">
      <c r="J245" t="s">
        <v>424</v>
      </c>
    </row>
    <row r="246" spans="10:10" x14ac:dyDescent="0.3">
      <c r="J246" t="s">
        <v>426</v>
      </c>
    </row>
    <row r="247" spans="10:10" x14ac:dyDescent="0.3">
      <c r="J247" t="s">
        <v>427</v>
      </c>
    </row>
    <row r="248" spans="10:10" x14ac:dyDescent="0.3">
      <c r="J248" t="s">
        <v>429</v>
      </c>
    </row>
    <row r="249" spans="10:10" x14ac:dyDescent="0.3">
      <c r="J249" t="s">
        <v>430</v>
      </c>
    </row>
    <row r="250" spans="10:10" x14ac:dyDescent="0.3">
      <c r="J250" t="s">
        <v>432</v>
      </c>
    </row>
    <row r="251" spans="10:10" x14ac:dyDescent="0.3">
      <c r="J251" t="s">
        <v>434</v>
      </c>
    </row>
    <row r="252" spans="10:10" x14ac:dyDescent="0.3">
      <c r="J252" t="s">
        <v>436</v>
      </c>
    </row>
    <row r="253" spans="10:10" x14ac:dyDescent="0.3">
      <c r="J253" t="s">
        <v>437</v>
      </c>
    </row>
    <row r="254" spans="10:10" x14ac:dyDescent="0.3">
      <c r="J254" t="s">
        <v>439</v>
      </c>
    </row>
    <row r="255" spans="10:10" x14ac:dyDescent="0.3">
      <c r="J255" t="s">
        <v>441</v>
      </c>
    </row>
    <row r="256" spans="10:10" x14ac:dyDescent="0.3">
      <c r="J256" t="s">
        <v>442</v>
      </c>
    </row>
    <row r="257" spans="10:10" x14ac:dyDescent="0.3">
      <c r="J257" t="s">
        <v>444</v>
      </c>
    </row>
    <row r="258" spans="10:10" x14ac:dyDescent="0.3">
      <c r="J258" t="s">
        <v>445</v>
      </c>
    </row>
    <row r="259" spans="10:10" x14ac:dyDescent="0.3">
      <c r="J259" t="s">
        <v>446</v>
      </c>
    </row>
    <row r="260" spans="10:10" x14ac:dyDescent="0.3">
      <c r="J260" t="s">
        <v>447</v>
      </c>
    </row>
    <row r="261" spans="10:10" x14ac:dyDescent="0.3">
      <c r="J261" t="s">
        <v>449</v>
      </c>
    </row>
    <row r="262" spans="10:10" x14ac:dyDescent="0.3">
      <c r="J262" t="s">
        <v>450</v>
      </c>
    </row>
    <row r="263" spans="10:10" x14ac:dyDescent="0.3">
      <c r="J263" t="s">
        <v>454</v>
      </c>
    </row>
    <row r="264" spans="10:10" x14ac:dyDescent="0.3">
      <c r="J264" t="s">
        <v>455</v>
      </c>
    </row>
    <row r="265" spans="10:10" x14ac:dyDescent="0.3">
      <c r="J265" t="s">
        <v>458</v>
      </c>
    </row>
    <row r="266" spans="10:10" x14ac:dyDescent="0.3">
      <c r="J266" t="s">
        <v>459</v>
      </c>
    </row>
    <row r="267" spans="10:10" x14ac:dyDescent="0.3">
      <c r="J267" t="s">
        <v>460</v>
      </c>
    </row>
    <row r="268" spans="10:10" x14ac:dyDescent="0.3">
      <c r="J268" t="s">
        <v>462</v>
      </c>
    </row>
    <row r="269" spans="10:10" x14ac:dyDescent="0.3">
      <c r="J269" t="s">
        <v>464</v>
      </c>
    </row>
    <row r="270" spans="10:10" x14ac:dyDescent="0.3">
      <c r="J270" t="s">
        <v>465</v>
      </c>
    </row>
    <row r="271" spans="10:10" x14ac:dyDescent="0.3">
      <c r="J271" t="s">
        <v>467</v>
      </c>
    </row>
    <row r="272" spans="10:10" x14ac:dyDescent="0.3">
      <c r="J272" t="s">
        <v>468</v>
      </c>
    </row>
    <row r="273" spans="10:10" x14ac:dyDescent="0.3">
      <c r="J273" t="s">
        <v>469</v>
      </c>
    </row>
    <row r="274" spans="10:10" x14ac:dyDescent="0.3">
      <c r="J274" t="s">
        <v>470</v>
      </c>
    </row>
    <row r="275" spans="10:10" x14ac:dyDescent="0.3">
      <c r="J275" t="s">
        <v>471</v>
      </c>
    </row>
    <row r="276" spans="10:10" x14ac:dyDescent="0.3">
      <c r="J276" t="s">
        <v>472</v>
      </c>
    </row>
    <row r="277" spans="10:10" x14ac:dyDescent="0.3">
      <c r="J277" t="s">
        <v>473</v>
      </c>
    </row>
    <row r="278" spans="10:10" x14ac:dyDescent="0.3">
      <c r="J278" t="s">
        <v>474</v>
      </c>
    </row>
    <row r="279" spans="10:10" x14ac:dyDescent="0.3">
      <c r="J279" t="s">
        <v>475</v>
      </c>
    </row>
    <row r="280" spans="10:10" x14ac:dyDescent="0.3">
      <c r="J280" t="s">
        <v>477</v>
      </c>
    </row>
    <row r="281" spans="10:10" x14ac:dyDescent="0.3">
      <c r="J281" t="s">
        <v>478</v>
      </c>
    </row>
    <row r="282" spans="10:10" x14ac:dyDescent="0.3">
      <c r="J282" t="s">
        <v>481</v>
      </c>
    </row>
    <row r="283" spans="10:10" x14ac:dyDescent="0.3">
      <c r="J283" t="s">
        <v>482</v>
      </c>
    </row>
    <row r="284" spans="10:10" x14ac:dyDescent="0.3">
      <c r="J284" t="s">
        <v>488</v>
      </c>
    </row>
    <row r="285" spans="10:10" x14ac:dyDescent="0.3">
      <c r="J285" t="s">
        <v>489</v>
      </c>
    </row>
    <row r="286" spans="10:10" x14ac:dyDescent="0.3">
      <c r="J286" t="s">
        <v>492</v>
      </c>
    </row>
    <row r="287" spans="10:10" x14ac:dyDescent="0.3">
      <c r="J287" t="s">
        <v>494</v>
      </c>
    </row>
    <row r="288" spans="10:10" x14ac:dyDescent="0.3">
      <c r="J288" t="s">
        <v>497</v>
      </c>
    </row>
    <row r="289" spans="10:10" x14ac:dyDescent="0.3">
      <c r="J289" t="s">
        <v>499</v>
      </c>
    </row>
    <row r="290" spans="10:10" x14ac:dyDescent="0.3">
      <c r="J290" t="s">
        <v>501</v>
      </c>
    </row>
    <row r="291" spans="10:10" x14ac:dyDescent="0.3">
      <c r="J291" t="s">
        <v>503</v>
      </c>
    </row>
    <row r="292" spans="10:10" x14ac:dyDescent="0.3">
      <c r="J292" t="s">
        <v>505</v>
      </c>
    </row>
    <row r="293" spans="10:10" x14ac:dyDescent="0.3">
      <c r="J293" t="s">
        <v>507</v>
      </c>
    </row>
    <row r="294" spans="10:10" x14ac:dyDescent="0.3">
      <c r="J294" t="s">
        <v>509</v>
      </c>
    </row>
    <row r="295" spans="10:10" x14ac:dyDescent="0.3">
      <c r="J295" t="s">
        <v>511</v>
      </c>
    </row>
    <row r="296" spans="10:10" x14ac:dyDescent="0.3">
      <c r="J296" t="s">
        <v>513</v>
      </c>
    </row>
    <row r="297" spans="10:10" x14ac:dyDescent="0.3">
      <c r="J297" t="s">
        <v>515</v>
      </c>
    </row>
    <row r="298" spans="10:10" x14ac:dyDescent="0.3">
      <c r="J298" t="s">
        <v>517</v>
      </c>
    </row>
    <row r="299" spans="10:10" x14ac:dyDescent="0.3">
      <c r="J299" t="s">
        <v>519</v>
      </c>
    </row>
    <row r="300" spans="10:10" x14ac:dyDescent="0.3">
      <c r="J300" t="s">
        <v>521</v>
      </c>
    </row>
    <row r="301" spans="10:10" x14ac:dyDescent="0.3">
      <c r="J301" t="s">
        <v>523</v>
      </c>
    </row>
    <row r="302" spans="10:10" x14ac:dyDescent="0.3">
      <c r="J302" t="s">
        <v>525</v>
      </c>
    </row>
    <row r="303" spans="10:10" x14ac:dyDescent="0.3">
      <c r="J303" t="s">
        <v>527</v>
      </c>
    </row>
    <row r="304" spans="10:10" x14ac:dyDescent="0.3">
      <c r="J304" t="s">
        <v>529</v>
      </c>
    </row>
    <row r="305" spans="10:10" x14ac:dyDescent="0.3">
      <c r="J305" t="s">
        <v>532</v>
      </c>
    </row>
    <row r="306" spans="10:10" x14ac:dyDescent="0.3">
      <c r="J306" t="s">
        <v>534</v>
      </c>
    </row>
    <row r="307" spans="10:10" x14ac:dyDescent="0.3">
      <c r="J307" t="s">
        <v>536</v>
      </c>
    </row>
    <row r="308" spans="10:10" x14ac:dyDescent="0.3">
      <c r="J308" t="s">
        <v>538</v>
      </c>
    </row>
    <row r="309" spans="10:10" x14ac:dyDescent="0.3">
      <c r="J309" t="s">
        <v>540</v>
      </c>
    </row>
    <row r="310" spans="10:10" x14ac:dyDescent="0.3">
      <c r="J310" t="s">
        <v>543</v>
      </c>
    </row>
    <row r="311" spans="10:10" x14ac:dyDescent="0.3">
      <c r="J311" t="s">
        <v>545</v>
      </c>
    </row>
    <row r="312" spans="10:10" x14ac:dyDescent="0.3">
      <c r="J312" t="s">
        <v>547</v>
      </c>
    </row>
    <row r="313" spans="10:10" x14ac:dyDescent="0.3">
      <c r="J313" t="s">
        <v>548</v>
      </c>
    </row>
    <row r="314" spans="10:10" x14ac:dyDescent="0.3">
      <c r="J314" t="s">
        <v>549</v>
      </c>
    </row>
    <row r="315" spans="10:10" x14ac:dyDescent="0.3">
      <c r="J315" t="s">
        <v>551</v>
      </c>
    </row>
    <row r="316" spans="10:10" x14ac:dyDescent="0.3">
      <c r="J316" t="s">
        <v>552</v>
      </c>
    </row>
    <row r="317" spans="10:10" x14ac:dyDescent="0.3">
      <c r="J317" t="s">
        <v>553</v>
      </c>
    </row>
    <row r="318" spans="10:10" x14ac:dyDescent="0.3">
      <c r="J318" t="s">
        <v>554</v>
      </c>
    </row>
    <row r="319" spans="10:10" x14ac:dyDescent="0.3">
      <c r="J319" t="s">
        <v>556</v>
      </c>
    </row>
    <row r="320" spans="10:10" x14ac:dyDescent="0.3">
      <c r="J320" t="s">
        <v>558</v>
      </c>
    </row>
    <row r="321" spans="10:10" x14ac:dyDescent="0.3">
      <c r="J321" t="s">
        <v>559</v>
      </c>
    </row>
    <row r="322" spans="10:10" x14ac:dyDescent="0.3">
      <c r="J322" t="s">
        <v>560</v>
      </c>
    </row>
    <row r="323" spans="10:10" x14ac:dyDescent="0.3">
      <c r="J323" t="s">
        <v>561</v>
      </c>
    </row>
    <row r="324" spans="10:10" x14ac:dyDescent="0.3">
      <c r="J324" t="s">
        <v>562</v>
      </c>
    </row>
    <row r="325" spans="10:10" x14ac:dyDescent="0.3">
      <c r="J325" t="s">
        <v>563</v>
      </c>
    </row>
    <row r="326" spans="10:10" x14ac:dyDescent="0.3">
      <c r="J326" t="s">
        <v>565</v>
      </c>
    </row>
    <row r="327" spans="10:10" x14ac:dyDescent="0.3">
      <c r="J327" t="s">
        <v>566</v>
      </c>
    </row>
    <row r="328" spans="10:10" x14ac:dyDescent="0.3">
      <c r="J328" t="s">
        <v>567</v>
      </c>
    </row>
    <row r="329" spans="10:10" x14ac:dyDescent="0.3">
      <c r="J329" t="s">
        <v>568</v>
      </c>
    </row>
    <row r="330" spans="10:10" x14ac:dyDescent="0.3">
      <c r="J330" t="s">
        <v>570</v>
      </c>
    </row>
    <row r="331" spans="10:10" x14ac:dyDescent="0.3">
      <c r="J331" t="s">
        <v>571</v>
      </c>
    </row>
    <row r="332" spans="10:10" x14ac:dyDescent="0.3">
      <c r="J332" t="s">
        <v>573</v>
      </c>
    </row>
    <row r="333" spans="10:10" x14ac:dyDescent="0.3">
      <c r="J333" t="s">
        <v>574</v>
      </c>
    </row>
    <row r="334" spans="10:10" x14ac:dyDescent="0.3">
      <c r="J334" t="s">
        <v>575</v>
      </c>
    </row>
    <row r="335" spans="10:10" x14ac:dyDescent="0.3">
      <c r="J335" t="s">
        <v>577</v>
      </c>
    </row>
    <row r="336" spans="10:10" x14ac:dyDescent="0.3">
      <c r="J336" t="s">
        <v>578</v>
      </c>
    </row>
    <row r="337" spans="10:10" x14ac:dyDescent="0.3">
      <c r="J337" t="s">
        <v>579</v>
      </c>
    </row>
    <row r="338" spans="10:10" x14ac:dyDescent="0.3">
      <c r="J338" t="s">
        <v>580</v>
      </c>
    </row>
    <row r="339" spans="10:10" x14ac:dyDescent="0.3">
      <c r="J339" t="s">
        <v>582</v>
      </c>
    </row>
    <row r="340" spans="10:10" x14ac:dyDescent="0.3">
      <c r="J340" t="s">
        <v>584</v>
      </c>
    </row>
    <row r="341" spans="10:10" x14ac:dyDescent="0.3">
      <c r="J341" t="s">
        <v>585</v>
      </c>
    </row>
    <row r="342" spans="10:10" x14ac:dyDescent="0.3">
      <c r="J342" t="s">
        <v>587</v>
      </c>
    </row>
    <row r="343" spans="10:10" x14ac:dyDescent="0.3">
      <c r="J343" t="s">
        <v>588</v>
      </c>
    </row>
    <row r="344" spans="10:10" x14ac:dyDescent="0.3">
      <c r="J344" t="s">
        <v>590</v>
      </c>
    </row>
    <row r="345" spans="10:10" x14ac:dyDescent="0.3">
      <c r="J345" t="s">
        <v>591</v>
      </c>
    </row>
    <row r="346" spans="10:10" x14ac:dyDescent="0.3">
      <c r="J346" t="s">
        <v>592</v>
      </c>
    </row>
    <row r="347" spans="10:10" x14ac:dyDescent="0.3">
      <c r="J347" t="s">
        <v>593</v>
      </c>
    </row>
    <row r="348" spans="10:10" x14ac:dyDescent="0.3">
      <c r="J348" t="s">
        <v>595</v>
      </c>
    </row>
    <row r="349" spans="10:10" x14ac:dyDescent="0.3">
      <c r="J349" t="s">
        <v>596</v>
      </c>
    </row>
    <row r="350" spans="10:10" x14ac:dyDescent="0.3">
      <c r="J350" t="s">
        <v>597</v>
      </c>
    </row>
    <row r="351" spans="10:10" x14ac:dyDescent="0.3">
      <c r="J351" t="s">
        <v>598</v>
      </c>
    </row>
    <row r="352" spans="10:10" x14ac:dyDescent="0.3">
      <c r="J352" t="s">
        <v>600</v>
      </c>
    </row>
    <row r="353" spans="10:10" x14ac:dyDescent="0.3">
      <c r="J353" t="s">
        <v>601</v>
      </c>
    </row>
    <row r="354" spans="10:10" x14ac:dyDescent="0.3">
      <c r="J354" t="s">
        <v>602</v>
      </c>
    </row>
    <row r="355" spans="10:10" x14ac:dyDescent="0.3">
      <c r="J355" t="s">
        <v>604</v>
      </c>
    </row>
    <row r="356" spans="10:10" x14ac:dyDescent="0.3">
      <c r="J356" t="s">
        <v>605</v>
      </c>
    </row>
    <row r="357" spans="10:10" x14ac:dyDescent="0.3">
      <c r="J357" t="s">
        <v>607</v>
      </c>
    </row>
    <row r="358" spans="10:10" x14ac:dyDescent="0.3">
      <c r="J358" t="s">
        <v>608</v>
      </c>
    </row>
    <row r="359" spans="10:10" x14ac:dyDescent="0.3">
      <c r="J359" t="s">
        <v>610</v>
      </c>
    </row>
    <row r="360" spans="10:10" x14ac:dyDescent="0.3">
      <c r="J360" t="s">
        <v>612</v>
      </c>
    </row>
    <row r="361" spans="10:10" x14ac:dyDescent="0.3">
      <c r="J361" t="s">
        <v>614</v>
      </c>
    </row>
    <row r="362" spans="10:10" x14ac:dyDescent="0.3">
      <c r="J362" t="s">
        <v>616</v>
      </c>
    </row>
    <row r="363" spans="10:10" x14ac:dyDescent="0.3">
      <c r="J363" t="s">
        <v>617</v>
      </c>
    </row>
    <row r="364" spans="10:10" x14ac:dyDescent="0.3">
      <c r="J364" t="s">
        <v>619</v>
      </c>
    </row>
    <row r="365" spans="10:10" x14ac:dyDescent="0.3">
      <c r="J365" t="s">
        <v>620</v>
      </c>
    </row>
    <row r="366" spans="10:10" x14ac:dyDescent="0.3">
      <c r="J366" t="s">
        <v>621</v>
      </c>
    </row>
    <row r="367" spans="10:10" x14ac:dyDescent="0.3">
      <c r="J367" t="s">
        <v>623</v>
      </c>
    </row>
    <row r="368" spans="10:10" x14ac:dyDescent="0.3">
      <c r="J368" t="s">
        <v>625</v>
      </c>
    </row>
    <row r="369" spans="10:10" x14ac:dyDescent="0.3">
      <c r="J369" t="s">
        <v>627</v>
      </c>
    </row>
    <row r="370" spans="10:10" x14ac:dyDescent="0.3">
      <c r="J370" t="s">
        <v>629</v>
      </c>
    </row>
    <row r="371" spans="10:10" x14ac:dyDescent="0.3">
      <c r="J371" t="s">
        <v>630</v>
      </c>
    </row>
    <row r="372" spans="10:10" x14ac:dyDescent="0.3">
      <c r="J372" t="s">
        <v>631</v>
      </c>
    </row>
    <row r="373" spans="10:10" x14ac:dyDescent="0.3">
      <c r="J373" t="s">
        <v>633</v>
      </c>
    </row>
    <row r="374" spans="10:10" x14ac:dyDescent="0.3">
      <c r="J374" t="s">
        <v>635</v>
      </c>
    </row>
    <row r="375" spans="10:10" x14ac:dyDescent="0.3">
      <c r="J375" t="s">
        <v>636</v>
      </c>
    </row>
    <row r="376" spans="10:10" x14ac:dyDescent="0.3">
      <c r="J376" t="s">
        <v>638</v>
      </c>
    </row>
    <row r="377" spans="10:10" x14ac:dyDescent="0.3">
      <c r="J377" t="s">
        <v>640</v>
      </c>
    </row>
    <row r="378" spans="10:10" x14ac:dyDescent="0.3">
      <c r="J378" t="s">
        <v>642</v>
      </c>
    </row>
    <row r="379" spans="10:10" x14ac:dyDescent="0.3">
      <c r="J379" t="s">
        <v>644</v>
      </c>
    </row>
    <row r="380" spans="10:10" x14ac:dyDescent="0.3">
      <c r="J380" t="s">
        <v>645</v>
      </c>
    </row>
    <row r="381" spans="10:10" x14ac:dyDescent="0.3">
      <c r="J381" t="s">
        <v>646</v>
      </c>
    </row>
    <row r="382" spans="10:10" x14ac:dyDescent="0.3">
      <c r="J382" t="s">
        <v>648</v>
      </c>
    </row>
    <row r="383" spans="10:10" x14ac:dyDescent="0.3">
      <c r="J383" t="s">
        <v>649</v>
      </c>
    </row>
    <row r="384" spans="10:10" x14ac:dyDescent="0.3">
      <c r="J384" t="s">
        <v>650</v>
      </c>
    </row>
    <row r="385" spans="10:10" x14ac:dyDescent="0.3">
      <c r="J385" t="s">
        <v>652</v>
      </c>
    </row>
    <row r="386" spans="10:10" x14ac:dyDescent="0.3">
      <c r="J386" t="s">
        <v>654</v>
      </c>
    </row>
    <row r="387" spans="10:10" x14ac:dyDescent="0.3">
      <c r="J387" t="s">
        <v>656</v>
      </c>
    </row>
    <row r="388" spans="10:10" x14ac:dyDescent="0.3">
      <c r="J388" t="s">
        <v>658</v>
      </c>
    </row>
    <row r="389" spans="10:10" x14ac:dyDescent="0.3">
      <c r="J389" t="s">
        <v>660</v>
      </c>
    </row>
    <row r="390" spans="10:10" x14ac:dyDescent="0.3">
      <c r="J390" t="s">
        <v>661</v>
      </c>
    </row>
    <row r="391" spans="10:10" x14ac:dyDescent="0.3">
      <c r="J391" t="s">
        <v>663</v>
      </c>
    </row>
    <row r="392" spans="10:10" x14ac:dyDescent="0.3">
      <c r="J392" t="s">
        <v>664</v>
      </c>
    </row>
    <row r="393" spans="10:10" x14ac:dyDescent="0.3">
      <c r="J393" t="s">
        <v>666</v>
      </c>
    </row>
    <row r="394" spans="10:10" x14ac:dyDescent="0.3">
      <c r="J394" t="s">
        <v>668</v>
      </c>
    </row>
    <row r="395" spans="10:10" x14ac:dyDescent="0.3">
      <c r="J395" t="s">
        <v>669</v>
      </c>
    </row>
    <row r="396" spans="10:10" x14ac:dyDescent="0.3">
      <c r="J396" t="s">
        <v>671</v>
      </c>
    </row>
    <row r="397" spans="10:10" x14ac:dyDescent="0.3">
      <c r="J397" t="s">
        <v>672</v>
      </c>
    </row>
    <row r="398" spans="10:10" x14ac:dyDescent="0.3">
      <c r="J398" t="s">
        <v>674</v>
      </c>
    </row>
    <row r="399" spans="10:10" x14ac:dyDescent="0.3">
      <c r="J399" t="s">
        <v>675</v>
      </c>
    </row>
    <row r="400" spans="10:10" x14ac:dyDescent="0.3">
      <c r="J400" t="s">
        <v>676</v>
      </c>
    </row>
    <row r="401" spans="10:10" x14ac:dyDescent="0.3">
      <c r="J401" t="s">
        <v>678</v>
      </c>
    </row>
    <row r="402" spans="10:10" x14ac:dyDescent="0.3">
      <c r="J402" t="s">
        <v>680</v>
      </c>
    </row>
    <row r="403" spans="10:10" x14ac:dyDescent="0.3">
      <c r="J403" t="s">
        <v>682</v>
      </c>
    </row>
    <row r="404" spans="10:10" x14ac:dyDescent="0.3">
      <c r="J404" t="s">
        <v>684</v>
      </c>
    </row>
    <row r="405" spans="10:10" x14ac:dyDescent="0.3">
      <c r="J405" t="s">
        <v>687</v>
      </c>
    </row>
    <row r="406" spans="10:10" x14ac:dyDescent="0.3">
      <c r="J406" t="s">
        <v>688</v>
      </c>
    </row>
    <row r="407" spans="10:10" x14ac:dyDescent="0.3">
      <c r="J407" t="s">
        <v>689</v>
      </c>
    </row>
    <row r="408" spans="10:10" x14ac:dyDescent="0.3">
      <c r="J408" t="s">
        <v>691</v>
      </c>
    </row>
    <row r="409" spans="10:10" x14ac:dyDescent="0.3">
      <c r="J409" t="s">
        <v>692</v>
      </c>
    </row>
    <row r="410" spans="10:10" x14ac:dyDescent="0.3">
      <c r="J410" t="s">
        <v>693</v>
      </c>
    </row>
    <row r="411" spans="10:10" x14ac:dyDescent="0.3">
      <c r="J411" t="s">
        <v>695</v>
      </c>
    </row>
    <row r="412" spans="10:10" x14ac:dyDescent="0.3">
      <c r="J412" t="s">
        <v>697</v>
      </c>
    </row>
    <row r="413" spans="10:10" x14ac:dyDescent="0.3">
      <c r="J413" t="s">
        <v>698</v>
      </c>
    </row>
    <row r="414" spans="10:10" x14ac:dyDescent="0.3">
      <c r="J414" t="s">
        <v>700</v>
      </c>
    </row>
    <row r="415" spans="10:10" x14ac:dyDescent="0.3">
      <c r="J415" t="s">
        <v>701</v>
      </c>
    </row>
    <row r="416" spans="10:10" x14ac:dyDescent="0.3">
      <c r="J416" t="s">
        <v>703</v>
      </c>
    </row>
    <row r="417" spans="10:10" x14ac:dyDescent="0.3">
      <c r="J417" t="s">
        <v>704</v>
      </c>
    </row>
    <row r="418" spans="10:10" x14ac:dyDescent="0.3">
      <c r="J418" t="s">
        <v>706</v>
      </c>
    </row>
    <row r="419" spans="10:10" x14ac:dyDescent="0.3">
      <c r="J419" t="s">
        <v>707</v>
      </c>
    </row>
    <row r="420" spans="10:10" x14ac:dyDescent="0.3">
      <c r="J420" t="s">
        <v>709</v>
      </c>
    </row>
    <row r="421" spans="10:10" x14ac:dyDescent="0.3">
      <c r="J421" t="s">
        <v>712</v>
      </c>
    </row>
    <row r="422" spans="10:10" x14ac:dyDescent="0.3">
      <c r="J422" t="s">
        <v>714</v>
      </c>
    </row>
    <row r="423" spans="10:10" x14ac:dyDescent="0.3">
      <c r="J423" t="s">
        <v>716</v>
      </c>
    </row>
    <row r="424" spans="10:10" x14ac:dyDescent="0.3">
      <c r="J424" t="s">
        <v>717</v>
      </c>
    </row>
    <row r="425" spans="10:10" x14ac:dyDescent="0.3">
      <c r="J425" t="s">
        <v>1564</v>
      </c>
    </row>
    <row r="426" spans="10:10" x14ac:dyDescent="0.3">
      <c r="J426" t="s">
        <v>719</v>
      </c>
    </row>
    <row r="427" spans="10:10" x14ac:dyDescent="0.3">
      <c r="J427" t="s">
        <v>720</v>
      </c>
    </row>
    <row r="428" spans="10:10" x14ac:dyDescent="0.3">
      <c r="J428" t="s">
        <v>1565</v>
      </c>
    </row>
    <row r="429" spans="10:10" x14ac:dyDescent="0.3">
      <c r="J429" t="s">
        <v>1566</v>
      </c>
    </row>
    <row r="430" spans="10:10" x14ac:dyDescent="0.3">
      <c r="J430" t="s">
        <v>723</v>
      </c>
    </row>
    <row r="431" spans="10:10" x14ac:dyDescent="0.3">
      <c r="J431" t="s">
        <v>725</v>
      </c>
    </row>
    <row r="432" spans="10:10" x14ac:dyDescent="0.3">
      <c r="J432" t="s">
        <v>726</v>
      </c>
    </row>
    <row r="433" spans="10:10" x14ac:dyDescent="0.3">
      <c r="J433" t="s">
        <v>728</v>
      </c>
    </row>
    <row r="434" spans="10:10" x14ac:dyDescent="0.3">
      <c r="J434" t="s">
        <v>729</v>
      </c>
    </row>
    <row r="435" spans="10:10" x14ac:dyDescent="0.3">
      <c r="J435" t="s">
        <v>730</v>
      </c>
    </row>
    <row r="436" spans="10:10" x14ac:dyDescent="0.3">
      <c r="J436" t="s">
        <v>732</v>
      </c>
    </row>
    <row r="437" spans="10:10" x14ac:dyDescent="0.3">
      <c r="J437" t="s">
        <v>733</v>
      </c>
    </row>
    <row r="438" spans="10:10" x14ac:dyDescent="0.3">
      <c r="J438" t="s">
        <v>1567</v>
      </c>
    </row>
    <row r="439" spans="10:10" x14ac:dyDescent="0.3">
      <c r="J439" t="s">
        <v>735</v>
      </c>
    </row>
    <row r="440" spans="10:10" x14ac:dyDescent="0.3">
      <c r="J440" t="s">
        <v>736</v>
      </c>
    </row>
    <row r="441" spans="10:10" x14ac:dyDescent="0.3">
      <c r="J441" t="s">
        <v>738</v>
      </c>
    </row>
    <row r="442" spans="10:10" x14ac:dyDescent="0.3">
      <c r="J442" t="s">
        <v>739</v>
      </c>
    </row>
    <row r="443" spans="10:10" x14ac:dyDescent="0.3">
      <c r="J443" t="s">
        <v>451</v>
      </c>
    </row>
    <row r="444" spans="10:10" x14ac:dyDescent="0.3">
      <c r="J444" t="s">
        <v>740</v>
      </c>
    </row>
    <row r="445" spans="10:10" x14ac:dyDescent="0.3">
      <c r="J445" t="s">
        <v>487</v>
      </c>
    </row>
    <row r="446" spans="10:10" x14ac:dyDescent="0.3">
      <c r="J446" t="s">
        <v>742</v>
      </c>
    </row>
    <row r="447" spans="10:10" x14ac:dyDescent="0.3">
      <c r="J447" t="s">
        <v>743</v>
      </c>
    </row>
    <row r="448" spans="10:10" x14ac:dyDescent="0.3">
      <c r="J448" t="s">
        <v>745</v>
      </c>
    </row>
    <row r="449" spans="10:10" x14ac:dyDescent="0.3">
      <c r="J449" t="s">
        <v>747</v>
      </c>
    </row>
    <row r="450" spans="10:10" x14ac:dyDescent="0.3">
      <c r="J450" t="s">
        <v>749</v>
      </c>
    </row>
    <row r="451" spans="10:10" x14ac:dyDescent="0.3">
      <c r="J451" t="s">
        <v>754</v>
      </c>
    </row>
    <row r="452" spans="10:10" x14ac:dyDescent="0.3">
      <c r="J452" t="s">
        <v>756</v>
      </c>
    </row>
    <row r="453" spans="10:10" x14ac:dyDescent="0.3">
      <c r="J453" t="s">
        <v>758</v>
      </c>
    </row>
    <row r="454" spans="10:10" x14ac:dyDescent="0.3">
      <c r="J454" t="s">
        <v>760</v>
      </c>
    </row>
    <row r="455" spans="10:10" x14ac:dyDescent="0.3">
      <c r="J455" t="s">
        <v>762</v>
      </c>
    </row>
    <row r="456" spans="10:10" x14ac:dyDescent="0.3">
      <c r="J456" t="s">
        <v>765</v>
      </c>
    </row>
    <row r="457" spans="10:10" x14ac:dyDescent="0.3">
      <c r="J457" t="s">
        <v>769</v>
      </c>
    </row>
    <row r="458" spans="10:10" x14ac:dyDescent="0.3">
      <c r="J458" t="s">
        <v>771</v>
      </c>
    </row>
    <row r="459" spans="10:10" x14ac:dyDescent="0.3">
      <c r="J459" t="s">
        <v>448</v>
      </c>
    </row>
    <row r="460" spans="10:10" x14ac:dyDescent="0.3">
      <c r="J460" t="s">
        <v>773</v>
      </c>
    </row>
    <row r="461" spans="10:10" x14ac:dyDescent="0.3">
      <c r="J461" t="s">
        <v>775</v>
      </c>
    </row>
    <row r="462" spans="10:10" x14ac:dyDescent="0.3">
      <c r="J462" t="s">
        <v>780</v>
      </c>
    </row>
    <row r="463" spans="10:10" x14ac:dyDescent="0.3">
      <c r="J463" t="s">
        <v>781</v>
      </c>
    </row>
    <row r="464" spans="10:10" x14ac:dyDescent="0.3">
      <c r="J464" t="s">
        <v>783</v>
      </c>
    </row>
    <row r="465" spans="10:10" x14ac:dyDescent="0.3">
      <c r="J465" t="s">
        <v>784</v>
      </c>
    </row>
    <row r="466" spans="10:10" x14ac:dyDescent="0.3">
      <c r="J466" t="s">
        <v>786</v>
      </c>
    </row>
    <row r="467" spans="10:10" x14ac:dyDescent="0.3">
      <c r="J467" t="s">
        <v>788</v>
      </c>
    </row>
    <row r="468" spans="10:10" x14ac:dyDescent="0.3">
      <c r="J468" t="s">
        <v>789</v>
      </c>
    </row>
    <row r="469" spans="10:10" x14ac:dyDescent="0.3">
      <c r="J469" t="s">
        <v>791</v>
      </c>
    </row>
    <row r="470" spans="10:10" x14ac:dyDescent="0.3">
      <c r="J470" t="s">
        <v>792</v>
      </c>
    </row>
    <row r="471" spans="10:10" x14ac:dyDescent="0.3">
      <c r="J471" t="s">
        <v>793</v>
      </c>
    </row>
    <row r="472" spans="10:10" x14ac:dyDescent="0.3">
      <c r="J472" t="s">
        <v>794</v>
      </c>
    </row>
    <row r="473" spans="10:10" x14ac:dyDescent="0.3">
      <c r="J473" t="s">
        <v>796</v>
      </c>
    </row>
    <row r="474" spans="10:10" x14ac:dyDescent="0.3">
      <c r="J474" t="s">
        <v>798</v>
      </c>
    </row>
    <row r="475" spans="10:10" x14ac:dyDescent="0.3">
      <c r="J475" t="s">
        <v>800</v>
      </c>
    </row>
    <row r="476" spans="10:10" x14ac:dyDescent="0.3">
      <c r="J476" t="s">
        <v>802</v>
      </c>
    </row>
    <row r="477" spans="10:10" x14ac:dyDescent="0.3">
      <c r="J477" t="s">
        <v>804</v>
      </c>
    </row>
    <row r="478" spans="10:10" x14ac:dyDescent="0.3">
      <c r="J478" t="s">
        <v>806</v>
      </c>
    </row>
    <row r="479" spans="10:10" x14ac:dyDescent="0.3">
      <c r="J479" t="s">
        <v>807</v>
      </c>
    </row>
    <row r="480" spans="10:10" x14ac:dyDescent="0.3">
      <c r="J480" t="s">
        <v>809</v>
      </c>
    </row>
    <row r="481" spans="10:10" x14ac:dyDescent="0.3">
      <c r="J481" t="s">
        <v>810</v>
      </c>
    </row>
    <row r="482" spans="10:10" x14ac:dyDescent="0.3">
      <c r="J482" t="s">
        <v>811</v>
      </c>
    </row>
    <row r="483" spans="10:10" x14ac:dyDescent="0.3">
      <c r="J483" t="s">
        <v>812</v>
      </c>
    </row>
    <row r="484" spans="10:10" x14ac:dyDescent="0.3">
      <c r="J484" t="s">
        <v>813</v>
      </c>
    </row>
    <row r="485" spans="10:10" x14ac:dyDescent="0.3">
      <c r="J485" t="s">
        <v>814</v>
      </c>
    </row>
    <row r="486" spans="10:10" x14ac:dyDescent="0.3">
      <c r="J486" t="s">
        <v>816</v>
      </c>
    </row>
    <row r="487" spans="10:10" x14ac:dyDescent="0.3">
      <c r="J487" t="s">
        <v>818</v>
      </c>
    </row>
    <row r="488" spans="10:10" x14ac:dyDescent="0.3">
      <c r="J488" t="s">
        <v>819</v>
      </c>
    </row>
    <row r="489" spans="10:10" x14ac:dyDescent="0.3">
      <c r="J489" t="s">
        <v>820</v>
      </c>
    </row>
    <row r="490" spans="10:10" x14ac:dyDescent="0.3">
      <c r="J490" t="s">
        <v>821</v>
      </c>
    </row>
    <row r="491" spans="10:10" x14ac:dyDescent="0.3">
      <c r="J491" t="s">
        <v>823</v>
      </c>
    </row>
    <row r="492" spans="10:10" x14ac:dyDescent="0.3">
      <c r="J492" t="s">
        <v>825</v>
      </c>
    </row>
    <row r="493" spans="10:10" x14ac:dyDescent="0.3">
      <c r="J493" t="s">
        <v>826</v>
      </c>
    </row>
    <row r="494" spans="10:10" x14ac:dyDescent="0.3">
      <c r="J494" t="s">
        <v>827</v>
      </c>
    </row>
    <row r="495" spans="10:10" x14ac:dyDescent="0.3">
      <c r="J495" t="s">
        <v>828</v>
      </c>
    </row>
    <row r="496" spans="10:10" x14ac:dyDescent="0.3">
      <c r="J496" t="s">
        <v>830</v>
      </c>
    </row>
    <row r="497" spans="10:10" x14ac:dyDescent="0.3">
      <c r="J497" t="s">
        <v>832</v>
      </c>
    </row>
    <row r="498" spans="10:10" x14ac:dyDescent="0.3">
      <c r="J498" t="s">
        <v>835</v>
      </c>
    </row>
    <row r="499" spans="10:10" x14ac:dyDescent="0.3">
      <c r="J499" t="s">
        <v>838</v>
      </c>
    </row>
    <row r="500" spans="10:10" x14ac:dyDescent="0.3">
      <c r="J500" t="s">
        <v>840</v>
      </c>
    </row>
    <row r="501" spans="10:10" x14ac:dyDescent="0.3">
      <c r="J501" t="s">
        <v>842</v>
      </c>
    </row>
    <row r="502" spans="10:10" x14ac:dyDescent="0.3">
      <c r="J502" t="s">
        <v>844</v>
      </c>
    </row>
    <row r="503" spans="10:10" x14ac:dyDescent="0.3">
      <c r="J503" t="s">
        <v>846</v>
      </c>
    </row>
    <row r="504" spans="10:10" x14ac:dyDescent="0.3">
      <c r="J504" t="s">
        <v>848</v>
      </c>
    </row>
    <row r="505" spans="10:10" x14ac:dyDescent="0.3">
      <c r="J505" t="s">
        <v>850</v>
      </c>
    </row>
    <row r="506" spans="10:10" x14ac:dyDescent="0.3">
      <c r="J506" t="s">
        <v>851</v>
      </c>
    </row>
    <row r="507" spans="10:10" x14ac:dyDescent="0.3">
      <c r="J507" t="s">
        <v>853</v>
      </c>
    </row>
    <row r="508" spans="10:10" x14ac:dyDescent="0.3">
      <c r="J508" t="s">
        <v>854</v>
      </c>
    </row>
    <row r="509" spans="10:10" x14ac:dyDescent="0.3">
      <c r="J509" t="s">
        <v>856</v>
      </c>
    </row>
    <row r="510" spans="10:10" x14ac:dyDescent="0.3">
      <c r="J510" t="s">
        <v>857</v>
      </c>
    </row>
    <row r="511" spans="10:10" x14ac:dyDescent="0.3">
      <c r="J511" t="s">
        <v>859</v>
      </c>
    </row>
    <row r="512" spans="10:10" x14ac:dyDescent="0.3">
      <c r="J512" t="s">
        <v>860</v>
      </c>
    </row>
    <row r="513" spans="10:10" x14ac:dyDescent="0.3">
      <c r="J513" t="s">
        <v>861</v>
      </c>
    </row>
    <row r="514" spans="10:10" x14ac:dyDescent="0.3">
      <c r="J514" t="s">
        <v>862</v>
      </c>
    </row>
    <row r="515" spans="10:10" x14ac:dyDescent="0.3">
      <c r="J515" t="s">
        <v>863</v>
      </c>
    </row>
    <row r="516" spans="10:10" x14ac:dyDescent="0.3">
      <c r="J516" t="s">
        <v>865</v>
      </c>
    </row>
    <row r="517" spans="10:10" x14ac:dyDescent="0.3">
      <c r="J517" t="s">
        <v>867</v>
      </c>
    </row>
    <row r="518" spans="10:10" x14ac:dyDescent="0.3">
      <c r="J518" t="s">
        <v>869</v>
      </c>
    </row>
    <row r="519" spans="10:10" x14ac:dyDescent="0.3">
      <c r="J519" t="s">
        <v>871</v>
      </c>
    </row>
    <row r="520" spans="10:10" x14ac:dyDescent="0.3">
      <c r="J520" t="s">
        <v>873</v>
      </c>
    </row>
    <row r="521" spans="10:10" x14ac:dyDescent="0.3">
      <c r="J521" t="s">
        <v>874</v>
      </c>
    </row>
    <row r="522" spans="10:10" x14ac:dyDescent="0.3">
      <c r="J522" t="s">
        <v>875</v>
      </c>
    </row>
    <row r="523" spans="10:10" x14ac:dyDescent="0.3">
      <c r="J523" t="s">
        <v>453</v>
      </c>
    </row>
    <row r="524" spans="10:10" x14ac:dyDescent="0.3">
      <c r="J524" t="s">
        <v>876</v>
      </c>
    </row>
    <row r="525" spans="10:10" x14ac:dyDescent="0.3">
      <c r="J525" t="s">
        <v>456</v>
      </c>
    </row>
    <row r="526" spans="10:10" x14ac:dyDescent="0.3">
      <c r="J526" t="s">
        <v>877</v>
      </c>
    </row>
    <row r="527" spans="10:10" x14ac:dyDescent="0.3">
      <c r="J527" t="s">
        <v>879</v>
      </c>
    </row>
    <row r="528" spans="10:10" x14ac:dyDescent="0.3">
      <c r="J528" t="s">
        <v>880</v>
      </c>
    </row>
    <row r="529" spans="10:10" x14ac:dyDescent="0.3">
      <c r="J529" t="s">
        <v>881</v>
      </c>
    </row>
    <row r="530" spans="10:10" x14ac:dyDescent="0.3">
      <c r="J530" t="s">
        <v>882</v>
      </c>
    </row>
    <row r="531" spans="10:10" x14ac:dyDescent="0.3">
      <c r="J531" t="s">
        <v>479</v>
      </c>
    </row>
    <row r="532" spans="10:10" x14ac:dyDescent="0.3">
      <c r="J532" t="s">
        <v>480</v>
      </c>
    </row>
    <row r="533" spans="10:10" x14ac:dyDescent="0.3">
      <c r="J533" t="s">
        <v>883</v>
      </c>
    </row>
    <row r="534" spans="10:10" x14ac:dyDescent="0.3">
      <c r="J534" t="s">
        <v>888</v>
      </c>
    </row>
    <row r="535" spans="10:10" x14ac:dyDescent="0.3">
      <c r="J535" t="s">
        <v>890</v>
      </c>
    </row>
    <row r="536" spans="10:10" x14ac:dyDescent="0.3">
      <c r="J536" t="s">
        <v>892</v>
      </c>
    </row>
    <row r="537" spans="10:10" x14ac:dyDescent="0.3">
      <c r="J537" t="s">
        <v>896</v>
      </c>
    </row>
    <row r="538" spans="10:10" x14ac:dyDescent="0.3">
      <c r="J538" t="s">
        <v>898</v>
      </c>
    </row>
    <row r="539" spans="10:10" x14ac:dyDescent="0.3">
      <c r="J539" t="s">
        <v>900</v>
      </c>
    </row>
    <row r="540" spans="10:10" x14ac:dyDescent="0.3">
      <c r="J540" t="s">
        <v>901</v>
      </c>
    </row>
    <row r="541" spans="10:10" x14ac:dyDescent="0.3">
      <c r="J541" t="s">
        <v>902</v>
      </c>
    </row>
    <row r="542" spans="10:10" x14ac:dyDescent="0.3">
      <c r="J542" t="s">
        <v>903</v>
      </c>
    </row>
    <row r="543" spans="10:10" x14ac:dyDescent="0.3">
      <c r="J543" t="s">
        <v>904</v>
      </c>
    </row>
    <row r="544" spans="10:10" x14ac:dyDescent="0.3">
      <c r="J544" t="s">
        <v>905</v>
      </c>
    </row>
    <row r="545" spans="10:10" x14ac:dyDescent="0.3">
      <c r="J545" t="s">
        <v>907</v>
      </c>
    </row>
    <row r="546" spans="10:10" x14ac:dyDescent="0.3">
      <c r="J546" t="s">
        <v>908</v>
      </c>
    </row>
    <row r="547" spans="10:10" x14ac:dyDescent="0.3">
      <c r="J547" t="s">
        <v>910</v>
      </c>
    </row>
    <row r="548" spans="10:10" x14ac:dyDescent="0.3">
      <c r="J548" t="s">
        <v>912</v>
      </c>
    </row>
    <row r="549" spans="10:10" x14ac:dyDescent="0.3">
      <c r="J549" t="s">
        <v>913</v>
      </c>
    </row>
    <row r="550" spans="10:10" x14ac:dyDescent="0.3">
      <c r="J550" t="s">
        <v>915</v>
      </c>
    </row>
    <row r="551" spans="10:10" x14ac:dyDescent="0.3">
      <c r="J551" t="s">
        <v>916</v>
      </c>
    </row>
    <row r="552" spans="10:10" x14ac:dyDescent="0.3">
      <c r="J552" t="s">
        <v>918</v>
      </c>
    </row>
    <row r="553" spans="10:10" x14ac:dyDescent="0.3">
      <c r="J553" t="s">
        <v>920</v>
      </c>
    </row>
    <row r="554" spans="10:10" x14ac:dyDescent="0.3">
      <c r="J554" t="s">
        <v>922</v>
      </c>
    </row>
    <row r="555" spans="10:10" x14ac:dyDescent="0.3">
      <c r="J555" t="s">
        <v>923</v>
      </c>
    </row>
    <row r="556" spans="10:10" x14ac:dyDescent="0.3">
      <c r="J556" t="s">
        <v>925</v>
      </c>
    </row>
    <row r="557" spans="10:10" x14ac:dyDescent="0.3">
      <c r="J557" t="s">
        <v>927</v>
      </c>
    </row>
    <row r="558" spans="10:10" x14ac:dyDescent="0.3">
      <c r="J558" t="s">
        <v>929</v>
      </c>
    </row>
    <row r="559" spans="10:10" x14ac:dyDescent="0.3">
      <c r="J559" t="s">
        <v>930</v>
      </c>
    </row>
    <row r="560" spans="10:10" x14ac:dyDescent="0.3">
      <c r="J560" t="s">
        <v>934</v>
      </c>
    </row>
    <row r="561" spans="10:10" x14ac:dyDescent="0.3">
      <c r="J561" t="s">
        <v>936</v>
      </c>
    </row>
    <row r="562" spans="10:10" x14ac:dyDescent="0.3">
      <c r="J562" t="s">
        <v>938</v>
      </c>
    </row>
    <row r="563" spans="10:10" x14ac:dyDescent="0.3">
      <c r="J563" t="s">
        <v>939</v>
      </c>
    </row>
    <row r="564" spans="10:10" x14ac:dyDescent="0.3">
      <c r="J564" t="s">
        <v>941</v>
      </c>
    </row>
    <row r="565" spans="10:10" x14ac:dyDescent="0.3">
      <c r="J565" t="s">
        <v>942</v>
      </c>
    </row>
    <row r="566" spans="10:10" x14ac:dyDescent="0.3">
      <c r="J566" t="s">
        <v>943</v>
      </c>
    </row>
    <row r="567" spans="10:10" x14ac:dyDescent="0.3">
      <c r="J567" t="s">
        <v>944</v>
      </c>
    </row>
    <row r="568" spans="10:10" x14ac:dyDescent="0.3">
      <c r="J568" t="s">
        <v>945</v>
      </c>
    </row>
    <row r="569" spans="10:10" x14ac:dyDescent="0.3">
      <c r="J569" t="s">
        <v>946</v>
      </c>
    </row>
    <row r="570" spans="10:10" x14ac:dyDescent="0.3">
      <c r="J570" t="s">
        <v>1568</v>
      </c>
    </row>
    <row r="571" spans="10:10" x14ac:dyDescent="0.3">
      <c r="J571" t="s">
        <v>1569</v>
      </c>
    </row>
    <row r="572" spans="10:10" x14ac:dyDescent="0.3">
      <c r="J572" t="s">
        <v>951</v>
      </c>
    </row>
    <row r="573" spans="10:10" x14ac:dyDescent="0.3">
      <c r="J573" t="s">
        <v>953</v>
      </c>
    </row>
    <row r="574" spans="10:10" x14ac:dyDescent="0.3">
      <c r="J574" t="s">
        <v>954</v>
      </c>
    </row>
    <row r="575" spans="10:10" x14ac:dyDescent="0.3">
      <c r="J575" t="s">
        <v>955</v>
      </c>
    </row>
    <row r="576" spans="10:10" x14ac:dyDescent="0.3">
      <c r="J576" t="s">
        <v>956</v>
      </c>
    </row>
    <row r="577" spans="10:10" x14ac:dyDescent="0.3">
      <c r="J577" t="s">
        <v>959</v>
      </c>
    </row>
    <row r="578" spans="10:10" x14ac:dyDescent="0.3">
      <c r="J578" t="s">
        <v>961</v>
      </c>
    </row>
    <row r="579" spans="10:10" x14ac:dyDescent="0.3">
      <c r="J579" t="s">
        <v>1570</v>
      </c>
    </row>
    <row r="580" spans="10:10" x14ac:dyDescent="0.3">
      <c r="J580" t="s">
        <v>962</v>
      </c>
    </row>
    <row r="581" spans="10:10" x14ac:dyDescent="0.3">
      <c r="J581" t="s">
        <v>964</v>
      </c>
    </row>
    <row r="582" spans="10:10" x14ac:dyDescent="0.3">
      <c r="J582" t="s">
        <v>966</v>
      </c>
    </row>
    <row r="583" spans="10:10" x14ac:dyDescent="0.3">
      <c r="J583" t="s">
        <v>968</v>
      </c>
    </row>
    <row r="584" spans="10:10" x14ac:dyDescent="0.3">
      <c r="J584" t="s">
        <v>969</v>
      </c>
    </row>
    <row r="585" spans="10:10" x14ac:dyDescent="0.3">
      <c r="J585" t="s">
        <v>970</v>
      </c>
    </row>
    <row r="586" spans="10:10" x14ac:dyDescent="0.3">
      <c r="J586" t="s">
        <v>972</v>
      </c>
    </row>
    <row r="587" spans="10:10" x14ac:dyDescent="0.3">
      <c r="J587" t="s">
        <v>973</v>
      </c>
    </row>
    <row r="588" spans="10:10" x14ac:dyDescent="0.3">
      <c r="J588" t="s">
        <v>974</v>
      </c>
    </row>
    <row r="589" spans="10:10" x14ac:dyDescent="0.3">
      <c r="J589" t="s">
        <v>1571</v>
      </c>
    </row>
    <row r="590" spans="10:10" x14ac:dyDescent="0.3">
      <c r="J590" t="s">
        <v>976</v>
      </c>
    </row>
    <row r="591" spans="10:10" x14ac:dyDescent="0.3">
      <c r="J591" t="s">
        <v>978</v>
      </c>
    </row>
    <row r="592" spans="10:10" x14ac:dyDescent="0.3">
      <c r="J592" t="s">
        <v>979</v>
      </c>
    </row>
    <row r="593" spans="10:10" x14ac:dyDescent="0.3">
      <c r="J593" t="s">
        <v>980</v>
      </c>
    </row>
    <row r="594" spans="10:10" x14ac:dyDescent="0.3">
      <c r="J594" t="s">
        <v>981</v>
      </c>
    </row>
    <row r="595" spans="10:10" x14ac:dyDescent="0.3">
      <c r="J595" t="s">
        <v>982</v>
      </c>
    </row>
    <row r="596" spans="10:10" x14ac:dyDescent="0.3">
      <c r="J596" t="s">
        <v>983</v>
      </c>
    </row>
    <row r="597" spans="10:10" x14ac:dyDescent="0.3">
      <c r="J597" t="s">
        <v>984</v>
      </c>
    </row>
    <row r="598" spans="10:10" x14ac:dyDescent="0.3">
      <c r="J598" t="s">
        <v>986</v>
      </c>
    </row>
    <row r="599" spans="10:10" x14ac:dyDescent="0.3">
      <c r="J599" t="s">
        <v>988</v>
      </c>
    </row>
    <row r="600" spans="10:10" x14ac:dyDescent="0.3">
      <c r="J600" t="s">
        <v>989</v>
      </c>
    </row>
    <row r="601" spans="10:10" x14ac:dyDescent="0.3">
      <c r="J601" t="s">
        <v>990</v>
      </c>
    </row>
    <row r="602" spans="10:10" x14ac:dyDescent="0.3">
      <c r="J602" t="s">
        <v>991</v>
      </c>
    </row>
    <row r="603" spans="10:10" x14ac:dyDescent="0.3">
      <c r="J603" t="s">
        <v>992</v>
      </c>
    </row>
    <row r="604" spans="10:10" x14ac:dyDescent="0.3">
      <c r="J604" t="s">
        <v>993</v>
      </c>
    </row>
    <row r="605" spans="10:10" x14ac:dyDescent="0.3">
      <c r="J605" t="s">
        <v>994</v>
      </c>
    </row>
    <row r="606" spans="10:10" x14ac:dyDescent="0.3">
      <c r="J606" t="s">
        <v>1572</v>
      </c>
    </row>
    <row r="607" spans="10:10" x14ac:dyDescent="0.3">
      <c r="J607" t="s">
        <v>996</v>
      </c>
    </row>
    <row r="608" spans="10:10" x14ac:dyDescent="0.3">
      <c r="J608" t="s">
        <v>998</v>
      </c>
    </row>
    <row r="609" spans="10:10" x14ac:dyDescent="0.3">
      <c r="J609" t="s">
        <v>999</v>
      </c>
    </row>
    <row r="610" spans="10:10" x14ac:dyDescent="0.3">
      <c r="J610" t="s">
        <v>1000</v>
      </c>
    </row>
    <row r="611" spans="10:10" x14ac:dyDescent="0.3">
      <c r="J611" t="s">
        <v>1001</v>
      </c>
    </row>
    <row r="612" spans="10:10" x14ac:dyDescent="0.3">
      <c r="J612" t="s">
        <v>1002</v>
      </c>
    </row>
    <row r="613" spans="10:10" x14ac:dyDescent="0.3">
      <c r="J613" t="s">
        <v>1004</v>
      </c>
    </row>
    <row r="614" spans="10:10" x14ac:dyDescent="0.3">
      <c r="J614" t="s">
        <v>1005</v>
      </c>
    </row>
    <row r="615" spans="10:10" x14ac:dyDescent="0.3">
      <c r="J615" t="s">
        <v>1008</v>
      </c>
    </row>
    <row r="616" spans="10:10" x14ac:dyDescent="0.3">
      <c r="J616" t="s">
        <v>1573</v>
      </c>
    </row>
    <row r="617" spans="10:10" x14ac:dyDescent="0.3">
      <c r="J617" t="s">
        <v>1011</v>
      </c>
    </row>
    <row r="618" spans="10:10" x14ac:dyDescent="0.3">
      <c r="J618" t="s">
        <v>1013</v>
      </c>
    </row>
    <row r="619" spans="10:10" x14ac:dyDescent="0.3">
      <c r="J619" t="s">
        <v>1015</v>
      </c>
    </row>
    <row r="620" spans="10:10" x14ac:dyDescent="0.3">
      <c r="J620" t="s">
        <v>1016</v>
      </c>
    </row>
    <row r="621" spans="10:10" x14ac:dyDescent="0.3">
      <c r="J621" t="s">
        <v>1019</v>
      </c>
    </row>
    <row r="622" spans="10:10" x14ac:dyDescent="0.3">
      <c r="J622" t="s">
        <v>1021</v>
      </c>
    </row>
    <row r="623" spans="10:10" x14ac:dyDescent="0.3">
      <c r="J623" t="s">
        <v>1023</v>
      </c>
    </row>
    <row r="624" spans="10:10" x14ac:dyDescent="0.3">
      <c r="J624" t="s">
        <v>1025</v>
      </c>
    </row>
    <row r="625" spans="10:10" x14ac:dyDescent="0.3">
      <c r="J625" t="s">
        <v>1027</v>
      </c>
    </row>
    <row r="626" spans="10:10" x14ac:dyDescent="0.3">
      <c r="J626" t="s">
        <v>1029</v>
      </c>
    </row>
    <row r="627" spans="10:10" x14ac:dyDescent="0.3">
      <c r="J627" t="s">
        <v>1031</v>
      </c>
    </row>
    <row r="628" spans="10:10" x14ac:dyDescent="0.3">
      <c r="J628" t="s">
        <v>1033</v>
      </c>
    </row>
    <row r="629" spans="10:10" x14ac:dyDescent="0.3">
      <c r="J629" t="s">
        <v>1035</v>
      </c>
    </row>
    <row r="630" spans="10:10" x14ac:dyDescent="0.3">
      <c r="J630" t="s">
        <v>1037</v>
      </c>
    </row>
    <row r="631" spans="10:10" x14ac:dyDescent="0.3">
      <c r="J631" t="s">
        <v>1039</v>
      </c>
    </row>
    <row r="632" spans="10:10" x14ac:dyDescent="0.3">
      <c r="J632" t="s">
        <v>1041</v>
      </c>
    </row>
    <row r="633" spans="10:10" x14ac:dyDescent="0.3">
      <c r="J633" t="s">
        <v>1043</v>
      </c>
    </row>
    <row r="634" spans="10:10" x14ac:dyDescent="0.3">
      <c r="J634" t="s">
        <v>1045</v>
      </c>
    </row>
    <row r="635" spans="10:10" x14ac:dyDescent="0.3">
      <c r="J635" t="s">
        <v>1047</v>
      </c>
    </row>
    <row r="636" spans="10:10" x14ac:dyDescent="0.3">
      <c r="J636" t="s">
        <v>1049</v>
      </c>
    </row>
    <row r="637" spans="10:10" x14ac:dyDescent="0.3">
      <c r="J637" t="s">
        <v>1052</v>
      </c>
    </row>
    <row r="638" spans="10:10" x14ac:dyDescent="0.3">
      <c r="J638" t="s">
        <v>1054</v>
      </c>
    </row>
    <row r="639" spans="10:10" x14ac:dyDescent="0.3">
      <c r="J639" t="s">
        <v>1056</v>
      </c>
    </row>
    <row r="640" spans="10:10" x14ac:dyDescent="0.3">
      <c r="J640" t="s">
        <v>1057</v>
      </c>
    </row>
    <row r="641" spans="10:10" x14ac:dyDescent="0.3">
      <c r="J641" t="s">
        <v>1059</v>
      </c>
    </row>
    <row r="642" spans="10:10" x14ac:dyDescent="0.3">
      <c r="J642" t="s">
        <v>1062</v>
      </c>
    </row>
    <row r="643" spans="10:10" x14ac:dyDescent="0.3">
      <c r="J643" t="s">
        <v>1065</v>
      </c>
    </row>
    <row r="644" spans="10:10" x14ac:dyDescent="0.3">
      <c r="J644" t="s">
        <v>1067</v>
      </c>
    </row>
    <row r="645" spans="10:10" x14ac:dyDescent="0.3">
      <c r="J645" t="s">
        <v>1069</v>
      </c>
    </row>
    <row r="646" spans="10:10" x14ac:dyDescent="0.3">
      <c r="J646" t="s">
        <v>1071</v>
      </c>
    </row>
    <row r="647" spans="10:10" x14ac:dyDescent="0.3">
      <c r="J647" t="s">
        <v>1073</v>
      </c>
    </row>
    <row r="648" spans="10:10" x14ac:dyDescent="0.3">
      <c r="J648" t="s">
        <v>1075</v>
      </c>
    </row>
    <row r="649" spans="10:10" x14ac:dyDescent="0.3">
      <c r="J649" t="s">
        <v>1077</v>
      </c>
    </row>
    <row r="650" spans="10:10" x14ac:dyDescent="0.3">
      <c r="J650" t="s">
        <v>1079</v>
      </c>
    </row>
    <row r="651" spans="10:10" x14ac:dyDescent="0.3">
      <c r="J651" t="s">
        <v>1081</v>
      </c>
    </row>
    <row r="652" spans="10:10" x14ac:dyDescent="0.3">
      <c r="J652" t="s">
        <v>1082</v>
      </c>
    </row>
    <row r="653" spans="10:10" x14ac:dyDescent="0.3">
      <c r="J653" t="s">
        <v>1084</v>
      </c>
    </row>
    <row r="654" spans="10:10" x14ac:dyDescent="0.3">
      <c r="J654" t="s">
        <v>1085</v>
      </c>
    </row>
    <row r="655" spans="10:10" x14ac:dyDescent="0.3">
      <c r="J655" t="s">
        <v>1086</v>
      </c>
    </row>
    <row r="656" spans="10:10" x14ac:dyDescent="0.3">
      <c r="J656" t="s">
        <v>1088</v>
      </c>
    </row>
    <row r="657" spans="10:10" x14ac:dyDescent="0.3">
      <c r="J657" t="s">
        <v>1090</v>
      </c>
    </row>
    <row r="658" spans="10:10" x14ac:dyDescent="0.3">
      <c r="J658" t="s">
        <v>1091</v>
      </c>
    </row>
    <row r="659" spans="10:10" x14ac:dyDescent="0.3">
      <c r="J659" t="s">
        <v>1092</v>
      </c>
    </row>
    <row r="660" spans="10:10" x14ac:dyDescent="0.3">
      <c r="J660" t="s">
        <v>1094</v>
      </c>
    </row>
    <row r="661" spans="10:10" x14ac:dyDescent="0.3">
      <c r="J661" t="s">
        <v>1095</v>
      </c>
    </row>
    <row r="662" spans="10:10" x14ac:dyDescent="0.3">
      <c r="J662" t="s">
        <v>1096</v>
      </c>
    </row>
    <row r="663" spans="10:10" x14ac:dyDescent="0.3">
      <c r="J663" t="s">
        <v>1098</v>
      </c>
    </row>
    <row r="664" spans="10:10" x14ac:dyDescent="0.3">
      <c r="J664" t="s">
        <v>1100</v>
      </c>
    </row>
    <row r="665" spans="10:10" x14ac:dyDescent="0.3">
      <c r="J665" t="s">
        <v>1101</v>
      </c>
    </row>
    <row r="666" spans="10:10" x14ac:dyDescent="0.3">
      <c r="J666" t="s">
        <v>1102</v>
      </c>
    </row>
    <row r="667" spans="10:10" x14ac:dyDescent="0.3">
      <c r="J667" t="s">
        <v>1103</v>
      </c>
    </row>
    <row r="668" spans="10:10" x14ac:dyDescent="0.3">
      <c r="J668" t="s">
        <v>1104</v>
      </c>
    </row>
    <row r="669" spans="10:10" x14ac:dyDescent="0.3">
      <c r="J669" t="s">
        <v>1106</v>
      </c>
    </row>
    <row r="670" spans="10:10" x14ac:dyDescent="0.3">
      <c r="J670" t="s">
        <v>1107</v>
      </c>
    </row>
    <row r="671" spans="10:10" x14ac:dyDescent="0.3">
      <c r="J671" t="s">
        <v>1108</v>
      </c>
    </row>
    <row r="672" spans="10:10" x14ac:dyDescent="0.3">
      <c r="J672" t="s">
        <v>1109</v>
      </c>
    </row>
    <row r="673" spans="10:10" x14ac:dyDescent="0.3">
      <c r="J673" t="s">
        <v>1110</v>
      </c>
    </row>
    <row r="674" spans="10:10" x14ac:dyDescent="0.3">
      <c r="J674" t="s">
        <v>1112</v>
      </c>
    </row>
    <row r="675" spans="10:10" x14ac:dyDescent="0.3">
      <c r="J675" t="s">
        <v>1114</v>
      </c>
    </row>
    <row r="676" spans="10:10" x14ac:dyDescent="0.3">
      <c r="J676" t="s">
        <v>1116</v>
      </c>
    </row>
    <row r="677" spans="10:10" x14ac:dyDescent="0.3">
      <c r="J677" t="s">
        <v>1117</v>
      </c>
    </row>
    <row r="678" spans="10:10" x14ac:dyDescent="0.3">
      <c r="J678" t="s">
        <v>1119</v>
      </c>
    </row>
    <row r="679" spans="10:10" x14ac:dyDescent="0.3">
      <c r="J679" t="s">
        <v>1122</v>
      </c>
    </row>
    <row r="680" spans="10:10" x14ac:dyDescent="0.3">
      <c r="J680" t="s">
        <v>1124</v>
      </c>
    </row>
    <row r="681" spans="10:10" x14ac:dyDescent="0.3">
      <c r="J681" t="s">
        <v>1126</v>
      </c>
    </row>
    <row r="682" spans="10:10" x14ac:dyDescent="0.3">
      <c r="J682" t="s">
        <v>1127</v>
      </c>
    </row>
    <row r="683" spans="10:10" x14ac:dyDescent="0.3">
      <c r="J683" t="s">
        <v>1128</v>
      </c>
    </row>
    <row r="684" spans="10:10" x14ac:dyDescent="0.3">
      <c r="J684" t="s">
        <v>1129</v>
      </c>
    </row>
    <row r="685" spans="10:10" x14ac:dyDescent="0.3">
      <c r="J685" t="s">
        <v>1131</v>
      </c>
    </row>
    <row r="686" spans="10:10" x14ac:dyDescent="0.3">
      <c r="J686" t="s">
        <v>1132</v>
      </c>
    </row>
    <row r="687" spans="10:10" x14ac:dyDescent="0.3">
      <c r="J687" t="s">
        <v>1574</v>
      </c>
    </row>
    <row r="688" spans="10:10" x14ac:dyDescent="0.3">
      <c r="J688" t="s">
        <v>1133</v>
      </c>
    </row>
    <row r="689" spans="10:10" x14ac:dyDescent="0.3">
      <c r="J689" t="s">
        <v>1136</v>
      </c>
    </row>
    <row r="690" spans="10:10" x14ac:dyDescent="0.3">
      <c r="J690" t="s">
        <v>1139</v>
      </c>
    </row>
    <row r="691" spans="10:10" x14ac:dyDescent="0.3">
      <c r="J691" t="s">
        <v>1141</v>
      </c>
    </row>
    <row r="692" spans="10:10" x14ac:dyDescent="0.3">
      <c r="J692" t="s">
        <v>1142</v>
      </c>
    </row>
    <row r="693" spans="10:10" x14ac:dyDescent="0.3">
      <c r="J693" t="s">
        <v>1143</v>
      </c>
    </row>
    <row r="694" spans="10:10" x14ac:dyDescent="0.3">
      <c r="J694" t="s">
        <v>1145</v>
      </c>
    </row>
    <row r="695" spans="10:10" x14ac:dyDescent="0.3">
      <c r="J695" t="s">
        <v>1146</v>
      </c>
    </row>
    <row r="696" spans="10:10" x14ac:dyDescent="0.3">
      <c r="J696" t="s">
        <v>1148</v>
      </c>
    </row>
    <row r="697" spans="10:10" x14ac:dyDescent="0.3">
      <c r="J697" t="s">
        <v>1150</v>
      </c>
    </row>
    <row r="698" spans="10:10" x14ac:dyDescent="0.3">
      <c r="J698" t="s">
        <v>1151</v>
      </c>
    </row>
    <row r="699" spans="10:10" x14ac:dyDescent="0.3">
      <c r="J699" t="s">
        <v>1152</v>
      </c>
    </row>
    <row r="700" spans="10:10" x14ac:dyDescent="0.3">
      <c r="J700" t="s">
        <v>1153</v>
      </c>
    </row>
    <row r="701" spans="10:10" x14ac:dyDescent="0.3">
      <c r="J701" t="s">
        <v>1154</v>
      </c>
    </row>
    <row r="702" spans="10:10" x14ac:dyDescent="0.3">
      <c r="J702" t="s">
        <v>1155</v>
      </c>
    </row>
    <row r="703" spans="10:10" x14ac:dyDescent="0.3">
      <c r="J703" t="s">
        <v>1156</v>
      </c>
    </row>
    <row r="704" spans="10:10" x14ac:dyDescent="0.3">
      <c r="J704" t="s">
        <v>1157</v>
      </c>
    </row>
    <row r="705" spans="10:10" x14ac:dyDescent="0.3">
      <c r="J705" t="s">
        <v>1159</v>
      </c>
    </row>
    <row r="706" spans="10:10" x14ac:dyDescent="0.3">
      <c r="J706" t="s">
        <v>1160</v>
      </c>
    </row>
    <row r="707" spans="10:10" x14ac:dyDescent="0.3">
      <c r="J707" t="s">
        <v>1161</v>
      </c>
    </row>
    <row r="708" spans="10:10" x14ac:dyDescent="0.3">
      <c r="J708" t="s">
        <v>1163</v>
      </c>
    </row>
    <row r="709" spans="10:10" x14ac:dyDescent="0.3">
      <c r="J709" t="s">
        <v>1164</v>
      </c>
    </row>
    <row r="710" spans="10:10" x14ac:dyDescent="0.3">
      <c r="J710" t="s">
        <v>1165</v>
      </c>
    </row>
    <row r="711" spans="10:10" x14ac:dyDescent="0.3">
      <c r="J711" t="s">
        <v>1166</v>
      </c>
    </row>
    <row r="712" spans="10:10" x14ac:dyDescent="0.3">
      <c r="J712" t="s">
        <v>1167</v>
      </c>
    </row>
    <row r="713" spans="10:10" x14ac:dyDescent="0.3">
      <c r="J713" t="s">
        <v>1169</v>
      </c>
    </row>
    <row r="714" spans="10:10" x14ac:dyDescent="0.3">
      <c r="J714" t="s">
        <v>1172</v>
      </c>
    </row>
    <row r="715" spans="10:10" x14ac:dyDescent="0.3">
      <c r="J715" t="s">
        <v>1174</v>
      </c>
    </row>
    <row r="716" spans="10:10" x14ac:dyDescent="0.3">
      <c r="J716" t="s">
        <v>1176</v>
      </c>
    </row>
    <row r="717" spans="10:10" x14ac:dyDescent="0.3">
      <c r="J717" t="s">
        <v>1178</v>
      </c>
    </row>
    <row r="718" spans="10:10" x14ac:dyDescent="0.3">
      <c r="J718" t="s">
        <v>1180</v>
      </c>
    </row>
    <row r="719" spans="10:10" x14ac:dyDescent="0.3">
      <c r="J719" t="s">
        <v>1182</v>
      </c>
    </row>
    <row r="720" spans="10:10" x14ac:dyDescent="0.3">
      <c r="J720" t="s">
        <v>1184</v>
      </c>
    </row>
    <row r="721" spans="10:10" x14ac:dyDescent="0.3">
      <c r="J721" t="s">
        <v>1186</v>
      </c>
    </row>
    <row r="722" spans="10:10" x14ac:dyDescent="0.3">
      <c r="J722" t="s">
        <v>1188</v>
      </c>
    </row>
    <row r="723" spans="10:10" x14ac:dyDescent="0.3">
      <c r="J723" t="s">
        <v>1189</v>
      </c>
    </row>
    <row r="724" spans="10:10" x14ac:dyDescent="0.3">
      <c r="J724" t="s">
        <v>1191</v>
      </c>
    </row>
    <row r="725" spans="10:10" x14ac:dyDescent="0.3">
      <c r="J725" t="s">
        <v>1193</v>
      </c>
    </row>
    <row r="726" spans="10:10" x14ac:dyDescent="0.3">
      <c r="J726" t="s">
        <v>1195</v>
      </c>
    </row>
    <row r="727" spans="10:10" x14ac:dyDescent="0.3">
      <c r="J727" t="s">
        <v>1197</v>
      </c>
    </row>
    <row r="728" spans="10:10" x14ac:dyDescent="0.3">
      <c r="J728" t="s">
        <v>1199</v>
      </c>
    </row>
    <row r="729" spans="10:10" x14ac:dyDescent="0.3">
      <c r="J729" t="s">
        <v>1201</v>
      </c>
    </row>
    <row r="730" spans="10:10" x14ac:dyDescent="0.3">
      <c r="J730" t="s">
        <v>1203</v>
      </c>
    </row>
    <row r="731" spans="10:10" x14ac:dyDescent="0.3">
      <c r="J731" t="s">
        <v>1206</v>
      </c>
    </row>
    <row r="732" spans="10:10" x14ac:dyDescent="0.3">
      <c r="J732" t="s">
        <v>1207</v>
      </c>
    </row>
    <row r="733" spans="10:10" x14ac:dyDescent="0.3">
      <c r="J733" t="s">
        <v>1208</v>
      </c>
    </row>
    <row r="734" spans="10:10" x14ac:dyDescent="0.3">
      <c r="J734" t="s">
        <v>1209</v>
      </c>
    </row>
    <row r="735" spans="10:10" x14ac:dyDescent="0.3">
      <c r="J735" t="s">
        <v>1211</v>
      </c>
    </row>
    <row r="736" spans="10:10" x14ac:dyDescent="0.3">
      <c r="J736" t="s">
        <v>1212</v>
      </c>
    </row>
    <row r="737" spans="10:10" x14ac:dyDescent="0.3">
      <c r="J737" t="s">
        <v>1213</v>
      </c>
    </row>
    <row r="738" spans="10:10" x14ac:dyDescent="0.3">
      <c r="J738" t="s">
        <v>1215</v>
      </c>
    </row>
    <row r="739" spans="10:10" x14ac:dyDescent="0.3">
      <c r="J739" t="s">
        <v>1217</v>
      </c>
    </row>
    <row r="740" spans="10:10" x14ac:dyDescent="0.3">
      <c r="J740" t="s">
        <v>1219</v>
      </c>
    </row>
    <row r="741" spans="10:10" x14ac:dyDescent="0.3">
      <c r="J741" t="s">
        <v>1220</v>
      </c>
    </row>
    <row r="742" spans="10:10" x14ac:dyDescent="0.3">
      <c r="J742" t="s">
        <v>1221</v>
      </c>
    </row>
    <row r="743" spans="10:10" x14ac:dyDescent="0.3">
      <c r="J743" t="s">
        <v>1223</v>
      </c>
    </row>
    <row r="744" spans="10:10" x14ac:dyDescent="0.3">
      <c r="J744" t="s">
        <v>1575</v>
      </c>
    </row>
    <row r="745" spans="10:10" x14ac:dyDescent="0.3">
      <c r="J745" t="s">
        <v>1225</v>
      </c>
    </row>
    <row r="746" spans="10:10" x14ac:dyDescent="0.3">
      <c r="J746" t="s">
        <v>1227</v>
      </c>
    </row>
    <row r="747" spans="10:10" x14ac:dyDescent="0.3">
      <c r="J747" t="s">
        <v>1228</v>
      </c>
    </row>
    <row r="748" spans="10:10" x14ac:dyDescent="0.3">
      <c r="J748" t="s">
        <v>1230</v>
      </c>
    </row>
    <row r="749" spans="10:10" x14ac:dyDescent="0.3">
      <c r="J749" t="s">
        <v>1231</v>
      </c>
    </row>
    <row r="750" spans="10:10" x14ac:dyDescent="0.3">
      <c r="J750" t="s">
        <v>1233</v>
      </c>
    </row>
    <row r="751" spans="10:10" x14ac:dyDescent="0.3">
      <c r="J751" t="s">
        <v>1234</v>
      </c>
    </row>
    <row r="752" spans="10:10" x14ac:dyDescent="0.3">
      <c r="J752" t="s">
        <v>1236</v>
      </c>
    </row>
    <row r="753" spans="10:10" x14ac:dyDescent="0.3">
      <c r="J753" t="s">
        <v>1238</v>
      </c>
    </row>
    <row r="754" spans="10:10" x14ac:dyDescent="0.3">
      <c r="J754" t="s">
        <v>1239</v>
      </c>
    </row>
    <row r="755" spans="10:10" x14ac:dyDescent="0.3">
      <c r="J755" t="s">
        <v>1240</v>
      </c>
    </row>
    <row r="756" spans="10:10" x14ac:dyDescent="0.3">
      <c r="J756" t="s">
        <v>1241</v>
      </c>
    </row>
    <row r="757" spans="10:10" x14ac:dyDescent="0.3">
      <c r="J757" t="s">
        <v>1243</v>
      </c>
    </row>
    <row r="758" spans="10:10" x14ac:dyDescent="0.3">
      <c r="J758" t="s">
        <v>1244</v>
      </c>
    </row>
    <row r="759" spans="10:10" x14ac:dyDescent="0.3">
      <c r="J759" t="s">
        <v>1246</v>
      </c>
    </row>
    <row r="760" spans="10:10" x14ac:dyDescent="0.3">
      <c r="J760" t="s">
        <v>1248</v>
      </c>
    </row>
    <row r="761" spans="10:10" x14ac:dyDescent="0.3">
      <c r="J761" t="s">
        <v>1249</v>
      </c>
    </row>
    <row r="762" spans="10:10" x14ac:dyDescent="0.3">
      <c r="J762" t="s">
        <v>1251</v>
      </c>
    </row>
    <row r="763" spans="10:10" x14ac:dyDescent="0.3">
      <c r="J763" t="s">
        <v>1253</v>
      </c>
    </row>
    <row r="764" spans="10:10" x14ac:dyDescent="0.3">
      <c r="J764" t="s">
        <v>1254</v>
      </c>
    </row>
    <row r="765" spans="10:10" x14ac:dyDescent="0.3">
      <c r="J765" t="s">
        <v>1256</v>
      </c>
    </row>
    <row r="766" spans="10:10" x14ac:dyDescent="0.3">
      <c r="J766" t="s">
        <v>1258</v>
      </c>
    </row>
    <row r="767" spans="10:10" x14ac:dyDescent="0.3">
      <c r="J767" t="s">
        <v>1261</v>
      </c>
    </row>
    <row r="768" spans="10:10" x14ac:dyDescent="0.3">
      <c r="J768" t="s">
        <v>1265</v>
      </c>
    </row>
    <row r="769" spans="10:10" x14ac:dyDescent="0.3">
      <c r="J769" t="s">
        <v>1268</v>
      </c>
    </row>
    <row r="770" spans="10:10" x14ac:dyDescent="0.3">
      <c r="J770" t="s">
        <v>1271</v>
      </c>
    </row>
    <row r="771" spans="10:10" x14ac:dyDescent="0.3">
      <c r="J771" t="s">
        <v>1273</v>
      </c>
    </row>
    <row r="772" spans="10:10" x14ac:dyDescent="0.3">
      <c r="J772" t="s">
        <v>1275</v>
      </c>
    </row>
    <row r="773" spans="10:10" x14ac:dyDescent="0.3">
      <c r="J773" t="s">
        <v>1278</v>
      </c>
    </row>
    <row r="774" spans="10:10" x14ac:dyDescent="0.3">
      <c r="J774" t="s">
        <v>1280</v>
      </c>
    </row>
    <row r="775" spans="10:10" x14ac:dyDescent="0.3">
      <c r="J775" t="s">
        <v>1282</v>
      </c>
    </row>
    <row r="776" spans="10:10" x14ac:dyDescent="0.3">
      <c r="J776" t="s">
        <v>1284</v>
      </c>
    </row>
    <row r="777" spans="10:10" x14ac:dyDescent="0.3">
      <c r="J777" t="s">
        <v>1286</v>
      </c>
    </row>
    <row r="778" spans="10:10" x14ac:dyDescent="0.3">
      <c r="J778" t="s">
        <v>1288</v>
      </c>
    </row>
    <row r="779" spans="10:10" x14ac:dyDescent="0.3">
      <c r="J779" t="s">
        <v>1289</v>
      </c>
    </row>
    <row r="780" spans="10:10" x14ac:dyDescent="0.3">
      <c r="J780" t="s">
        <v>1292</v>
      </c>
    </row>
    <row r="781" spans="10:10" x14ac:dyDescent="0.3">
      <c r="J781" t="s">
        <v>1293</v>
      </c>
    </row>
    <row r="782" spans="10:10" x14ac:dyDescent="0.3">
      <c r="J782" t="s">
        <v>1294</v>
      </c>
    </row>
    <row r="783" spans="10:10" x14ac:dyDescent="0.3">
      <c r="J783" t="s">
        <v>1296</v>
      </c>
    </row>
    <row r="784" spans="10:10" x14ac:dyDescent="0.3">
      <c r="J784" t="s">
        <v>1299</v>
      </c>
    </row>
    <row r="785" spans="10:10" x14ac:dyDescent="0.3">
      <c r="J785" t="s">
        <v>1301</v>
      </c>
    </row>
    <row r="786" spans="10:10" x14ac:dyDescent="0.3">
      <c r="J786" t="s">
        <v>1303</v>
      </c>
    </row>
    <row r="787" spans="10:10" x14ac:dyDescent="0.3">
      <c r="J787" t="s">
        <v>1305</v>
      </c>
    </row>
    <row r="788" spans="10:10" x14ac:dyDescent="0.3">
      <c r="J788" t="s">
        <v>1307</v>
      </c>
    </row>
    <row r="789" spans="10:10" x14ac:dyDescent="0.3">
      <c r="J789" t="s">
        <v>1308</v>
      </c>
    </row>
    <row r="790" spans="10:10" x14ac:dyDescent="0.3">
      <c r="J790" t="s">
        <v>1310</v>
      </c>
    </row>
    <row r="791" spans="10:10" x14ac:dyDescent="0.3">
      <c r="J791" t="s">
        <v>1312</v>
      </c>
    </row>
    <row r="792" spans="10:10" x14ac:dyDescent="0.3">
      <c r="J792" t="s">
        <v>1313</v>
      </c>
    </row>
    <row r="793" spans="10:10" x14ac:dyDescent="0.3">
      <c r="J793" t="s">
        <v>1314</v>
      </c>
    </row>
    <row r="794" spans="10:10" x14ac:dyDescent="0.3">
      <c r="J794" t="s">
        <v>484</v>
      </c>
    </row>
    <row r="795" spans="10:10" x14ac:dyDescent="0.3">
      <c r="J795" t="s">
        <v>1576</v>
      </c>
    </row>
    <row r="796" spans="10:10" x14ac:dyDescent="0.3">
      <c r="J796" t="s">
        <v>1316</v>
      </c>
    </row>
    <row r="797" spans="10:10" x14ac:dyDescent="0.3">
      <c r="J797" t="s">
        <v>1317</v>
      </c>
    </row>
    <row r="798" spans="10:10" x14ac:dyDescent="0.3">
      <c r="J798" t="s">
        <v>1318</v>
      </c>
    </row>
    <row r="799" spans="10:10" x14ac:dyDescent="0.3">
      <c r="J799" t="s">
        <v>1320</v>
      </c>
    </row>
    <row r="800" spans="10:10" x14ac:dyDescent="0.3">
      <c r="J800" t="s">
        <v>1323</v>
      </c>
    </row>
    <row r="801" spans="10:10" x14ac:dyDescent="0.3">
      <c r="J801" t="s">
        <v>1324</v>
      </c>
    </row>
    <row r="802" spans="10:10" x14ac:dyDescent="0.3">
      <c r="J802" t="s">
        <v>1325</v>
      </c>
    </row>
    <row r="803" spans="10:10" x14ac:dyDescent="0.3">
      <c r="J803" t="s">
        <v>1326</v>
      </c>
    </row>
    <row r="804" spans="10:10" x14ac:dyDescent="0.3">
      <c r="J804" t="s">
        <v>1329</v>
      </c>
    </row>
    <row r="805" spans="10:10" x14ac:dyDescent="0.3">
      <c r="J805" t="s">
        <v>1331</v>
      </c>
    </row>
    <row r="806" spans="10:10" x14ac:dyDescent="0.3">
      <c r="J806" t="s">
        <v>1333</v>
      </c>
    </row>
    <row r="807" spans="10:10" x14ac:dyDescent="0.3">
      <c r="J807" t="s">
        <v>1335</v>
      </c>
    </row>
    <row r="808" spans="10:10" x14ac:dyDescent="0.3">
      <c r="J808" t="s">
        <v>1337</v>
      </c>
    </row>
    <row r="809" spans="10:10" x14ac:dyDescent="0.3">
      <c r="J809" t="s">
        <v>1339</v>
      </c>
    </row>
    <row r="810" spans="10:10" x14ac:dyDescent="0.3">
      <c r="J810" t="s">
        <v>1341</v>
      </c>
    </row>
    <row r="811" spans="10:10" x14ac:dyDescent="0.3">
      <c r="J811" t="s">
        <v>1343</v>
      </c>
    </row>
    <row r="812" spans="10:10" x14ac:dyDescent="0.3">
      <c r="J812" t="s">
        <v>1344</v>
      </c>
    </row>
    <row r="813" spans="10:10" x14ac:dyDescent="0.3">
      <c r="J813" t="s">
        <v>1346</v>
      </c>
    </row>
    <row r="814" spans="10:10" x14ac:dyDescent="0.3">
      <c r="J814" t="s">
        <v>1347</v>
      </c>
    </row>
    <row r="815" spans="10:10" x14ac:dyDescent="0.3">
      <c r="J815" t="s">
        <v>1348</v>
      </c>
    </row>
    <row r="816" spans="10:10" x14ac:dyDescent="0.3">
      <c r="J816" t="s">
        <v>1350</v>
      </c>
    </row>
    <row r="817" spans="10:10" x14ac:dyDescent="0.3">
      <c r="J817" t="s">
        <v>1351</v>
      </c>
    </row>
    <row r="818" spans="10:10" x14ac:dyDescent="0.3">
      <c r="J818" t="s">
        <v>1352</v>
      </c>
    </row>
    <row r="819" spans="10:10" x14ac:dyDescent="0.3">
      <c r="J819" t="s">
        <v>1353</v>
      </c>
    </row>
    <row r="820" spans="10:10" x14ac:dyDescent="0.3">
      <c r="J820" t="s">
        <v>1354</v>
      </c>
    </row>
    <row r="821" spans="10:10" x14ac:dyDescent="0.3">
      <c r="J821" t="s">
        <v>1355</v>
      </c>
    </row>
    <row r="822" spans="10:10" x14ac:dyDescent="0.3">
      <c r="J822" t="s">
        <v>1357</v>
      </c>
    </row>
    <row r="823" spans="10:10" x14ac:dyDescent="0.3">
      <c r="J823" t="s">
        <v>1359</v>
      </c>
    </row>
    <row r="824" spans="10:10" x14ac:dyDescent="0.3">
      <c r="J824" t="s">
        <v>1360</v>
      </c>
    </row>
    <row r="825" spans="10:10" x14ac:dyDescent="0.3">
      <c r="J825" t="s">
        <v>1361</v>
      </c>
    </row>
    <row r="826" spans="10:10" x14ac:dyDescent="0.3">
      <c r="J826" t="s">
        <v>1362</v>
      </c>
    </row>
    <row r="827" spans="10:10" x14ac:dyDescent="0.3">
      <c r="J827" t="s">
        <v>1363</v>
      </c>
    </row>
    <row r="828" spans="10:10" x14ac:dyDescent="0.3">
      <c r="J828" t="s">
        <v>1364</v>
      </c>
    </row>
    <row r="829" spans="10:10" x14ac:dyDescent="0.3">
      <c r="J829" t="s">
        <v>1367</v>
      </c>
    </row>
    <row r="830" spans="10:10" x14ac:dyDescent="0.3">
      <c r="J830" t="s">
        <v>1370</v>
      </c>
    </row>
    <row r="831" spans="10:10" x14ac:dyDescent="0.3">
      <c r="J831" t="s">
        <v>1372</v>
      </c>
    </row>
    <row r="832" spans="10:10" x14ac:dyDescent="0.3">
      <c r="J832" t="s">
        <v>1375</v>
      </c>
    </row>
    <row r="833" spans="10:10" x14ac:dyDescent="0.3">
      <c r="J833" t="s">
        <v>1377</v>
      </c>
    </row>
    <row r="834" spans="10:10" x14ac:dyDescent="0.3">
      <c r="J834" t="s">
        <v>1379</v>
      </c>
    </row>
    <row r="835" spans="10:10" x14ac:dyDescent="0.3">
      <c r="J835" t="s">
        <v>1381</v>
      </c>
    </row>
    <row r="836" spans="10:10" x14ac:dyDescent="0.3">
      <c r="J836" t="s">
        <v>1383</v>
      </c>
    </row>
    <row r="837" spans="10:10" x14ac:dyDescent="0.3">
      <c r="J837" t="s">
        <v>1385</v>
      </c>
    </row>
    <row r="838" spans="10:10" x14ac:dyDescent="0.3">
      <c r="J838" t="s">
        <v>1387</v>
      </c>
    </row>
    <row r="839" spans="10:10" x14ac:dyDescent="0.3">
      <c r="J839" t="s">
        <v>1389</v>
      </c>
    </row>
    <row r="840" spans="10:10" x14ac:dyDescent="0.3">
      <c r="J840" t="s">
        <v>1391</v>
      </c>
    </row>
    <row r="841" spans="10:10" x14ac:dyDescent="0.3">
      <c r="J841" t="s">
        <v>1394</v>
      </c>
    </row>
    <row r="842" spans="10:10" x14ac:dyDescent="0.3">
      <c r="J842" t="s">
        <v>1397</v>
      </c>
    </row>
    <row r="843" spans="10:10" x14ac:dyDescent="0.3">
      <c r="J843" t="s">
        <v>1399</v>
      </c>
    </row>
    <row r="844" spans="10:10" x14ac:dyDescent="0.3">
      <c r="J844" t="s">
        <v>1401</v>
      </c>
    </row>
    <row r="845" spans="10:10" x14ac:dyDescent="0.3">
      <c r="J845" t="s">
        <v>1403</v>
      </c>
    </row>
    <row r="846" spans="10:10" x14ac:dyDescent="0.3">
      <c r="J846" t="s">
        <v>1405</v>
      </c>
    </row>
    <row r="847" spans="10:10" x14ac:dyDescent="0.3">
      <c r="J847" t="s">
        <v>1407</v>
      </c>
    </row>
    <row r="848" spans="10:10" x14ac:dyDescent="0.3">
      <c r="J848" t="s">
        <v>1409</v>
      </c>
    </row>
    <row r="849" spans="10:10" x14ac:dyDescent="0.3">
      <c r="J849" t="s">
        <v>1411</v>
      </c>
    </row>
    <row r="850" spans="10:10" x14ac:dyDescent="0.3">
      <c r="J850" t="s">
        <v>1412</v>
      </c>
    </row>
    <row r="851" spans="10:10" x14ac:dyDescent="0.3">
      <c r="J851" t="s">
        <v>1413</v>
      </c>
    </row>
    <row r="852" spans="10:10" x14ac:dyDescent="0.3">
      <c r="J852" t="s">
        <v>1415</v>
      </c>
    </row>
    <row r="853" spans="10:10" x14ac:dyDescent="0.3">
      <c r="J853" t="s">
        <v>1416</v>
      </c>
    </row>
    <row r="854" spans="10:10" x14ac:dyDescent="0.3">
      <c r="J854" t="s">
        <v>1417</v>
      </c>
    </row>
    <row r="855" spans="10:10" x14ac:dyDescent="0.3">
      <c r="J855" t="s">
        <v>1418</v>
      </c>
    </row>
    <row r="856" spans="10:10" x14ac:dyDescent="0.3">
      <c r="J856" t="s">
        <v>1419</v>
      </c>
    </row>
    <row r="857" spans="10:10" x14ac:dyDescent="0.3">
      <c r="J857" t="s">
        <v>1420</v>
      </c>
    </row>
    <row r="858" spans="10:10" x14ac:dyDescent="0.3">
      <c r="J858" t="s">
        <v>1421</v>
      </c>
    </row>
    <row r="859" spans="10:10" x14ac:dyDescent="0.3">
      <c r="J859" t="s">
        <v>1422</v>
      </c>
    </row>
    <row r="860" spans="10:10" x14ac:dyDescent="0.3">
      <c r="J860" t="s">
        <v>1424</v>
      </c>
    </row>
    <row r="861" spans="10:10" x14ac:dyDescent="0.3">
      <c r="J861" t="s">
        <v>1426</v>
      </c>
    </row>
    <row r="862" spans="10:10" x14ac:dyDescent="0.3">
      <c r="J862" t="s">
        <v>1427</v>
      </c>
    </row>
    <row r="863" spans="10:10" x14ac:dyDescent="0.3">
      <c r="J863" t="s">
        <v>1428</v>
      </c>
    </row>
    <row r="864" spans="10:10" x14ac:dyDescent="0.3">
      <c r="J864" t="s">
        <v>1429</v>
      </c>
    </row>
    <row r="865" spans="10:10" x14ac:dyDescent="0.3">
      <c r="J865" t="s">
        <v>1430</v>
      </c>
    </row>
    <row r="866" spans="10:10" x14ac:dyDescent="0.3">
      <c r="J866" t="s">
        <v>1431</v>
      </c>
    </row>
    <row r="867" spans="10:10" x14ac:dyDescent="0.3">
      <c r="J867" t="s">
        <v>1432</v>
      </c>
    </row>
    <row r="868" spans="10:10" x14ac:dyDescent="0.3">
      <c r="J868" t="s">
        <v>1433</v>
      </c>
    </row>
    <row r="869" spans="10:10" x14ac:dyDescent="0.3">
      <c r="J869" t="s">
        <v>1435</v>
      </c>
    </row>
    <row r="870" spans="10:10" x14ac:dyDescent="0.3">
      <c r="J870" t="s">
        <v>1437</v>
      </c>
    </row>
    <row r="871" spans="10:10" x14ac:dyDescent="0.3">
      <c r="J871" t="s">
        <v>886</v>
      </c>
    </row>
    <row r="872" spans="10:10" x14ac:dyDescent="0.3">
      <c r="J872" t="s">
        <v>1439</v>
      </c>
    </row>
    <row r="873" spans="10:10" x14ac:dyDescent="0.3">
      <c r="J873" t="s">
        <v>1441</v>
      </c>
    </row>
    <row r="874" spans="10:10" x14ac:dyDescent="0.3">
      <c r="J874" t="s">
        <v>1442</v>
      </c>
    </row>
    <row r="875" spans="10:10" x14ac:dyDescent="0.3">
      <c r="J875" t="s">
        <v>894</v>
      </c>
    </row>
    <row r="876" spans="10:10" x14ac:dyDescent="0.3">
      <c r="J876" t="s">
        <v>1444</v>
      </c>
    </row>
    <row r="877" spans="10:10" x14ac:dyDescent="0.3">
      <c r="J877" t="s">
        <v>1446</v>
      </c>
    </row>
    <row r="878" spans="10:10" x14ac:dyDescent="0.3">
      <c r="J878" t="s">
        <v>1448</v>
      </c>
    </row>
    <row r="879" spans="10:10" x14ac:dyDescent="0.3">
      <c r="J879" t="s">
        <v>1450</v>
      </c>
    </row>
    <row r="880" spans="10:10" x14ac:dyDescent="0.3">
      <c r="J880" t="s">
        <v>1452</v>
      </c>
    </row>
    <row r="881" spans="10:10" x14ac:dyDescent="0.3">
      <c r="J881" t="s">
        <v>1454</v>
      </c>
    </row>
    <row r="882" spans="10:10" x14ac:dyDescent="0.3">
      <c r="J882" t="s">
        <v>1455</v>
      </c>
    </row>
    <row r="883" spans="10:10" x14ac:dyDescent="0.3">
      <c r="J883" t="s">
        <v>1457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具名範圍</vt:lpstr>
      </vt:variant>
      <vt:variant>
        <vt:i4>2</vt:i4>
      </vt:variant>
    </vt:vector>
  </HeadingPairs>
  <TitlesOfParts>
    <vt:vector size="7" baseType="lpstr">
      <vt:lpstr>領料表</vt:lpstr>
      <vt:lpstr>工作表1</vt:lpstr>
      <vt:lpstr>工作表2</vt:lpstr>
      <vt:lpstr>testing</vt:lpstr>
      <vt:lpstr>tocl</vt:lpstr>
      <vt:lpstr>領料表!Print_Area</vt:lpstr>
      <vt:lpstr>領料表!Print_Titles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taco</dc:creator>
  <cp:lastModifiedBy>宗鴻 李</cp:lastModifiedBy>
  <cp:lastPrinted>2024-07-19T08:36:10Z</cp:lastPrinted>
  <dcterms:created xsi:type="dcterms:W3CDTF">2024-07-03T00:05:31Z</dcterms:created>
  <dcterms:modified xsi:type="dcterms:W3CDTF">2024-08-22T09:19:54Z</dcterms:modified>
</cp:coreProperties>
</file>